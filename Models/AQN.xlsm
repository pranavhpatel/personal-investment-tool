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olors17.xml" ContentType="application/vnd.ms-office.chartcolorstyle+xml"/>
  <Override PartName="/xl/charts/style17.xml" ContentType="application/vnd.ms-office.chartstyle+xml"/>
  <Override PartName="/xl/charts/style18.xml" ContentType="application/vnd.ms-office.chartstyle+xml"/>
  <Override PartName="/xl/charts/colors18.xml" ContentType="application/vnd.ms-office.chartcolorstyl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20.xml" ContentType="application/vnd.openxmlformats-officedocument.drawingml.chart+xml"/>
  <Override PartName="/xl/charts/colors16.xml" ContentType="application/vnd.ms-office.chartcolorstyle+xml"/>
  <Override PartName="/xl/worksheets/sheet1.xml" ContentType="application/vnd.openxmlformats-officedocument.spreadsheetml.workshee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chart16.xml" ContentType="application/vnd.openxmlformats-officedocument.drawingml.chart+xml"/>
  <Override PartName="/xl/charts/style16.xml" ContentType="application/vnd.ms-office.chartstyle+xml"/>
  <Override PartName="/xl/charts/style12.xml" ContentType="application/vnd.ms-office.chartstyle+xml"/>
  <Override PartName="/xl/charts/chart5.xml" ContentType="application/vnd.openxmlformats-officedocument.drawingml.chart+xml"/>
  <Override PartName="/xl/charts/colors4.xml" ContentType="application/vnd.ms-office.chartcolorstyle+xml"/>
  <Override PartName="/xl/charts/style4.xml" ContentType="application/vnd.ms-office.chartstyle+xml"/>
  <Override PartName="/xl/charts/chart4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chart7.xml" ContentType="application/vnd.openxmlformats-officedocument.drawingml.chart+xml"/>
  <Override PartName="/xl/charts/colors3.xml" ContentType="application/vnd.ms-office.chartcolorstyle+xml"/>
  <Override PartName="/xl/charts/style3.xml" ContentType="application/vnd.ms-office.chartstyle+xml"/>
  <Override PartName="/xl/charts/chart3.xml" ContentType="application/vnd.openxmlformats-officedocument.drawingml.char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hart2.xml" ContentType="application/vnd.openxmlformats-officedocument.drawingml.chart+xml"/>
  <Override PartName="/xl/charts/colors1.xml" ContentType="application/vnd.ms-office.chartcolorstyle+xml"/>
  <Override PartName="/xl/charts/style7.xml" ContentType="application/vnd.ms-office.chartstyle+xml"/>
  <Override PartName="/xl/charts/colors12.xml" ContentType="application/vnd.ms-office.chartcolorstyle+xml"/>
  <Override PartName="/xl/charts/colors10.xml" ContentType="application/vnd.ms-office.chartcolorstyle+xml"/>
  <Override PartName="/xl/charts/style11.xml" ContentType="application/vnd.ms-office.chartstyle+xml"/>
  <Override PartName="/xl/charts/colors11.xml" ContentType="application/vnd.ms-office.chartcolorstyle+xml"/>
  <Override PartName="/xl/charts/style8.xml" ContentType="application/vnd.ms-office.chartstyle+xml"/>
  <Override PartName="/xl/charts/chart13.xml" ContentType="application/vnd.openxmlformats-officedocument.drawingml.chart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olors7.xml" ContentType="application/vnd.ms-office.chartcolorstyle+xml"/>
  <Override PartName="/xl/charts/chart9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customXml/itemProps1.xml" ContentType="application/vnd.openxmlformats-officedocument.customXmlProperties+xml"/>
  <Override PartName="/xl/connections.xml" ContentType="application/vnd.openxmlformats-officedocument.spreadsheetml.connection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4.xml" ContentType="application/vnd.openxmlformats-officedocument.customXmlProperties+xml"/>
  <Override PartName="/xl/calcChain.xml" ContentType="application/vnd.openxmlformats-officedocument.spreadsheetml.calcChain+xml"/>
  <Override PartName="/xl/queryTables/queryTable2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827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ana\OneDrive\Database\Models\"/>
    </mc:Choice>
  </mc:AlternateContent>
  <xr:revisionPtr revIDLastSave="0" documentId="2E68FDF65464C355678685A2C3A8C61DA7D551D5" xr6:coauthVersionLast="26" xr6:coauthVersionMax="26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Summary" sheetId="8" r:id="rId1"/>
    <sheet name="Adjusted" sheetId="3" r:id="rId2"/>
    <sheet name="Reported" sheetId="2" r:id="rId3"/>
    <sheet name="Price History" sheetId="10" r:id="rId4"/>
    <sheet name="StockList" sheetId="11" r:id="rId5"/>
  </sheets>
  <definedNames>
    <definedName name="ExternalData_1" localSheetId="3" hidden="1">'Price History'!$A$4:$I$1259</definedName>
    <definedName name="ExternalData_1" localSheetId="4" hidden="1">StockList!$A$1:$E$6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6" iterate="1" iterateCount="30" calcOnSave="0" concurrentCalc="0"/>
</workbook>
</file>

<file path=xl/calcChain.xml><?xml version="1.0" encoding="utf-8"?>
<calcChain xmlns="http://schemas.openxmlformats.org/spreadsheetml/2006/main">
  <c r="B2" i="10" l="1"/>
  <c r="AI91" i="8"/>
  <c r="AJ91" i="8"/>
  <c r="AK91" i="8"/>
  <c r="AL91" i="8"/>
  <c r="AI89" i="8"/>
  <c r="AI92" i="8"/>
  <c r="AJ92" i="8"/>
  <c r="AK92" i="8"/>
  <c r="AL92" i="8"/>
  <c r="Q20" i="3"/>
  <c r="Q25" i="3"/>
  <c r="R25" i="3"/>
  <c r="BH25" i="3"/>
  <c r="BI25" i="3"/>
  <c r="AY25" i="3"/>
  <c r="AL25" i="3"/>
  <c r="AX25" i="3"/>
  <c r="AK25" i="3"/>
  <c r="BA25" i="3"/>
  <c r="AJ25" i="3"/>
  <c r="AZ25" i="3"/>
  <c r="AI25" i="3"/>
  <c r="AH25" i="3"/>
  <c r="AG25" i="3"/>
  <c r="AF25" i="3"/>
  <c r="AE25" i="3"/>
  <c r="AD25" i="3"/>
  <c r="AD20" i="3"/>
  <c r="AE20" i="3"/>
  <c r="AF20" i="3"/>
  <c r="AG20" i="3"/>
  <c r="AH20" i="3"/>
  <c r="AI20" i="3"/>
  <c r="AJ20" i="3"/>
  <c r="AK20" i="3"/>
  <c r="AL20" i="3"/>
  <c r="AM25" i="3"/>
  <c r="AM20" i="3"/>
  <c r="AN25" i="3"/>
  <c r="AN20" i="3"/>
  <c r="AO25" i="3"/>
  <c r="AO20" i="3"/>
  <c r="AI94" i="8"/>
  <c r="AI93" i="8"/>
  <c r="AP25" i="3"/>
  <c r="AP20" i="3"/>
  <c r="AJ94" i="8"/>
  <c r="AJ93" i="8"/>
  <c r="AQ25" i="3"/>
  <c r="AQ20" i="3"/>
  <c r="AK94" i="8"/>
  <c r="AK93" i="8"/>
  <c r="AR25" i="3"/>
  <c r="AR20" i="3"/>
  <c r="AL94" i="8"/>
  <c r="AL93" i="8"/>
  <c r="BH23" i="3"/>
  <c r="AY23" i="3"/>
  <c r="AL23" i="3"/>
  <c r="AL21" i="3"/>
  <c r="AZ23" i="3"/>
  <c r="AM23" i="3"/>
  <c r="AM21" i="3"/>
  <c r="BA23" i="3"/>
  <c r="AN23" i="3"/>
  <c r="AN21" i="3"/>
  <c r="Q23" i="3"/>
  <c r="AX23" i="3"/>
  <c r="AO23" i="3"/>
  <c r="AO21" i="3"/>
  <c r="AI96" i="8"/>
  <c r="AP23" i="3"/>
  <c r="AP21" i="3"/>
  <c r="AJ96" i="8"/>
  <c r="AQ23" i="3"/>
  <c r="AQ21" i="3"/>
  <c r="AK96" i="8"/>
  <c r="AR23" i="3"/>
  <c r="AR21" i="3"/>
  <c r="AL96" i="8"/>
  <c r="AI97" i="8"/>
  <c r="AJ97" i="8"/>
  <c r="AK97" i="8"/>
  <c r="AK98" i="8"/>
  <c r="AL97" i="8"/>
  <c r="AI98" i="8"/>
  <c r="AJ98" i="8"/>
  <c r="AL98" i="8"/>
  <c r="AE94" i="8"/>
  <c r="AH23" i="3"/>
  <c r="AH21" i="3"/>
  <c r="AI23" i="3"/>
  <c r="AI21" i="3"/>
  <c r="AJ23" i="3"/>
  <c r="AJ21" i="3"/>
  <c r="AK23" i="3"/>
  <c r="AK21" i="3"/>
  <c r="AE96" i="8"/>
  <c r="AE97" i="8"/>
  <c r="AI100" i="8"/>
  <c r="AF94" i="8"/>
  <c r="AF96" i="8"/>
  <c r="AF97" i="8"/>
  <c r="AJ100" i="8"/>
  <c r="AG94" i="8"/>
  <c r="AG96" i="8"/>
  <c r="AG97" i="8"/>
  <c r="AK100" i="8"/>
  <c r="AH94" i="8"/>
  <c r="AH96" i="8"/>
  <c r="AH97" i="8"/>
  <c r="AL100" i="8"/>
  <c r="AI102" i="8"/>
  <c r="AJ102" i="8"/>
  <c r="AK102" i="8"/>
  <c r="AK103" i="8"/>
  <c r="AL102" i="8"/>
  <c r="AI103" i="8"/>
  <c r="AJ103" i="8"/>
  <c r="AL103" i="8"/>
  <c r="AI105" i="8"/>
  <c r="AJ105" i="8"/>
  <c r="AK105" i="8"/>
  <c r="AK106" i="8"/>
  <c r="AL105" i="8"/>
  <c r="AI106" i="8"/>
  <c r="AJ106" i="8"/>
  <c r="AL106" i="8"/>
  <c r="Y90" i="3"/>
  <c r="Y106" i="3"/>
  <c r="Y92" i="3"/>
  <c r="Y108" i="3"/>
  <c r="Y110" i="3"/>
  <c r="Y96" i="3"/>
  <c r="Z90" i="3"/>
  <c r="Z106" i="3"/>
  <c r="Z92" i="3"/>
  <c r="Z108" i="3"/>
  <c r="Z110" i="3"/>
  <c r="Z96" i="3"/>
  <c r="AA90" i="3"/>
  <c r="AA106" i="3"/>
  <c r="AA92" i="3"/>
  <c r="AA108" i="3"/>
  <c r="AA110" i="3"/>
  <c r="AA96" i="3"/>
  <c r="AB90" i="3"/>
  <c r="AB106" i="3"/>
  <c r="AB92" i="3"/>
  <c r="AB108" i="3"/>
  <c r="AB110" i="3"/>
  <c r="AB96" i="3"/>
  <c r="AC90" i="3"/>
  <c r="AC106" i="3"/>
  <c r="AC92" i="3"/>
  <c r="AC108" i="3"/>
  <c r="AC110" i="3"/>
  <c r="AC96" i="3"/>
  <c r="V90" i="3"/>
  <c r="V106" i="3"/>
  <c r="V92" i="3"/>
  <c r="V108" i="3"/>
  <c r="V110" i="3"/>
  <c r="V96" i="3"/>
  <c r="W90" i="3"/>
  <c r="W106" i="3"/>
  <c r="W92" i="3"/>
  <c r="W108" i="3"/>
  <c r="W110" i="3"/>
  <c r="W96" i="3"/>
  <c r="X90" i="3"/>
  <c r="X106" i="3"/>
  <c r="X92" i="3"/>
  <c r="X108" i="3"/>
  <c r="X110" i="3"/>
  <c r="X96" i="3"/>
  <c r="AC117" i="3"/>
  <c r="AC118" i="3"/>
  <c r="AC119" i="3"/>
  <c r="AC120" i="3"/>
  <c r="AC133" i="3"/>
  <c r="V97" i="3"/>
  <c r="W97" i="3"/>
  <c r="X97" i="3"/>
  <c r="Y97" i="3"/>
  <c r="Z97" i="3"/>
  <c r="AA97" i="3"/>
  <c r="AB97" i="3"/>
  <c r="AC127" i="3"/>
  <c r="AC128" i="3"/>
  <c r="AC129" i="3"/>
  <c r="AC130" i="3"/>
  <c r="AC134" i="3"/>
  <c r="AC136" i="3"/>
  <c r="AD106" i="3"/>
  <c r="AD117" i="3"/>
  <c r="AD118" i="3"/>
  <c r="AD114" i="3"/>
  <c r="AD115" i="3"/>
  <c r="AD119" i="3"/>
  <c r="AD120" i="3"/>
  <c r="Q9" i="3"/>
  <c r="BH9" i="3"/>
  <c r="BI9" i="3"/>
  <c r="AY9" i="3"/>
  <c r="AD9" i="3"/>
  <c r="AD10" i="3"/>
  <c r="AD11" i="3"/>
  <c r="Q29" i="3"/>
  <c r="BH29" i="3"/>
  <c r="BI29" i="3"/>
  <c r="AY29" i="3"/>
  <c r="AD29" i="3"/>
  <c r="AD30" i="3"/>
  <c r="AD31" i="3"/>
  <c r="Q39" i="3"/>
  <c r="BH39" i="3"/>
  <c r="BI39" i="3"/>
  <c r="AY39" i="3"/>
  <c r="AD39" i="3"/>
  <c r="AD40" i="3"/>
  <c r="AD41" i="3"/>
  <c r="AD53" i="3"/>
  <c r="AD23" i="3"/>
  <c r="AD21" i="3"/>
  <c r="AD22" i="3"/>
  <c r="AD52" i="3"/>
  <c r="AD54" i="3"/>
  <c r="AD74" i="3"/>
  <c r="AD83" i="3"/>
  <c r="AD85" i="3"/>
  <c r="AD144" i="3"/>
  <c r="AD148" i="3"/>
  <c r="AD152" i="3"/>
  <c r="AD174" i="3"/>
  <c r="AD178" i="3"/>
  <c r="AD211" i="3"/>
  <c r="AD109" i="3"/>
  <c r="AD133" i="3"/>
  <c r="AC97" i="3"/>
  <c r="AD127" i="3"/>
  <c r="AD128" i="3"/>
  <c r="AD124" i="3"/>
  <c r="AD125" i="3"/>
  <c r="AD129" i="3"/>
  <c r="AD130" i="3"/>
  <c r="AD75" i="3"/>
  <c r="AD134" i="3"/>
  <c r="AD136" i="3"/>
  <c r="AD91" i="3"/>
  <c r="AD137" i="3"/>
  <c r="AD108" i="3"/>
  <c r="AD110" i="3"/>
  <c r="AD96" i="3"/>
  <c r="AE106" i="3"/>
  <c r="AE117" i="3"/>
  <c r="AE118" i="3"/>
  <c r="AE114" i="3"/>
  <c r="AE115" i="3"/>
  <c r="AE119" i="3"/>
  <c r="AE120" i="3"/>
  <c r="AZ9" i="3"/>
  <c r="AE9" i="3"/>
  <c r="AE10" i="3"/>
  <c r="AE11" i="3"/>
  <c r="AZ29" i="3"/>
  <c r="AE29" i="3"/>
  <c r="AE30" i="3"/>
  <c r="AE31" i="3"/>
  <c r="AZ39" i="3"/>
  <c r="AE39" i="3"/>
  <c r="AE40" i="3"/>
  <c r="AE41" i="3"/>
  <c r="AE53" i="3"/>
  <c r="AE23" i="3"/>
  <c r="AE21" i="3"/>
  <c r="AE22" i="3"/>
  <c r="AE52" i="3"/>
  <c r="AE54" i="3"/>
  <c r="AE74" i="3"/>
  <c r="AE83" i="3"/>
  <c r="AE85" i="3"/>
  <c r="AE144" i="3"/>
  <c r="AD193" i="3"/>
  <c r="AE148" i="3"/>
  <c r="AE152" i="3"/>
  <c r="AE174" i="3"/>
  <c r="AE178" i="3"/>
  <c r="AE211" i="3"/>
  <c r="AE109" i="3"/>
  <c r="AE133" i="3"/>
  <c r="AD97" i="3"/>
  <c r="AE127" i="3"/>
  <c r="AE128" i="3"/>
  <c r="AE124" i="3"/>
  <c r="AE125" i="3"/>
  <c r="AE129" i="3"/>
  <c r="AE130" i="3"/>
  <c r="AE75" i="3"/>
  <c r="AE134" i="3"/>
  <c r="AE136" i="3"/>
  <c r="AE91" i="3"/>
  <c r="AE137" i="3"/>
  <c r="AE108" i="3"/>
  <c r="AE110" i="3"/>
  <c r="AE96" i="3"/>
  <c r="AF117" i="3"/>
  <c r="AF118" i="3"/>
  <c r="AF114" i="3"/>
  <c r="AF115" i="3"/>
  <c r="AF119" i="3"/>
  <c r="AF120" i="3"/>
  <c r="AF106" i="3"/>
  <c r="BA9" i="3"/>
  <c r="AF9" i="3"/>
  <c r="AF10" i="3"/>
  <c r="AF11" i="3"/>
  <c r="BA29" i="3"/>
  <c r="AF29" i="3"/>
  <c r="AF30" i="3"/>
  <c r="AF31" i="3"/>
  <c r="BA39" i="3"/>
  <c r="AF39" i="3"/>
  <c r="AF40" i="3"/>
  <c r="AF41" i="3"/>
  <c r="AF53" i="3"/>
  <c r="AF23" i="3"/>
  <c r="AF21" i="3"/>
  <c r="AF22" i="3"/>
  <c r="AF52" i="3"/>
  <c r="AF54" i="3"/>
  <c r="AF74" i="3"/>
  <c r="AF83" i="3"/>
  <c r="AF85" i="3"/>
  <c r="AF144" i="3"/>
  <c r="AE193" i="3"/>
  <c r="AF148" i="3"/>
  <c r="AF152" i="3"/>
  <c r="AF174" i="3"/>
  <c r="AF178" i="3"/>
  <c r="AF211" i="3"/>
  <c r="AF109" i="3"/>
  <c r="AF133" i="3"/>
  <c r="AE97" i="3"/>
  <c r="AF127" i="3"/>
  <c r="AF128" i="3"/>
  <c r="AF124" i="3"/>
  <c r="AF125" i="3"/>
  <c r="AF129" i="3"/>
  <c r="AF130" i="3"/>
  <c r="AF75" i="3"/>
  <c r="AF134" i="3"/>
  <c r="AF136" i="3"/>
  <c r="AG106" i="3"/>
  <c r="AF91" i="3"/>
  <c r="AF137" i="3"/>
  <c r="AF108" i="3"/>
  <c r="AF110" i="3"/>
  <c r="AF96" i="3"/>
  <c r="AG117" i="3"/>
  <c r="AG118" i="3"/>
  <c r="AD113" i="3"/>
  <c r="AE113" i="3"/>
  <c r="AF113" i="3"/>
  <c r="AG23" i="3"/>
  <c r="AG21" i="3"/>
  <c r="AG22" i="3"/>
  <c r="AG52" i="3"/>
  <c r="AG113" i="3"/>
  <c r="AG114" i="3"/>
  <c r="AG115" i="3"/>
  <c r="AG119" i="3"/>
  <c r="AG120" i="3"/>
  <c r="AX9" i="3"/>
  <c r="AG9" i="3"/>
  <c r="AG10" i="3"/>
  <c r="AG11" i="3"/>
  <c r="AX29" i="3"/>
  <c r="AG29" i="3"/>
  <c r="AG30" i="3"/>
  <c r="AG31" i="3"/>
  <c r="AX39" i="3"/>
  <c r="AG39" i="3"/>
  <c r="AG40" i="3"/>
  <c r="AG41" i="3"/>
  <c r="AG53" i="3"/>
  <c r="AG54" i="3"/>
  <c r="AG74" i="3"/>
  <c r="AG83" i="3"/>
  <c r="AG85" i="3"/>
  <c r="AG144" i="3"/>
  <c r="AF193" i="3"/>
  <c r="AG148" i="3"/>
  <c r="AG152" i="3"/>
  <c r="AG174" i="3"/>
  <c r="AG178" i="3"/>
  <c r="AG211" i="3"/>
  <c r="AG109" i="3"/>
  <c r="AG133" i="3"/>
  <c r="AF97" i="3"/>
  <c r="AG127" i="3"/>
  <c r="AG128" i="3"/>
  <c r="AD123" i="3"/>
  <c r="AE123" i="3"/>
  <c r="AF123" i="3"/>
  <c r="AG123" i="3"/>
  <c r="AG124" i="3"/>
  <c r="AG125" i="3"/>
  <c r="AG129" i="3"/>
  <c r="AG130" i="3"/>
  <c r="AG75" i="3"/>
  <c r="AG134" i="3"/>
  <c r="AG136" i="3"/>
  <c r="AG91" i="3"/>
  <c r="AG137" i="3"/>
  <c r="AG108" i="3"/>
  <c r="AG110" i="3"/>
  <c r="AG96" i="3"/>
  <c r="AH106" i="3"/>
  <c r="AH117" i="3"/>
  <c r="AH118" i="3"/>
  <c r="AH22" i="3"/>
  <c r="AH52" i="3"/>
  <c r="AH113" i="3"/>
  <c r="AH114" i="3"/>
  <c r="AH115" i="3"/>
  <c r="AH119" i="3"/>
  <c r="AH120" i="3"/>
  <c r="AH9" i="3"/>
  <c r="AH10" i="3"/>
  <c r="AH11" i="3"/>
  <c r="AH29" i="3"/>
  <c r="AH30" i="3"/>
  <c r="AH31" i="3"/>
  <c r="AH39" i="3"/>
  <c r="AH40" i="3"/>
  <c r="AH41" i="3"/>
  <c r="AH53" i="3"/>
  <c r="AH54" i="3"/>
  <c r="AH74" i="3"/>
  <c r="AH83" i="3"/>
  <c r="AH85" i="3"/>
  <c r="AH144" i="3"/>
  <c r="AG193" i="3"/>
  <c r="AH148" i="3"/>
  <c r="AH152" i="3"/>
  <c r="AH174" i="3"/>
  <c r="AH178" i="3"/>
  <c r="AH211" i="3"/>
  <c r="AH109" i="3"/>
  <c r="AH133" i="3"/>
  <c r="AG97" i="3"/>
  <c r="AH127" i="3"/>
  <c r="AH128" i="3"/>
  <c r="AH123" i="3"/>
  <c r="AH124" i="3"/>
  <c r="AH125" i="3"/>
  <c r="AH129" i="3"/>
  <c r="AH130" i="3"/>
  <c r="AH75" i="3"/>
  <c r="AH134" i="3"/>
  <c r="AH136" i="3"/>
  <c r="AH91" i="3"/>
  <c r="AH137" i="3"/>
  <c r="AH108" i="3"/>
  <c r="AH110" i="3"/>
  <c r="AH96" i="3"/>
  <c r="AI106" i="3"/>
  <c r="AI117" i="3"/>
  <c r="AI118" i="3"/>
  <c r="AI22" i="3"/>
  <c r="AI52" i="3"/>
  <c r="AI113" i="3"/>
  <c r="AI114" i="3"/>
  <c r="AI115" i="3"/>
  <c r="AI119" i="3"/>
  <c r="AI120" i="3"/>
  <c r="AI9" i="3"/>
  <c r="AI10" i="3"/>
  <c r="AI11" i="3"/>
  <c r="AI29" i="3"/>
  <c r="AI30" i="3"/>
  <c r="AI31" i="3"/>
  <c r="AI39" i="3"/>
  <c r="AI40" i="3"/>
  <c r="AI41" i="3"/>
  <c r="AI53" i="3"/>
  <c r="AI54" i="3"/>
  <c r="AI74" i="3"/>
  <c r="AI83" i="3"/>
  <c r="AI85" i="3"/>
  <c r="AI144" i="3"/>
  <c r="AH193" i="3"/>
  <c r="AI148" i="3"/>
  <c r="AI152" i="3"/>
  <c r="AI174" i="3"/>
  <c r="AI178" i="3"/>
  <c r="AI211" i="3"/>
  <c r="AI109" i="3"/>
  <c r="AI133" i="3"/>
  <c r="AH97" i="3"/>
  <c r="AI127" i="3"/>
  <c r="AI128" i="3"/>
  <c r="AI123" i="3"/>
  <c r="AI124" i="3"/>
  <c r="AI125" i="3"/>
  <c r="AI129" i="3"/>
  <c r="AI130" i="3"/>
  <c r="AI75" i="3"/>
  <c r="AI134" i="3"/>
  <c r="AI136" i="3"/>
  <c r="AI91" i="3"/>
  <c r="AI137" i="3"/>
  <c r="AI108" i="3"/>
  <c r="AI110" i="3"/>
  <c r="AI96" i="3"/>
  <c r="AJ106" i="3"/>
  <c r="AJ117" i="3"/>
  <c r="AJ118" i="3"/>
  <c r="AJ114" i="3"/>
  <c r="AJ115" i="3"/>
  <c r="AJ119" i="3"/>
  <c r="AJ120" i="3"/>
  <c r="AJ9" i="3"/>
  <c r="AJ10" i="3"/>
  <c r="AJ11" i="3"/>
  <c r="AJ29" i="3"/>
  <c r="AJ30" i="3"/>
  <c r="AJ31" i="3"/>
  <c r="AJ39" i="3"/>
  <c r="AJ40" i="3"/>
  <c r="AJ41" i="3"/>
  <c r="AJ53" i="3"/>
  <c r="AJ22" i="3"/>
  <c r="AJ52" i="3"/>
  <c r="AJ54" i="3"/>
  <c r="AJ74" i="3"/>
  <c r="AJ83" i="3"/>
  <c r="AJ85" i="3"/>
  <c r="AJ144" i="3"/>
  <c r="AI193" i="3"/>
  <c r="AJ148" i="3"/>
  <c r="AJ152" i="3"/>
  <c r="AJ174" i="3"/>
  <c r="AJ178" i="3"/>
  <c r="AJ211" i="3"/>
  <c r="AJ109" i="3"/>
  <c r="AJ133" i="3"/>
  <c r="AI97" i="3"/>
  <c r="AJ127" i="3"/>
  <c r="AJ128" i="3"/>
  <c r="AJ124" i="3"/>
  <c r="AJ125" i="3"/>
  <c r="AJ129" i="3"/>
  <c r="AJ130" i="3"/>
  <c r="AJ75" i="3"/>
  <c r="AJ134" i="3"/>
  <c r="AJ136" i="3"/>
  <c r="AJ91" i="3"/>
  <c r="AJ137" i="3"/>
  <c r="AJ108" i="3"/>
  <c r="AJ110" i="3"/>
  <c r="AJ96" i="3"/>
  <c r="AK106" i="3"/>
  <c r="AK117" i="3"/>
  <c r="AK118" i="3"/>
  <c r="AJ113" i="3"/>
  <c r="AK22" i="3"/>
  <c r="AK52" i="3"/>
  <c r="AK113" i="3"/>
  <c r="AK114" i="3"/>
  <c r="AK115" i="3"/>
  <c r="AK119" i="3"/>
  <c r="AK120" i="3"/>
  <c r="AK9" i="3"/>
  <c r="AK10" i="3"/>
  <c r="AK11" i="3"/>
  <c r="AK29" i="3"/>
  <c r="AK30" i="3"/>
  <c r="AK31" i="3"/>
  <c r="AK39" i="3"/>
  <c r="AK40" i="3"/>
  <c r="AK41" i="3"/>
  <c r="AK53" i="3"/>
  <c r="AK54" i="3"/>
  <c r="AK74" i="3"/>
  <c r="AK83" i="3"/>
  <c r="AK85" i="3"/>
  <c r="AK144" i="3"/>
  <c r="AJ193" i="3"/>
  <c r="AK148" i="3"/>
  <c r="AK152" i="3"/>
  <c r="AK174" i="3"/>
  <c r="AK178" i="3"/>
  <c r="AK211" i="3"/>
  <c r="AK109" i="3"/>
  <c r="AK133" i="3"/>
  <c r="AJ97" i="3"/>
  <c r="AK127" i="3"/>
  <c r="AK128" i="3"/>
  <c r="AJ123" i="3"/>
  <c r="AK123" i="3"/>
  <c r="AK124" i="3"/>
  <c r="AK125" i="3"/>
  <c r="AK129" i="3"/>
  <c r="AK130" i="3"/>
  <c r="AK75" i="3"/>
  <c r="AK134" i="3"/>
  <c r="AK136" i="3"/>
  <c r="AK91" i="3"/>
  <c r="AK137" i="3"/>
  <c r="AK108" i="3"/>
  <c r="AK110" i="3"/>
  <c r="AK96" i="3"/>
  <c r="AL106" i="3"/>
  <c r="AL117" i="3"/>
  <c r="AL118" i="3"/>
  <c r="AL22" i="3"/>
  <c r="AL52" i="3"/>
  <c r="AL113" i="3"/>
  <c r="AL114" i="3"/>
  <c r="AL115" i="3"/>
  <c r="AL119" i="3"/>
  <c r="AL120" i="3"/>
  <c r="AL9" i="3"/>
  <c r="AL10" i="3"/>
  <c r="AL11" i="3"/>
  <c r="AL29" i="3"/>
  <c r="AL30" i="3"/>
  <c r="AL31" i="3"/>
  <c r="AL39" i="3"/>
  <c r="AL40" i="3"/>
  <c r="AL41" i="3"/>
  <c r="AL53" i="3"/>
  <c r="AL54" i="3"/>
  <c r="AL74" i="3"/>
  <c r="AL83" i="3"/>
  <c r="AL85" i="3"/>
  <c r="AL144" i="3"/>
  <c r="AK193" i="3"/>
  <c r="AL148" i="3"/>
  <c r="AL152" i="3"/>
  <c r="AL174" i="3"/>
  <c r="AL178" i="3"/>
  <c r="AL211" i="3"/>
  <c r="AL109" i="3"/>
  <c r="AL133" i="3"/>
  <c r="AK97" i="3"/>
  <c r="AL127" i="3"/>
  <c r="AL128" i="3"/>
  <c r="AL123" i="3"/>
  <c r="AL124" i="3"/>
  <c r="AL125" i="3"/>
  <c r="AL129" i="3"/>
  <c r="AL130" i="3"/>
  <c r="AL75" i="3"/>
  <c r="AL134" i="3"/>
  <c r="AL136" i="3"/>
  <c r="AL91" i="3"/>
  <c r="AL137" i="3"/>
  <c r="AL108" i="3"/>
  <c r="AL110" i="3"/>
  <c r="AL96" i="3"/>
  <c r="AM106" i="3"/>
  <c r="AM117" i="3"/>
  <c r="AM118" i="3"/>
  <c r="AM22" i="3"/>
  <c r="AM52" i="3"/>
  <c r="AM113" i="3"/>
  <c r="AM114" i="3"/>
  <c r="AM115" i="3"/>
  <c r="AM119" i="3"/>
  <c r="AM120" i="3"/>
  <c r="AM9" i="3"/>
  <c r="AM10" i="3"/>
  <c r="AM11" i="3"/>
  <c r="AM29" i="3"/>
  <c r="AM30" i="3"/>
  <c r="AM31" i="3"/>
  <c r="AM39" i="3"/>
  <c r="AM40" i="3"/>
  <c r="AM41" i="3"/>
  <c r="AM53" i="3"/>
  <c r="AM54" i="3"/>
  <c r="AM74" i="3"/>
  <c r="AM83" i="3"/>
  <c r="AM85" i="3"/>
  <c r="AM144" i="3"/>
  <c r="AL193" i="3"/>
  <c r="AM148" i="3"/>
  <c r="AM152" i="3"/>
  <c r="AM174" i="3"/>
  <c r="AM178" i="3"/>
  <c r="AM211" i="3"/>
  <c r="AM109" i="3"/>
  <c r="AM133" i="3"/>
  <c r="AL97" i="3"/>
  <c r="AM127" i="3"/>
  <c r="AM128" i="3"/>
  <c r="AM123" i="3"/>
  <c r="AM124" i="3"/>
  <c r="AM125" i="3"/>
  <c r="AM129" i="3"/>
  <c r="AM130" i="3"/>
  <c r="AM75" i="3"/>
  <c r="AM134" i="3"/>
  <c r="AM136" i="3"/>
  <c r="AM91" i="3"/>
  <c r="AM137" i="3"/>
  <c r="AM108" i="3"/>
  <c r="AM110" i="3"/>
  <c r="AM96" i="3"/>
  <c r="AN117" i="3"/>
  <c r="AN118" i="3"/>
  <c r="AN114" i="3"/>
  <c r="AN115" i="3"/>
  <c r="AN119" i="3"/>
  <c r="AN120" i="3"/>
  <c r="AN106" i="3"/>
  <c r="AN9" i="3"/>
  <c r="AN10" i="3"/>
  <c r="AN11" i="3"/>
  <c r="AN29" i="3"/>
  <c r="AN30" i="3"/>
  <c r="AN31" i="3"/>
  <c r="AN39" i="3"/>
  <c r="AN40" i="3"/>
  <c r="AN41" i="3"/>
  <c r="AN53" i="3"/>
  <c r="AN22" i="3"/>
  <c r="AN52" i="3"/>
  <c r="AN54" i="3"/>
  <c r="AN74" i="3"/>
  <c r="AN83" i="3"/>
  <c r="AN85" i="3"/>
  <c r="AN144" i="3"/>
  <c r="AM193" i="3"/>
  <c r="AN148" i="3"/>
  <c r="AN152" i="3"/>
  <c r="AN174" i="3"/>
  <c r="AN178" i="3"/>
  <c r="AN211" i="3"/>
  <c r="AN109" i="3"/>
  <c r="AN133" i="3"/>
  <c r="AM97" i="3"/>
  <c r="AN127" i="3"/>
  <c r="AN128" i="3"/>
  <c r="AN124" i="3"/>
  <c r="AN125" i="3"/>
  <c r="AN129" i="3"/>
  <c r="AN130" i="3"/>
  <c r="AN75" i="3"/>
  <c r="AN134" i="3"/>
  <c r="AN136" i="3"/>
  <c r="AO106" i="3"/>
  <c r="AI110" i="8"/>
  <c r="AN91" i="3"/>
  <c r="AN137" i="3"/>
  <c r="AN108" i="3"/>
  <c r="AN110" i="3"/>
  <c r="AN96" i="3"/>
  <c r="AO117" i="3"/>
  <c r="AO118" i="3"/>
  <c r="AN113" i="3"/>
  <c r="AO22" i="3"/>
  <c r="AO52" i="3"/>
  <c r="AO113" i="3"/>
  <c r="AO114" i="3"/>
  <c r="AO115" i="3"/>
  <c r="AO119" i="3"/>
  <c r="AO120" i="3"/>
  <c r="AO9" i="3"/>
  <c r="AO10" i="3"/>
  <c r="AO11" i="3"/>
  <c r="AO29" i="3"/>
  <c r="AO30" i="3"/>
  <c r="AO31" i="3"/>
  <c r="AO39" i="3"/>
  <c r="AO40" i="3"/>
  <c r="AO41" i="3"/>
  <c r="AO53" i="3"/>
  <c r="AO54" i="3"/>
  <c r="AO74" i="3"/>
  <c r="AO83" i="3"/>
  <c r="AO85" i="3"/>
  <c r="AO144" i="3"/>
  <c r="AN193" i="3"/>
  <c r="AO148" i="3"/>
  <c r="AO152" i="3"/>
  <c r="AO174" i="3"/>
  <c r="AO178" i="3"/>
  <c r="AO211" i="3"/>
  <c r="AO109" i="3"/>
  <c r="AO133" i="3"/>
  <c r="AN97" i="3"/>
  <c r="AO127" i="3"/>
  <c r="AO128" i="3"/>
  <c r="AN123" i="3"/>
  <c r="AO123" i="3"/>
  <c r="AO124" i="3"/>
  <c r="AO125" i="3"/>
  <c r="AO129" i="3"/>
  <c r="AO130" i="3"/>
  <c r="AO75" i="3"/>
  <c r="AO134" i="3"/>
  <c r="AO136" i="3"/>
  <c r="AP106" i="3"/>
  <c r="AJ110" i="8"/>
  <c r="AO91" i="3"/>
  <c r="AO137" i="3"/>
  <c r="AO108" i="3"/>
  <c r="AO110" i="3"/>
  <c r="AO96" i="3"/>
  <c r="AP117" i="3"/>
  <c r="AP118" i="3"/>
  <c r="AP22" i="3"/>
  <c r="AP52" i="3"/>
  <c r="AP113" i="3"/>
  <c r="AP114" i="3"/>
  <c r="AP115" i="3"/>
  <c r="AP119" i="3"/>
  <c r="AP120" i="3"/>
  <c r="AP9" i="3"/>
  <c r="AP10" i="3"/>
  <c r="AP11" i="3"/>
  <c r="AP29" i="3"/>
  <c r="AP30" i="3"/>
  <c r="AP31" i="3"/>
  <c r="AP39" i="3"/>
  <c r="AP40" i="3"/>
  <c r="AP41" i="3"/>
  <c r="AP53" i="3"/>
  <c r="AP54" i="3"/>
  <c r="AP74" i="3"/>
  <c r="AP83" i="3"/>
  <c r="AP85" i="3"/>
  <c r="AP144" i="3"/>
  <c r="AO193" i="3"/>
  <c r="AP148" i="3"/>
  <c r="AP152" i="3"/>
  <c r="AP174" i="3"/>
  <c r="AP178" i="3"/>
  <c r="AP211" i="3"/>
  <c r="AP109" i="3"/>
  <c r="AP133" i="3"/>
  <c r="AO97" i="3"/>
  <c r="AP127" i="3"/>
  <c r="AP128" i="3"/>
  <c r="AP123" i="3"/>
  <c r="AP124" i="3"/>
  <c r="AP125" i="3"/>
  <c r="AP129" i="3"/>
  <c r="AP130" i="3"/>
  <c r="AP75" i="3"/>
  <c r="AP134" i="3"/>
  <c r="AP136" i="3"/>
  <c r="AQ106" i="3"/>
  <c r="AK110" i="8"/>
  <c r="AP91" i="3"/>
  <c r="AP137" i="3"/>
  <c r="AP108" i="3"/>
  <c r="AP110" i="3"/>
  <c r="AP96" i="3"/>
  <c r="AQ117" i="3"/>
  <c r="AQ118" i="3"/>
  <c r="AQ22" i="3"/>
  <c r="AQ52" i="3"/>
  <c r="AQ113" i="3"/>
  <c r="AQ114" i="3"/>
  <c r="AQ115" i="3"/>
  <c r="AQ119" i="3"/>
  <c r="AQ120" i="3"/>
  <c r="AQ9" i="3"/>
  <c r="AQ10" i="3"/>
  <c r="AQ11" i="3"/>
  <c r="AQ29" i="3"/>
  <c r="AQ30" i="3"/>
  <c r="AQ31" i="3"/>
  <c r="AQ39" i="3"/>
  <c r="AQ40" i="3"/>
  <c r="AQ41" i="3"/>
  <c r="AQ53" i="3"/>
  <c r="AQ54" i="3"/>
  <c r="AQ74" i="3"/>
  <c r="AQ83" i="3"/>
  <c r="AQ85" i="3"/>
  <c r="AQ144" i="3"/>
  <c r="AP193" i="3"/>
  <c r="AQ148" i="3"/>
  <c r="AQ152" i="3"/>
  <c r="AQ174" i="3"/>
  <c r="AQ178" i="3"/>
  <c r="AQ211" i="3"/>
  <c r="AQ109" i="3"/>
  <c r="AQ133" i="3"/>
  <c r="AP97" i="3"/>
  <c r="AQ127" i="3"/>
  <c r="AQ128" i="3"/>
  <c r="AQ123" i="3"/>
  <c r="AQ124" i="3"/>
  <c r="AQ125" i="3"/>
  <c r="AQ129" i="3"/>
  <c r="AQ130" i="3"/>
  <c r="AQ75" i="3"/>
  <c r="AQ134" i="3"/>
  <c r="AQ136" i="3"/>
  <c r="AR106" i="3"/>
  <c r="AL110" i="8"/>
  <c r="AI111" i="8"/>
  <c r="AJ111" i="8"/>
  <c r="AK111" i="8"/>
  <c r="AR9" i="3"/>
  <c r="AR10" i="3"/>
  <c r="AR11" i="3"/>
  <c r="AR29" i="3"/>
  <c r="AR30" i="3"/>
  <c r="AR31" i="3"/>
  <c r="AR39" i="3"/>
  <c r="AR40" i="3"/>
  <c r="AR41" i="3"/>
  <c r="AR53" i="3"/>
  <c r="AR22" i="3"/>
  <c r="AR52" i="3"/>
  <c r="AR54" i="3"/>
  <c r="AR74" i="3"/>
  <c r="AR83" i="3"/>
  <c r="AR85" i="3"/>
  <c r="AR144" i="3"/>
  <c r="AQ193" i="3"/>
  <c r="AR148" i="3"/>
  <c r="AR152" i="3"/>
  <c r="AR174" i="3"/>
  <c r="AR178" i="3"/>
  <c r="AL111" i="8"/>
  <c r="AI112" i="8"/>
  <c r="AI109" i="8"/>
  <c r="AI108" i="8"/>
  <c r="AH111" i="8"/>
  <c r="AD94" i="8"/>
  <c r="AD96" i="8"/>
  <c r="AD97" i="8"/>
  <c r="AH100" i="8"/>
  <c r="AH112" i="8"/>
  <c r="AH109" i="8"/>
  <c r="AH108" i="8"/>
  <c r="AI113" i="8"/>
  <c r="AJ112" i="8"/>
  <c r="AJ109" i="8"/>
  <c r="AJ108" i="8"/>
  <c r="AJ113" i="8"/>
  <c r="AK112" i="8"/>
  <c r="AK109" i="8"/>
  <c r="AK108" i="8"/>
  <c r="AK113" i="8"/>
  <c r="AL112" i="8"/>
  <c r="AL109" i="8"/>
  <c r="AL108" i="8"/>
  <c r="AL113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U4" i="8"/>
  <c r="AB94" i="3"/>
  <c r="U94" i="3"/>
  <c r="G94" i="3"/>
  <c r="M94" i="3"/>
  <c r="S94" i="3"/>
  <c r="T94" i="3"/>
  <c r="Q6" i="3"/>
  <c r="J94" i="3"/>
  <c r="I94" i="3"/>
  <c r="P94" i="3"/>
  <c r="AA94" i="3"/>
  <c r="N94" i="3"/>
  <c r="F94" i="3"/>
  <c r="L94" i="3"/>
  <c r="W94" i="3"/>
  <c r="O94" i="3"/>
  <c r="H94" i="3"/>
  <c r="V94" i="3"/>
  <c r="AC94" i="3"/>
  <c r="K94" i="3"/>
  <c r="Q94" i="3"/>
  <c r="Y94" i="3"/>
  <c r="X94" i="3"/>
  <c r="R94" i="3"/>
  <c r="Z94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E71" i="3"/>
  <c r="AC206" i="3"/>
  <c r="AC201" i="3"/>
  <c r="AC200" i="3"/>
  <c r="AC199" i="3"/>
  <c r="AC198" i="3"/>
  <c r="AC195" i="3"/>
  <c r="AC194" i="3"/>
  <c r="AC193" i="3"/>
  <c r="AC192" i="3"/>
  <c r="AC191" i="3"/>
  <c r="AC196" i="3"/>
  <c r="AC188" i="3"/>
  <c r="AC187" i="3"/>
  <c r="AC186" i="3"/>
  <c r="AC185" i="3"/>
  <c r="AC184" i="3"/>
  <c r="AC182" i="3"/>
  <c r="AC181" i="3"/>
  <c r="AC180" i="3"/>
  <c r="AC179" i="3"/>
  <c r="AC178" i="3"/>
  <c r="AC172" i="3"/>
  <c r="AC169" i="3"/>
  <c r="AC168" i="3"/>
  <c r="AC167" i="3"/>
  <c r="AC166" i="3"/>
  <c r="AC165" i="3"/>
  <c r="AC170" i="3"/>
  <c r="AC164" i="3"/>
  <c r="AC160" i="3"/>
  <c r="AC159" i="3"/>
  <c r="AC158" i="3"/>
  <c r="AC157" i="3"/>
  <c r="AC156" i="3"/>
  <c r="AC155" i="3"/>
  <c r="AC161" i="3"/>
  <c r="AC151" i="3"/>
  <c r="AC150" i="3"/>
  <c r="AC149" i="3"/>
  <c r="AC148" i="3"/>
  <c r="AC147" i="3"/>
  <c r="AC146" i="3"/>
  <c r="AC145" i="3"/>
  <c r="AC140" i="3"/>
  <c r="AC126" i="3"/>
  <c r="AC116" i="3"/>
  <c r="AC105" i="3"/>
  <c r="AC104" i="3"/>
  <c r="AC103" i="3"/>
  <c r="AC102" i="3"/>
  <c r="AC101" i="3"/>
  <c r="AC99" i="3"/>
  <c r="AC83" i="3"/>
  <c r="AC82" i="3"/>
  <c r="AC81" i="3"/>
  <c r="AC80" i="3"/>
  <c r="AC79" i="3"/>
  <c r="AC61" i="3"/>
  <c r="AC60" i="3"/>
  <c r="AC59" i="3"/>
  <c r="AC40" i="3"/>
  <c r="AC39" i="3"/>
  <c r="AC35" i="3"/>
  <c r="AC34" i="3"/>
  <c r="AC30" i="3"/>
  <c r="AC31" i="3"/>
  <c r="AC29" i="3"/>
  <c r="AC21" i="3"/>
  <c r="AC23" i="3"/>
  <c r="AC20" i="3"/>
  <c r="AC15" i="3"/>
  <c r="AC17" i="3"/>
  <c r="AC14" i="3"/>
  <c r="AC46" i="3"/>
  <c r="AC12" i="3"/>
  <c r="AC9" i="3"/>
  <c r="AC47" i="3"/>
  <c r="AC4" i="3"/>
  <c r="AC91" i="3"/>
  <c r="O79" i="2"/>
  <c r="AD81" i="2"/>
  <c r="AC7" i="3"/>
  <c r="AC214" i="3"/>
  <c r="AC37" i="3"/>
  <c r="AC62" i="3"/>
  <c r="AC16" i="3"/>
  <c r="AC211" i="3"/>
  <c r="AC109" i="3"/>
  <c r="AC36" i="3"/>
  <c r="AC48" i="3"/>
  <c r="AC68" i="3"/>
  <c r="AC42" i="3"/>
  <c r="AC202" i="3"/>
  <c r="AC204" i="3"/>
  <c r="AC208" i="3"/>
  <c r="AC209" i="3"/>
  <c r="AC183" i="3"/>
  <c r="AC189" i="3"/>
  <c r="AC11" i="3"/>
  <c r="AC53" i="3"/>
  <c r="AC32" i="3"/>
  <c r="AC41" i="3"/>
  <c r="AC66" i="3"/>
  <c r="AC22" i="3"/>
  <c r="AC52" i="3"/>
  <c r="AC67" i="3"/>
  <c r="AC141" i="3"/>
  <c r="AC18" i="3"/>
  <c r="D79" i="2"/>
  <c r="E79" i="2"/>
  <c r="F79" i="2"/>
  <c r="G79" i="2"/>
  <c r="H79" i="2"/>
  <c r="I79" i="2"/>
  <c r="J79" i="2"/>
  <c r="K79" i="2"/>
  <c r="L79" i="2"/>
  <c r="M79" i="2"/>
  <c r="N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C79" i="2"/>
  <c r="AC213" i="3"/>
  <c r="AC56" i="3"/>
  <c r="AC113" i="3"/>
  <c r="AC54" i="3"/>
  <c r="AA23" i="2"/>
  <c r="AC74" i="3"/>
  <c r="AC64" i="3"/>
  <c r="AC55" i="3"/>
  <c r="AC50" i="3"/>
  <c r="AC85" i="3"/>
  <c r="AC123" i="3"/>
  <c r="AC76" i="3"/>
  <c r="AC144" i="3"/>
  <c r="AC152" i="3"/>
  <c r="AC174" i="3"/>
  <c r="AC86" i="3"/>
  <c r="BR7" i="3"/>
  <c r="BR6" i="3"/>
  <c r="AX14" i="2"/>
  <c r="AX26" i="2"/>
  <c r="AX33" i="2"/>
  <c r="AW14" i="2"/>
  <c r="AW26" i="2"/>
  <c r="AW33" i="2"/>
  <c r="AV14" i="2"/>
  <c r="AV26" i="2"/>
  <c r="AV33" i="2"/>
  <c r="AU14" i="2"/>
  <c r="AU26" i="2"/>
  <c r="AU33" i="2"/>
  <c r="AT14" i="2"/>
  <c r="AT26" i="2"/>
  <c r="AT33" i="2"/>
  <c r="AS14" i="2"/>
  <c r="AS26" i="2"/>
  <c r="AS33" i="2"/>
  <c r="AR14" i="2"/>
  <c r="AR26" i="2"/>
  <c r="AR33" i="2"/>
  <c r="AQ14" i="2"/>
  <c r="AQ26" i="2"/>
  <c r="AQ33" i="2"/>
  <c r="AP14" i="2"/>
  <c r="AP26" i="2"/>
  <c r="AP33" i="2"/>
  <c r="AO14" i="2"/>
  <c r="AO26" i="2"/>
  <c r="AO33" i="2"/>
  <c r="AN14" i="2"/>
  <c r="AN26" i="2"/>
  <c r="AN33" i="2"/>
  <c r="AM14" i="2"/>
  <c r="AM26" i="2"/>
  <c r="AM33" i="2"/>
  <c r="AL14" i="2"/>
  <c r="AL26" i="2"/>
  <c r="AL33" i="2"/>
  <c r="AK14" i="2"/>
  <c r="AK26" i="2"/>
  <c r="AK33" i="2"/>
  <c r="AJ14" i="2"/>
  <c r="AJ26" i="2"/>
  <c r="AJ33" i="2"/>
  <c r="AI14" i="2"/>
  <c r="AI26" i="2"/>
  <c r="AI33" i="2"/>
  <c r="AH14" i="2"/>
  <c r="AH26" i="2"/>
  <c r="AH33" i="2"/>
  <c r="AG14" i="2"/>
  <c r="AG26" i="2"/>
  <c r="AG33" i="2"/>
  <c r="AF14" i="2"/>
  <c r="AF26" i="2"/>
  <c r="AF33" i="2"/>
  <c r="AE14" i="2"/>
  <c r="AE26" i="2"/>
  <c r="AE33" i="2"/>
  <c r="AD14" i="2"/>
  <c r="AD26" i="2"/>
  <c r="AD33" i="2"/>
  <c r="AC14" i="2"/>
  <c r="AC26" i="2"/>
  <c r="AC33" i="2"/>
  <c r="AB14" i="2"/>
  <c r="AB26" i="2"/>
  <c r="AB33" i="2"/>
  <c r="AA14" i="2"/>
  <c r="Z14" i="2"/>
  <c r="Z23" i="2"/>
  <c r="Y14" i="2"/>
  <c r="Y23" i="2"/>
  <c r="X14" i="2"/>
  <c r="X23" i="2"/>
  <c r="W14" i="2"/>
  <c r="W26" i="2"/>
  <c r="W33" i="2"/>
  <c r="W23" i="2"/>
  <c r="V14" i="2"/>
  <c r="V23" i="2"/>
  <c r="U14" i="2"/>
  <c r="U23" i="2"/>
  <c r="T14" i="2"/>
  <c r="T26" i="2"/>
  <c r="T33" i="2"/>
  <c r="T23" i="2"/>
  <c r="S14" i="2"/>
  <c r="S23" i="2"/>
  <c r="R14" i="2"/>
  <c r="R23" i="2"/>
  <c r="Q14" i="2"/>
  <c r="Q23" i="2"/>
  <c r="P14" i="2"/>
  <c r="P26" i="2"/>
  <c r="P33" i="2"/>
  <c r="R82" i="3"/>
  <c r="P23" i="2"/>
  <c r="O14" i="2"/>
  <c r="O23" i="2"/>
  <c r="N14" i="2"/>
  <c r="N23" i="2"/>
  <c r="M14" i="2"/>
  <c r="M23" i="2"/>
  <c r="L14" i="2"/>
  <c r="L23" i="2"/>
  <c r="K14" i="2"/>
  <c r="K26" i="2"/>
  <c r="K33" i="2"/>
  <c r="K23" i="2"/>
  <c r="J14" i="2"/>
  <c r="J23" i="2"/>
  <c r="I14" i="2"/>
  <c r="I23" i="2"/>
  <c r="H14" i="2"/>
  <c r="H23" i="2"/>
  <c r="G14" i="2"/>
  <c r="G26" i="2"/>
  <c r="G33" i="2"/>
  <c r="G23" i="2"/>
  <c r="F14" i="2"/>
  <c r="F23" i="2"/>
  <c r="E14" i="2"/>
  <c r="E26" i="2"/>
  <c r="E33" i="2"/>
  <c r="E23" i="2"/>
  <c r="D14" i="2"/>
  <c r="D23" i="2"/>
  <c r="C14" i="2"/>
  <c r="C23" i="2"/>
  <c r="A1" i="2"/>
  <c r="A1" i="8"/>
  <c r="A3" i="3"/>
  <c r="A2" i="3"/>
  <c r="A3" i="2"/>
  <c r="B109" i="3"/>
  <c r="A2" i="2"/>
  <c r="A89" i="8"/>
  <c r="C82" i="2"/>
  <c r="D82" i="2"/>
  <c r="E82" i="2"/>
  <c r="F82" i="2"/>
  <c r="G82" i="2"/>
  <c r="H82" i="2"/>
  <c r="I82" i="2"/>
  <c r="J82" i="2"/>
  <c r="K82" i="2"/>
  <c r="L82" i="2"/>
  <c r="M82" i="2"/>
  <c r="N82" i="2"/>
  <c r="BE26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H62" i="3"/>
  <c r="G61" i="3"/>
  <c r="G62" i="3"/>
  <c r="F61" i="3"/>
  <c r="E61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N62" i="3"/>
  <c r="M60" i="3"/>
  <c r="L60" i="3"/>
  <c r="K60" i="3"/>
  <c r="J60" i="3"/>
  <c r="I60" i="3"/>
  <c r="H60" i="3"/>
  <c r="G60" i="3"/>
  <c r="G67" i="3"/>
  <c r="F60" i="3"/>
  <c r="F67" i="3"/>
  <c r="E60" i="3"/>
  <c r="E62" i="3"/>
  <c r="AA59" i="3"/>
  <c r="Z59" i="3"/>
  <c r="Y59" i="3"/>
  <c r="X59" i="3"/>
  <c r="W59" i="3"/>
  <c r="V59" i="3"/>
  <c r="U59" i="3"/>
  <c r="T59" i="3"/>
  <c r="T62" i="3"/>
  <c r="S59" i="3"/>
  <c r="R59" i="3"/>
  <c r="Q59" i="3"/>
  <c r="P59" i="3"/>
  <c r="L102" i="8"/>
  <c r="O59" i="3"/>
  <c r="N59" i="3"/>
  <c r="M59" i="3"/>
  <c r="L59" i="3"/>
  <c r="K59" i="3"/>
  <c r="J59" i="3"/>
  <c r="I59" i="3"/>
  <c r="H59" i="3"/>
  <c r="G59" i="3"/>
  <c r="F59" i="3"/>
  <c r="E59" i="3"/>
  <c r="AB61" i="3"/>
  <c r="AB60" i="3"/>
  <c r="AB59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B21" i="3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C81" i="2"/>
  <c r="AB81" i="2"/>
  <c r="AA81" i="2"/>
  <c r="Z81" i="2"/>
  <c r="Y81" i="2"/>
  <c r="AA81" i="3"/>
  <c r="X81" i="2"/>
  <c r="W81" i="2"/>
  <c r="V81" i="2"/>
  <c r="U81" i="2"/>
  <c r="T81" i="2"/>
  <c r="S81" i="2"/>
  <c r="R81" i="2"/>
  <c r="Q81" i="2"/>
  <c r="P81" i="2"/>
  <c r="O81" i="2"/>
  <c r="Q147" i="3"/>
  <c r="N81" i="2"/>
  <c r="M81" i="2"/>
  <c r="L81" i="2"/>
  <c r="K81" i="2"/>
  <c r="J81" i="2"/>
  <c r="I81" i="2"/>
  <c r="H81" i="2"/>
  <c r="F81" i="2"/>
  <c r="E81" i="2"/>
  <c r="D81" i="2"/>
  <c r="C81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AB80" i="3"/>
  <c r="Y80" i="2"/>
  <c r="X80" i="2"/>
  <c r="Z80" i="3"/>
  <c r="W80" i="2"/>
  <c r="V80" i="2"/>
  <c r="U80" i="2"/>
  <c r="W80" i="3"/>
  <c r="T80" i="2"/>
  <c r="V80" i="3"/>
  <c r="S80" i="2"/>
  <c r="U80" i="3"/>
  <c r="R80" i="2"/>
  <c r="T80" i="3"/>
  <c r="Q80" i="2"/>
  <c r="P80" i="2"/>
  <c r="R80" i="3"/>
  <c r="O80" i="2"/>
  <c r="Q80" i="3"/>
  <c r="N80" i="2"/>
  <c r="P80" i="3"/>
  <c r="M80" i="2"/>
  <c r="O80" i="3"/>
  <c r="L80" i="2"/>
  <c r="N80" i="3"/>
  <c r="K80" i="2"/>
  <c r="M80" i="3"/>
  <c r="J80" i="2"/>
  <c r="L80" i="3"/>
  <c r="I80" i="2"/>
  <c r="K80" i="3"/>
  <c r="H80" i="2"/>
  <c r="J80" i="3"/>
  <c r="F80" i="2"/>
  <c r="H80" i="3"/>
  <c r="E80" i="2"/>
  <c r="D80" i="2"/>
  <c r="F80" i="3"/>
  <c r="C80" i="2"/>
  <c r="E80" i="3"/>
  <c r="AB79" i="3"/>
  <c r="Z79" i="3"/>
  <c r="W79" i="3"/>
  <c r="V79" i="3"/>
  <c r="U79" i="3"/>
  <c r="T79" i="3"/>
  <c r="Q79" i="3"/>
  <c r="P79" i="3"/>
  <c r="N79" i="3"/>
  <c r="M79" i="3"/>
  <c r="L79" i="3"/>
  <c r="K79" i="3"/>
  <c r="J79" i="3"/>
  <c r="H79" i="3"/>
  <c r="G79" i="3"/>
  <c r="E79" i="3"/>
  <c r="G80" i="2"/>
  <c r="I79" i="3"/>
  <c r="A1" i="3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Z83" i="3"/>
  <c r="W40" i="2"/>
  <c r="Y83" i="3"/>
  <c r="V40" i="2"/>
  <c r="X83" i="3"/>
  <c r="U40" i="2"/>
  <c r="W83" i="3"/>
  <c r="T40" i="2"/>
  <c r="S40" i="2"/>
  <c r="R40" i="2"/>
  <c r="Q40" i="2"/>
  <c r="P40" i="2"/>
  <c r="R83" i="3"/>
  <c r="O40" i="2"/>
  <c r="N40" i="2"/>
  <c r="P83" i="3"/>
  <c r="M40" i="2"/>
  <c r="L40" i="2"/>
  <c r="J40" i="2"/>
  <c r="I40" i="2"/>
  <c r="H40" i="2"/>
  <c r="G40" i="2"/>
  <c r="I83" i="3"/>
  <c r="F40" i="2"/>
  <c r="H83" i="3"/>
  <c r="E40" i="2"/>
  <c r="G83" i="3"/>
  <c r="D40" i="2"/>
  <c r="C40" i="2"/>
  <c r="AA166" i="2"/>
  <c r="Z166" i="2"/>
  <c r="Y166" i="2"/>
  <c r="X166" i="2"/>
  <c r="V166" i="2"/>
  <c r="U166" i="2"/>
  <c r="T166" i="2"/>
  <c r="S166" i="2"/>
  <c r="R166" i="2"/>
  <c r="Q166" i="2"/>
  <c r="P166" i="2"/>
  <c r="A164" i="2"/>
  <c r="A165" i="2"/>
  <c r="A166" i="2"/>
  <c r="B90" i="3"/>
  <c r="BE62" i="3"/>
  <c r="H76" i="3"/>
  <c r="G76" i="3"/>
  <c r="F76" i="3"/>
  <c r="E76" i="3"/>
  <c r="I127" i="3"/>
  <c r="I128" i="3"/>
  <c r="I117" i="3"/>
  <c r="I118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I124" i="3"/>
  <c r="I125" i="3"/>
  <c r="J124" i="3"/>
  <c r="J125" i="3"/>
  <c r="K124" i="3"/>
  <c r="K125" i="3"/>
  <c r="I123" i="3"/>
  <c r="L124" i="3"/>
  <c r="L125" i="3"/>
  <c r="J123" i="3"/>
  <c r="M124" i="3"/>
  <c r="M125" i="3"/>
  <c r="K123" i="3"/>
  <c r="N124" i="3"/>
  <c r="N125" i="3"/>
  <c r="L123" i="3"/>
  <c r="O124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I114" i="3"/>
  <c r="I115" i="3"/>
  <c r="J114" i="3"/>
  <c r="J115" i="3"/>
  <c r="K114" i="3"/>
  <c r="K115" i="3"/>
  <c r="V116" i="3"/>
  <c r="W116" i="3"/>
  <c r="X116" i="3"/>
  <c r="Y116" i="3"/>
  <c r="BR77" i="3"/>
  <c r="BR112" i="3"/>
  <c r="BR113" i="3"/>
  <c r="BR114" i="3"/>
  <c r="BR115" i="3"/>
  <c r="BR116" i="3"/>
  <c r="BR117" i="3"/>
  <c r="BR118" i="3"/>
  <c r="BR119" i="3"/>
  <c r="BR128" i="3"/>
  <c r="BR129" i="3"/>
  <c r="BR131" i="3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60" i="8"/>
  <c r="BR148" i="3"/>
  <c r="V20" i="3"/>
  <c r="BO45" i="3"/>
  <c r="AV140" i="3"/>
  <c r="AU140" i="3"/>
  <c r="AT140" i="3"/>
  <c r="AS140" i="3"/>
  <c r="AV42" i="3"/>
  <c r="AU42" i="3"/>
  <c r="AT42" i="3"/>
  <c r="AS42" i="3"/>
  <c r="AV37" i="3"/>
  <c r="AU37" i="3"/>
  <c r="AT37" i="3"/>
  <c r="AS37" i="3"/>
  <c r="AV32" i="3"/>
  <c r="AU32" i="3"/>
  <c r="AT32" i="3"/>
  <c r="AS32" i="3"/>
  <c r="AV12" i="3"/>
  <c r="AU12" i="3"/>
  <c r="AT12" i="3"/>
  <c r="AS12" i="3"/>
  <c r="AE92" i="8"/>
  <c r="AF92" i="8"/>
  <c r="AG92" i="8"/>
  <c r="AH92" i="8"/>
  <c r="V92" i="8"/>
  <c r="AB200" i="3"/>
  <c r="AB199" i="3"/>
  <c r="AB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B194" i="3"/>
  <c r="AB193" i="3"/>
  <c r="AB192" i="3"/>
  <c r="AB191" i="3"/>
  <c r="AB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B186" i="3"/>
  <c r="AB185" i="3"/>
  <c r="AB184" i="3"/>
  <c r="V111" i="8"/>
  <c r="AB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B180" i="3"/>
  <c r="AB179" i="3"/>
  <c r="AB178" i="3"/>
  <c r="AC175" i="3"/>
  <c r="AB168" i="3"/>
  <c r="AB167" i="3"/>
  <c r="AB166" i="3"/>
  <c r="AB155" i="3"/>
  <c r="AB149" i="3"/>
  <c r="AB140" i="3"/>
  <c r="AB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B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B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B102" i="3"/>
  <c r="AB99" i="3"/>
  <c r="AB39" i="3"/>
  <c r="AB41" i="3"/>
  <c r="AB35" i="3"/>
  <c r="AB34" i="3"/>
  <c r="AB30" i="3"/>
  <c r="AB29" i="3"/>
  <c r="AB20" i="3"/>
  <c r="AC25" i="3"/>
  <c r="AB15" i="3"/>
  <c r="AB14" i="3"/>
  <c r="AB17" i="3"/>
  <c r="AB9" i="3"/>
  <c r="AB12" i="3"/>
  <c r="AB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A92" i="8"/>
  <c r="AB92" i="8"/>
  <c r="AC92" i="8"/>
  <c r="AD92" i="8"/>
  <c r="U92" i="8"/>
  <c r="AA200" i="3"/>
  <c r="AA199" i="3"/>
  <c r="AA198" i="3"/>
  <c r="AA194" i="3"/>
  <c r="AA193" i="3"/>
  <c r="AA192" i="3"/>
  <c r="AA191" i="3"/>
  <c r="AA187" i="3"/>
  <c r="AA186" i="3"/>
  <c r="AA185" i="3"/>
  <c r="AA184" i="3"/>
  <c r="AA181" i="3"/>
  <c r="AA180" i="3"/>
  <c r="AA179" i="3"/>
  <c r="AA178" i="3"/>
  <c r="AA168" i="3"/>
  <c r="AA167" i="3"/>
  <c r="AA166" i="3"/>
  <c r="AA155" i="3"/>
  <c r="AA149" i="3"/>
  <c r="AA140" i="3"/>
  <c r="AA105" i="3"/>
  <c r="AA104" i="3"/>
  <c r="AA103" i="3"/>
  <c r="AA102" i="3"/>
  <c r="AA101" i="3"/>
  <c r="AA99" i="3"/>
  <c r="AA39" i="3"/>
  <c r="AA35" i="3"/>
  <c r="AA34" i="3"/>
  <c r="AA30" i="3"/>
  <c r="AA29" i="3"/>
  <c r="AA20" i="3"/>
  <c r="AA15" i="3"/>
  <c r="AA14" i="3"/>
  <c r="AA9" i="3"/>
  <c r="AA12" i="3"/>
  <c r="AA165" i="3"/>
  <c r="AB165" i="3"/>
  <c r="AA62" i="3"/>
  <c r="BL17" i="3"/>
  <c r="BM17" i="3"/>
  <c r="BE61" i="3"/>
  <c r="BE60" i="3"/>
  <c r="BE25" i="3"/>
  <c r="R82" i="2"/>
  <c r="T148" i="3"/>
  <c r="Q82" i="2"/>
  <c r="S148" i="3"/>
  <c r="P82" i="2"/>
  <c r="O82" i="2"/>
  <c r="V82" i="2"/>
  <c r="X148" i="3"/>
  <c r="T82" i="2"/>
  <c r="U82" i="2"/>
  <c r="W148" i="3"/>
  <c r="S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AB148" i="3"/>
  <c r="Y82" i="2"/>
  <c r="AA148" i="3"/>
  <c r="X82" i="2"/>
  <c r="W82" i="2"/>
  <c r="W166" i="2"/>
  <c r="AB145" i="3"/>
  <c r="AA164" i="3"/>
  <c r="AB164" i="3"/>
  <c r="Z126" i="3"/>
  <c r="Z116" i="3"/>
  <c r="T92" i="8"/>
  <c r="Z200" i="3"/>
  <c r="Z199" i="3"/>
  <c r="Z198" i="3"/>
  <c r="Z194" i="3"/>
  <c r="Z193" i="3"/>
  <c r="Z192" i="3"/>
  <c r="Z191" i="3"/>
  <c r="Z187" i="3"/>
  <c r="Z186" i="3"/>
  <c r="Z185" i="3"/>
  <c r="Z184" i="3"/>
  <c r="Z181" i="3"/>
  <c r="Z180" i="3"/>
  <c r="Z179" i="3"/>
  <c r="Z178" i="3"/>
  <c r="Z168" i="3"/>
  <c r="Z167" i="3"/>
  <c r="Z166" i="3"/>
  <c r="Z165" i="3"/>
  <c r="Z164" i="3"/>
  <c r="Z155" i="3"/>
  <c r="Z149" i="3"/>
  <c r="Z140" i="3"/>
  <c r="Z105" i="3"/>
  <c r="Z104" i="3"/>
  <c r="Z103" i="3"/>
  <c r="Z102" i="3"/>
  <c r="Z99" i="3"/>
  <c r="Z39" i="3"/>
  <c r="Z35" i="3"/>
  <c r="Z34" i="3"/>
  <c r="Z30" i="3"/>
  <c r="Z29" i="3"/>
  <c r="Z20" i="3"/>
  <c r="AC215" i="3"/>
  <c r="Z15" i="3"/>
  <c r="Z14" i="3"/>
  <c r="Z9" i="3"/>
  <c r="Z12" i="3"/>
  <c r="AA159" i="3"/>
  <c r="AA126" i="3"/>
  <c r="AA116" i="3"/>
  <c r="Z31" i="3"/>
  <c r="AB116" i="3"/>
  <c r="AB126" i="3"/>
  <c r="AB159" i="3"/>
  <c r="Z159" i="3"/>
  <c r="Z148" i="3"/>
  <c r="Z101" i="3"/>
  <c r="Z156" i="3"/>
  <c r="Z157" i="3"/>
  <c r="Z172" i="3"/>
  <c r="Z150" i="3"/>
  <c r="Z145" i="3"/>
  <c r="AA156" i="3"/>
  <c r="AB156" i="3"/>
  <c r="AA150" i="3"/>
  <c r="AB150" i="3"/>
  <c r="AA172" i="3"/>
  <c r="AB172" i="3"/>
  <c r="AA157" i="3"/>
  <c r="AB157" i="3"/>
  <c r="S92" i="8"/>
  <c r="Y200" i="3"/>
  <c r="Y199" i="3"/>
  <c r="Y198" i="3"/>
  <c r="Y194" i="3"/>
  <c r="Y193" i="3"/>
  <c r="Y192" i="3"/>
  <c r="Y191" i="3"/>
  <c r="Y187" i="3"/>
  <c r="Y186" i="3"/>
  <c r="Y185" i="3"/>
  <c r="Y184" i="3"/>
  <c r="Y181" i="3"/>
  <c r="Y180" i="3"/>
  <c r="Y179" i="3"/>
  <c r="Y178" i="3"/>
  <c r="S111" i="8"/>
  <c r="Y172" i="3"/>
  <c r="Y168" i="3"/>
  <c r="Y167" i="3"/>
  <c r="Y166" i="3"/>
  <c r="Y165" i="3"/>
  <c r="Y164" i="3"/>
  <c r="Y159" i="3"/>
  <c r="Y157" i="3"/>
  <c r="Y156" i="3"/>
  <c r="Y155" i="3"/>
  <c r="Y150" i="3"/>
  <c r="Y149" i="3"/>
  <c r="Y148" i="3"/>
  <c r="Y140" i="3"/>
  <c r="Y105" i="3"/>
  <c r="Y104" i="3"/>
  <c r="Y103" i="3"/>
  <c r="Y102" i="3"/>
  <c r="Y101" i="3"/>
  <c r="Y99" i="3"/>
  <c r="Y39" i="3"/>
  <c r="Y35" i="3"/>
  <c r="Y34" i="3"/>
  <c r="Y30" i="3"/>
  <c r="Y29" i="3"/>
  <c r="Y20" i="3"/>
  <c r="Y22" i="3"/>
  <c r="Y15" i="3"/>
  <c r="Y14" i="3"/>
  <c r="Y9" i="3"/>
  <c r="Y12" i="3"/>
  <c r="Y158" i="3"/>
  <c r="Z158" i="3"/>
  <c r="AA158" i="3"/>
  <c r="AB158" i="3"/>
  <c r="X81" i="3"/>
  <c r="X200" i="3"/>
  <c r="X199" i="3"/>
  <c r="X198" i="3"/>
  <c r="X194" i="3"/>
  <c r="X193" i="3"/>
  <c r="X192" i="3"/>
  <c r="X191" i="3"/>
  <c r="X187" i="3"/>
  <c r="X186" i="3"/>
  <c r="X185" i="3"/>
  <c r="X184" i="3"/>
  <c r="R111" i="8"/>
  <c r="X181" i="3"/>
  <c r="X180" i="3"/>
  <c r="X179" i="3"/>
  <c r="X178" i="3"/>
  <c r="X168" i="3"/>
  <c r="X167" i="3"/>
  <c r="X166" i="3"/>
  <c r="X164" i="3"/>
  <c r="X159" i="3"/>
  <c r="X158" i="3"/>
  <c r="X155" i="3"/>
  <c r="X150" i="3"/>
  <c r="X149" i="3"/>
  <c r="X140" i="3"/>
  <c r="X105" i="3"/>
  <c r="X104" i="3"/>
  <c r="X103" i="3"/>
  <c r="X102" i="3"/>
  <c r="X101" i="3"/>
  <c r="X99" i="3"/>
  <c r="X39" i="3"/>
  <c r="X35" i="3"/>
  <c r="X34" i="3"/>
  <c r="X30" i="3"/>
  <c r="X29" i="3"/>
  <c r="X20" i="3"/>
  <c r="X15" i="3"/>
  <c r="X14" i="3"/>
  <c r="X18" i="3"/>
  <c r="X9" i="3"/>
  <c r="X147" i="3"/>
  <c r="R148" i="3"/>
  <c r="Q148" i="3"/>
  <c r="P148" i="3"/>
  <c r="O148" i="3"/>
  <c r="N148" i="3"/>
  <c r="X172" i="3"/>
  <c r="V148" i="3"/>
  <c r="X157" i="3"/>
  <c r="X156" i="3"/>
  <c r="X165" i="3"/>
  <c r="BE53" i="3"/>
  <c r="H170" i="8"/>
  <c r="H171" i="8"/>
  <c r="H172" i="8"/>
  <c r="H173" i="8"/>
  <c r="H174" i="8"/>
  <c r="H161" i="8"/>
  <c r="H162" i="8"/>
  <c r="H163" i="8"/>
  <c r="H164" i="8"/>
  <c r="H165" i="8"/>
  <c r="H166" i="8"/>
  <c r="H167" i="8"/>
  <c r="H168" i="8"/>
  <c r="H169" i="8"/>
  <c r="H160" i="8"/>
  <c r="BE45" i="3"/>
  <c r="Q92" i="8"/>
  <c r="W200" i="3"/>
  <c r="W199" i="3"/>
  <c r="W198" i="3"/>
  <c r="W194" i="3"/>
  <c r="W193" i="3"/>
  <c r="W192" i="3"/>
  <c r="W191" i="3"/>
  <c r="W187" i="3"/>
  <c r="W186" i="3"/>
  <c r="W185" i="3"/>
  <c r="W184" i="3"/>
  <c r="W181" i="3"/>
  <c r="W180" i="3"/>
  <c r="W179" i="3"/>
  <c r="W178" i="3"/>
  <c r="W172" i="3"/>
  <c r="W168" i="3"/>
  <c r="W167" i="3"/>
  <c r="W166" i="3"/>
  <c r="W165" i="3"/>
  <c r="W164" i="3"/>
  <c r="W159" i="3"/>
  <c r="W158" i="3"/>
  <c r="W157" i="3"/>
  <c r="W156" i="3"/>
  <c r="W155" i="3"/>
  <c r="W150" i="3"/>
  <c r="W149" i="3"/>
  <c r="W140" i="3"/>
  <c r="W105" i="3"/>
  <c r="W104" i="3"/>
  <c r="W103" i="3"/>
  <c r="W102" i="3"/>
  <c r="W101" i="3"/>
  <c r="W99" i="3"/>
  <c r="W39" i="3"/>
  <c r="W35" i="3"/>
  <c r="W34" i="3"/>
  <c r="W30" i="3"/>
  <c r="W29" i="3"/>
  <c r="W20" i="3"/>
  <c r="W25" i="3"/>
  <c r="W15" i="3"/>
  <c r="W14" i="3"/>
  <c r="W9" i="3"/>
  <c r="W23" i="3"/>
  <c r="W92" i="8"/>
  <c r="X92" i="8"/>
  <c r="Y92" i="8"/>
  <c r="Z92" i="8"/>
  <c r="R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V200" i="3"/>
  <c r="U200" i="3"/>
  <c r="V199" i="3"/>
  <c r="U199" i="3"/>
  <c r="V198" i="3"/>
  <c r="U198" i="3"/>
  <c r="V194" i="3"/>
  <c r="U194" i="3"/>
  <c r="V193" i="3"/>
  <c r="U193" i="3"/>
  <c r="V192" i="3"/>
  <c r="U192" i="3"/>
  <c r="V191" i="3"/>
  <c r="U191" i="3"/>
  <c r="V187" i="3"/>
  <c r="U187" i="3"/>
  <c r="V186" i="3"/>
  <c r="U186" i="3"/>
  <c r="V185" i="3"/>
  <c r="U185" i="3"/>
  <c r="V184" i="3"/>
  <c r="U184" i="3"/>
  <c r="V181" i="3"/>
  <c r="U181" i="3"/>
  <c r="V180" i="3"/>
  <c r="U180" i="3"/>
  <c r="V179" i="3"/>
  <c r="U179" i="3"/>
  <c r="V178" i="3"/>
  <c r="U178" i="3"/>
  <c r="V172" i="3"/>
  <c r="U172" i="3"/>
  <c r="V168" i="3"/>
  <c r="U168" i="3"/>
  <c r="V167" i="3"/>
  <c r="U167" i="3"/>
  <c r="V166" i="3"/>
  <c r="U166" i="3"/>
  <c r="V165" i="3"/>
  <c r="U165" i="3"/>
  <c r="V164" i="3"/>
  <c r="U164" i="3"/>
  <c r="V159" i="3"/>
  <c r="U159" i="3"/>
  <c r="V158" i="3"/>
  <c r="U158" i="3"/>
  <c r="V157" i="3"/>
  <c r="U157" i="3"/>
  <c r="V156" i="3"/>
  <c r="U156" i="3"/>
  <c r="V155" i="3"/>
  <c r="U155" i="3"/>
  <c r="V150" i="3"/>
  <c r="U150" i="3"/>
  <c r="V149" i="3"/>
  <c r="U149" i="3"/>
  <c r="U145" i="3"/>
  <c r="V140" i="3"/>
  <c r="U140" i="3"/>
  <c r="V105" i="3"/>
  <c r="U105" i="3"/>
  <c r="V104" i="3"/>
  <c r="U104" i="3"/>
  <c r="V103" i="3"/>
  <c r="U103" i="3"/>
  <c r="V102" i="3"/>
  <c r="U102" i="3"/>
  <c r="V101" i="3"/>
  <c r="U101" i="3"/>
  <c r="V99" i="3"/>
  <c r="U99" i="3"/>
  <c r="V39" i="3"/>
  <c r="V35" i="3"/>
  <c r="V37" i="3"/>
  <c r="V34" i="3"/>
  <c r="V30" i="3"/>
  <c r="V29" i="3"/>
  <c r="V15" i="3"/>
  <c r="V14" i="3"/>
  <c r="V9" i="3"/>
  <c r="U39" i="3"/>
  <c r="U35" i="3"/>
  <c r="U34" i="3"/>
  <c r="U30" i="3"/>
  <c r="U29" i="3"/>
  <c r="U20" i="3"/>
  <c r="U15" i="3"/>
  <c r="BI17" i="3"/>
  <c r="U14" i="3"/>
  <c r="U9" i="3"/>
  <c r="U12" i="3"/>
  <c r="AB83" i="3"/>
  <c r="AA83" i="3"/>
  <c r="V83" i="3"/>
  <c r="U83" i="3"/>
  <c r="K40" i="2"/>
  <c r="M83" i="3"/>
  <c r="V36" i="3"/>
  <c r="BL61" i="3"/>
  <c r="BM61" i="3"/>
  <c r="BN61" i="3"/>
  <c r="BO61" i="3"/>
  <c r="BL60" i="3"/>
  <c r="BM60" i="3"/>
  <c r="BN60" i="3"/>
  <c r="BO60" i="3"/>
  <c r="V11" i="3"/>
  <c r="BL59" i="3"/>
  <c r="BM59" i="3"/>
  <c r="BN59" i="3"/>
  <c r="BO59" i="3"/>
  <c r="V145" i="3"/>
  <c r="U37" i="3"/>
  <c r="W145" i="3"/>
  <c r="BR214" i="3"/>
  <c r="BR213" i="3"/>
  <c r="BR212" i="3"/>
  <c r="BR211" i="3"/>
  <c r="BR210" i="3"/>
  <c r="BR209" i="3"/>
  <c r="BR208" i="3"/>
  <c r="BR207" i="3"/>
  <c r="BR206" i="3"/>
  <c r="BR205" i="3"/>
  <c r="BR204" i="3"/>
  <c r="A204" i="3"/>
  <c r="BR203" i="3"/>
  <c r="BR202" i="3"/>
  <c r="A202" i="3"/>
  <c r="BR201" i="3"/>
  <c r="B201" i="3"/>
  <c r="BR200" i="3"/>
  <c r="T200" i="3"/>
  <c r="S200" i="3"/>
  <c r="R200" i="3"/>
  <c r="Q200" i="3"/>
  <c r="Q202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B200" i="3"/>
  <c r="BR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B199" i="3"/>
  <c r="BR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B198" i="3"/>
  <c r="BR197" i="3"/>
  <c r="BR196" i="3"/>
  <c r="A196" i="3"/>
  <c r="BR195" i="3"/>
  <c r="B195" i="3"/>
  <c r="BR194" i="3"/>
  <c r="T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B194" i="3"/>
  <c r="BR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B193" i="3"/>
  <c r="BR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B192" i="3"/>
  <c r="BR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B191" i="3"/>
  <c r="BR190" i="3"/>
  <c r="BR189" i="3"/>
  <c r="A189" i="3"/>
  <c r="BR188" i="3"/>
  <c r="B188" i="3"/>
  <c r="BR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B187" i="3"/>
  <c r="BR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B186" i="3"/>
  <c r="BR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B185" i="3"/>
  <c r="BR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B184" i="3"/>
  <c r="BR183" i="3"/>
  <c r="A183" i="3"/>
  <c r="BR182" i="3"/>
  <c r="B182" i="3"/>
  <c r="BR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F183" i="3"/>
  <c r="E181" i="3"/>
  <c r="B181" i="3"/>
  <c r="BR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H213" i="3"/>
  <c r="G180" i="3"/>
  <c r="G213" i="3"/>
  <c r="F180" i="3"/>
  <c r="F213" i="3"/>
  <c r="E180" i="3"/>
  <c r="E213" i="3"/>
  <c r="B180" i="3"/>
  <c r="BR179" i="3"/>
  <c r="T179" i="3"/>
  <c r="S179" i="3"/>
  <c r="R179" i="3"/>
  <c r="Q179" i="3"/>
  <c r="P179" i="3"/>
  <c r="O179" i="3"/>
  <c r="N179" i="3"/>
  <c r="M179" i="3"/>
  <c r="L179" i="3"/>
  <c r="K179" i="3"/>
  <c r="J179" i="3"/>
  <c r="J211" i="3"/>
  <c r="J109" i="3"/>
  <c r="I179" i="3"/>
  <c r="H179" i="3"/>
  <c r="G179" i="3"/>
  <c r="F179" i="3"/>
  <c r="E179" i="3"/>
  <c r="B179" i="3"/>
  <c r="BR178" i="3"/>
  <c r="T178" i="3"/>
  <c r="S178" i="3"/>
  <c r="R178" i="3"/>
  <c r="Q178" i="3"/>
  <c r="P178" i="3"/>
  <c r="O178" i="3"/>
  <c r="N178" i="3"/>
  <c r="M178" i="3"/>
  <c r="L178" i="3"/>
  <c r="K178" i="3"/>
  <c r="K211" i="3"/>
  <c r="K109" i="3"/>
  <c r="J178" i="3"/>
  <c r="I178" i="3"/>
  <c r="H178" i="3"/>
  <c r="G178" i="3"/>
  <c r="F178" i="3"/>
  <c r="E178" i="3"/>
  <c r="B178" i="3"/>
  <c r="BR177" i="3"/>
  <c r="BR176" i="3"/>
  <c r="BR175" i="3"/>
  <c r="BR174" i="3"/>
  <c r="A174" i="3"/>
  <c r="BR173" i="3"/>
  <c r="BR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A172" i="3"/>
  <c r="BR171" i="3"/>
  <c r="BR170" i="3"/>
  <c r="BR169" i="3"/>
  <c r="B169" i="3"/>
  <c r="BR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B168" i="3"/>
  <c r="BR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B167" i="3"/>
  <c r="BR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B166" i="3"/>
  <c r="BR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B165" i="3"/>
  <c r="BR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B164" i="3"/>
  <c r="BR163" i="3"/>
  <c r="A163" i="3"/>
  <c r="BR162" i="3"/>
  <c r="BR161" i="3"/>
  <c r="A161" i="3"/>
  <c r="BR160" i="3"/>
  <c r="B160" i="3"/>
  <c r="BR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B159" i="3"/>
  <c r="BR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B158" i="3"/>
  <c r="BE158" i="3"/>
  <c r="BR157" i="3"/>
  <c r="T157" i="3"/>
  <c r="S157" i="3"/>
  <c r="R157" i="3"/>
  <c r="BA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B157" i="3"/>
  <c r="BE157" i="3"/>
  <c r="BR156" i="3"/>
  <c r="T156" i="3"/>
  <c r="AZ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B156" i="3"/>
  <c r="BE156" i="3"/>
  <c r="BR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B155" i="3"/>
  <c r="BR154" i="3"/>
  <c r="A154" i="3"/>
  <c r="BR153" i="3"/>
  <c r="BR152" i="3"/>
  <c r="A152" i="3"/>
  <c r="BR151" i="3"/>
  <c r="B151" i="3"/>
  <c r="BR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B150" i="3"/>
  <c r="BR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B149" i="3"/>
  <c r="BR147" i="3"/>
  <c r="B147" i="3"/>
  <c r="BR146" i="3"/>
  <c r="B146" i="3"/>
  <c r="BR145" i="3"/>
  <c r="Q145" i="3"/>
  <c r="B145" i="3"/>
  <c r="BR144" i="3"/>
  <c r="A144" i="3"/>
  <c r="BR143" i="3"/>
  <c r="A143" i="3"/>
  <c r="BR142" i="3"/>
  <c r="BR141" i="3"/>
  <c r="BR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BR139" i="3"/>
  <c r="BR137" i="3"/>
  <c r="BR136" i="3"/>
  <c r="BR135" i="3"/>
  <c r="BR134" i="3"/>
  <c r="BR133" i="3"/>
  <c r="BR132" i="3"/>
  <c r="BR111" i="3"/>
  <c r="BR110" i="3"/>
  <c r="BR109" i="3"/>
  <c r="BR108" i="3"/>
  <c r="BR107" i="3"/>
  <c r="BR106" i="3"/>
  <c r="BR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BR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BR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BR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BR101" i="3"/>
  <c r="T101" i="3"/>
  <c r="R101" i="3"/>
  <c r="S101" i="3"/>
  <c r="P101" i="3"/>
  <c r="Q101" i="3"/>
  <c r="O101" i="3"/>
  <c r="N101" i="3"/>
  <c r="M101" i="3"/>
  <c r="L101" i="3"/>
  <c r="K101" i="3"/>
  <c r="J101" i="3"/>
  <c r="I101" i="3"/>
  <c r="H101" i="3"/>
  <c r="G101" i="3"/>
  <c r="F101" i="3"/>
  <c r="E101" i="3"/>
  <c r="BR100" i="3"/>
  <c r="BR99" i="3"/>
  <c r="BE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BR98" i="3"/>
  <c r="BR97" i="3"/>
  <c r="BR96" i="3"/>
  <c r="BR95" i="3"/>
  <c r="BR92" i="3"/>
  <c r="BR91" i="3"/>
  <c r="BR90" i="3"/>
  <c r="BR89" i="3"/>
  <c r="BR87" i="3"/>
  <c r="BR86" i="3"/>
  <c r="BR85" i="3"/>
  <c r="BR84" i="3"/>
  <c r="BR83" i="3"/>
  <c r="BR82" i="3"/>
  <c r="BE82" i="3"/>
  <c r="BR81" i="3"/>
  <c r="BE81" i="3"/>
  <c r="BR80" i="3"/>
  <c r="BE80" i="3"/>
  <c r="BR79" i="3"/>
  <c r="BE79" i="3"/>
  <c r="BR78" i="3"/>
  <c r="BR76" i="3"/>
  <c r="BR75" i="3"/>
  <c r="BR74" i="3"/>
  <c r="BR73" i="3"/>
  <c r="BR72" i="3"/>
  <c r="BR71" i="3"/>
  <c r="BR70" i="3"/>
  <c r="BR69" i="3"/>
  <c r="BR68" i="3"/>
  <c r="BR67" i="3"/>
  <c r="BR65" i="3"/>
  <c r="BR62" i="3"/>
  <c r="BR61" i="3"/>
  <c r="BR60" i="3"/>
  <c r="H67" i="3"/>
  <c r="BR58" i="3"/>
  <c r="BR56" i="3"/>
  <c r="BR55" i="3"/>
  <c r="BR53" i="3"/>
  <c r="BR52" i="3"/>
  <c r="BR47" i="3"/>
  <c r="BR46" i="3"/>
  <c r="BR45" i="3"/>
  <c r="BR44" i="3"/>
  <c r="BR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BR41" i="3"/>
  <c r="BR40" i="3"/>
  <c r="BR39" i="3"/>
  <c r="T39" i="3"/>
  <c r="S39" i="3"/>
  <c r="R39" i="3"/>
  <c r="Q41" i="3"/>
  <c r="P39" i="3"/>
  <c r="O39" i="3"/>
  <c r="N39" i="3"/>
  <c r="M39" i="3"/>
  <c r="L39" i="3"/>
  <c r="K39" i="3"/>
  <c r="J39" i="3"/>
  <c r="I39" i="3"/>
  <c r="H39" i="3"/>
  <c r="G39" i="3"/>
  <c r="F39" i="3"/>
  <c r="E39" i="3"/>
  <c r="A39" i="3"/>
  <c r="BE39" i="3"/>
  <c r="BR38" i="3"/>
  <c r="BR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BR36" i="3"/>
  <c r="BR35" i="3"/>
  <c r="T35" i="3"/>
  <c r="S35" i="3"/>
  <c r="S37" i="3"/>
  <c r="R35" i="3"/>
  <c r="R37" i="3"/>
  <c r="Q35" i="3"/>
  <c r="P35" i="3"/>
  <c r="O35" i="3"/>
  <c r="N35" i="3"/>
  <c r="N37" i="3"/>
  <c r="M35" i="3"/>
  <c r="M37" i="3"/>
  <c r="L35" i="3"/>
  <c r="K35" i="3"/>
  <c r="K36" i="3"/>
  <c r="J35" i="3"/>
  <c r="J37" i="3"/>
  <c r="I35" i="3"/>
  <c r="H35" i="3"/>
  <c r="G35" i="3"/>
  <c r="F35" i="3"/>
  <c r="E35" i="3"/>
  <c r="E36" i="3"/>
  <c r="BR34" i="3"/>
  <c r="T34" i="3"/>
  <c r="S34" i="3"/>
  <c r="R34" i="3"/>
  <c r="Q34" i="3"/>
  <c r="P34" i="3"/>
  <c r="O34" i="3"/>
  <c r="N34" i="3"/>
  <c r="M34" i="3"/>
  <c r="L34" i="3"/>
  <c r="K34" i="3"/>
  <c r="J34" i="3"/>
  <c r="I34" i="3"/>
  <c r="I36" i="3"/>
  <c r="H34" i="3"/>
  <c r="G34" i="3"/>
  <c r="F34" i="3"/>
  <c r="E34" i="3"/>
  <c r="A34" i="3"/>
  <c r="BE34" i="3"/>
  <c r="BR33" i="3"/>
  <c r="BR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BR31" i="3"/>
  <c r="BR30" i="3"/>
  <c r="T30" i="3"/>
  <c r="S30" i="3"/>
  <c r="S32" i="3"/>
  <c r="R30" i="3"/>
  <c r="R31" i="3"/>
  <c r="Q30" i="3"/>
  <c r="P30" i="3"/>
  <c r="P32" i="3"/>
  <c r="O30" i="3"/>
  <c r="N30" i="3"/>
  <c r="M30" i="3"/>
  <c r="L30" i="3"/>
  <c r="K30" i="3"/>
  <c r="K32" i="3"/>
  <c r="J30" i="3"/>
  <c r="BF32" i="3"/>
  <c r="I30" i="3"/>
  <c r="H30" i="3"/>
  <c r="H31" i="3"/>
  <c r="G30" i="3"/>
  <c r="F30" i="3"/>
  <c r="E30" i="3"/>
  <c r="BR29" i="3"/>
  <c r="T29" i="3"/>
  <c r="S29" i="3"/>
  <c r="S31" i="3"/>
  <c r="R29" i="3"/>
  <c r="P29" i="3"/>
  <c r="O29" i="3"/>
  <c r="N29" i="3"/>
  <c r="M29" i="3"/>
  <c r="L29" i="3"/>
  <c r="K29" i="3"/>
  <c r="K31" i="3"/>
  <c r="J29" i="3"/>
  <c r="I29" i="3"/>
  <c r="I32" i="3"/>
  <c r="H29" i="3"/>
  <c r="G29" i="3"/>
  <c r="F29" i="3"/>
  <c r="E29" i="3"/>
  <c r="A29" i="3"/>
  <c r="BE29" i="3"/>
  <c r="BR28" i="3"/>
  <c r="BR26" i="3"/>
  <c r="BR25" i="3"/>
  <c r="BR27" i="3"/>
  <c r="BR23" i="3"/>
  <c r="BR22" i="3"/>
  <c r="BR59" i="3"/>
  <c r="BE59" i="3"/>
  <c r="BR21" i="3"/>
  <c r="BR20" i="3"/>
  <c r="T20" i="3"/>
  <c r="S20" i="3"/>
  <c r="R20" i="3"/>
  <c r="P20" i="3"/>
  <c r="O20" i="3"/>
  <c r="O22" i="3"/>
  <c r="N20" i="3"/>
  <c r="N22" i="3"/>
  <c r="M20" i="3"/>
  <c r="M22" i="3"/>
  <c r="L20" i="3"/>
  <c r="L22" i="3"/>
  <c r="K20" i="3"/>
  <c r="J20" i="3"/>
  <c r="I20" i="3"/>
  <c r="H20" i="3"/>
  <c r="G20" i="3"/>
  <c r="F20" i="3"/>
  <c r="F22" i="3"/>
  <c r="E20" i="3"/>
  <c r="A20" i="3"/>
  <c r="BE20" i="3"/>
  <c r="BR19" i="3"/>
  <c r="BR18" i="3"/>
  <c r="BE18" i="3"/>
  <c r="BR17" i="3"/>
  <c r="BR16" i="3"/>
  <c r="BR15" i="3"/>
  <c r="T15" i="3"/>
  <c r="S15" i="3"/>
  <c r="R15" i="3"/>
  <c r="Q15" i="3"/>
  <c r="P15" i="3"/>
  <c r="O15" i="3"/>
  <c r="N15" i="3"/>
  <c r="N17" i="3"/>
  <c r="M15" i="3"/>
  <c r="M17" i="3"/>
  <c r="L15" i="3"/>
  <c r="K15" i="3"/>
  <c r="J15" i="3"/>
  <c r="I15" i="3"/>
  <c r="H15" i="3"/>
  <c r="H17" i="3"/>
  <c r="G15" i="3"/>
  <c r="F15" i="3"/>
  <c r="F17" i="3"/>
  <c r="E15" i="3"/>
  <c r="E17" i="3"/>
  <c r="BR14" i="3"/>
  <c r="T14" i="3"/>
  <c r="S14" i="3"/>
  <c r="R14" i="3"/>
  <c r="Q14" i="3"/>
  <c r="P14" i="3"/>
  <c r="O14" i="3"/>
  <c r="O16" i="3"/>
  <c r="N14" i="3"/>
  <c r="N46" i="3"/>
  <c r="M14" i="3"/>
  <c r="L14" i="3"/>
  <c r="L46" i="3"/>
  <c r="K14" i="3"/>
  <c r="J14" i="3"/>
  <c r="I14" i="3"/>
  <c r="I46" i="3"/>
  <c r="H14" i="3"/>
  <c r="G14" i="3"/>
  <c r="G16" i="3"/>
  <c r="F14" i="3"/>
  <c r="F16" i="3"/>
  <c r="E14" i="3"/>
  <c r="A14" i="3"/>
  <c r="BE14" i="3"/>
  <c r="BR13" i="3"/>
  <c r="BR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BR11" i="3"/>
  <c r="BR10" i="3"/>
  <c r="L10" i="3"/>
  <c r="K10" i="3"/>
  <c r="K12" i="3"/>
  <c r="J10" i="3"/>
  <c r="BG10" i="3"/>
  <c r="I10" i="3"/>
  <c r="H10" i="3"/>
  <c r="G10" i="3"/>
  <c r="F10" i="3"/>
  <c r="E10" i="3"/>
  <c r="BR9" i="3"/>
  <c r="T9" i="3"/>
  <c r="S9" i="3"/>
  <c r="S11" i="3"/>
  <c r="R9" i="3"/>
  <c r="P9" i="3"/>
  <c r="O9" i="3"/>
  <c r="N9" i="3"/>
  <c r="N11" i="3"/>
  <c r="M9" i="3"/>
  <c r="L9" i="3"/>
  <c r="L47" i="3"/>
  <c r="K9" i="3"/>
  <c r="K47" i="3"/>
  <c r="J9" i="3"/>
  <c r="I9" i="3"/>
  <c r="H9" i="3"/>
  <c r="G9" i="3"/>
  <c r="F9" i="3"/>
  <c r="E9" i="3"/>
  <c r="A9" i="3"/>
  <c r="BE9" i="3"/>
  <c r="BR8" i="3"/>
  <c r="BR5" i="3"/>
  <c r="BT4" i="3"/>
  <c r="BS4" i="3"/>
  <c r="BR4" i="3"/>
  <c r="E4" i="3"/>
  <c r="E91" i="3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X144" i="2"/>
  <c r="AX150" i="2"/>
  <c r="AX151" i="2"/>
  <c r="AW144" i="2"/>
  <c r="AW150" i="2"/>
  <c r="AW151" i="2"/>
  <c r="AV144" i="2"/>
  <c r="AV150" i="2"/>
  <c r="AV151" i="2"/>
  <c r="AU144" i="2"/>
  <c r="AU150" i="2"/>
  <c r="AU151" i="2"/>
  <c r="AT144" i="2"/>
  <c r="AT150" i="2"/>
  <c r="AT151" i="2"/>
  <c r="AS144" i="2"/>
  <c r="AS150" i="2"/>
  <c r="AS151" i="2"/>
  <c r="AR144" i="2"/>
  <c r="AR150" i="2"/>
  <c r="AR151" i="2"/>
  <c r="AQ144" i="2"/>
  <c r="AQ150" i="2"/>
  <c r="AQ151" i="2"/>
  <c r="AP144" i="2"/>
  <c r="AP150" i="2"/>
  <c r="AP151" i="2"/>
  <c r="AO144" i="2"/>
  <c r="AO150" i="2"/>
  <c r="AO151" i="2"/>
  <c r="AN144" i="2"/>
  <c r="AN150" i="2"/>
  <c r="AN151" i="2"/>
  <c r="AM144" i="2"/>
  <c r="AM150" i="2"/>
  <c r="AM151" i="2"/>
  <c r="AL144" i="2"/>
  <c r="AL150" i="2"/>
  <c r="AL151" i="2"/>
  <c r="AK144" i="2"/>
  <c r="AK150" i="2"/>
  <c r="AK151" i="2"/>
  <c r="AJ144" i="2"/>
  <c r="AJ150" i="2"/>
  <c r="AJ151" i="2"/>
  <c r="AI144" i="2"/>
  <c r="AI150" i="2"/>
  <c r="AI151" i="2"/>
  <c r="AH144" i="2"/>
  <c r="AH150" i="2"/>
  <c r="AH151" i="2"/>
  <c r="AG144" i="2"/>
  <c r="AG150" i="2"/>
  <c r="AG151" i="2"/>
  <c r="AF144" i="2"/>
  <c r="AF150" i="2"/>
  <c r="AF151" i="2"/>
  <c r="AE144" i="2"/>
  <c r="AE150" i="2"/>
  <c r="AE151" i="2"/>
  <c r="AD144" i="2"/>
  <c r="AD150" i="2"/>
  <c r="AD151" i="2"/>
  <c r="AC144" i="2"/>
  <c r="AC150" i="2"/>
  <c r="AC151" i="2"/>
  <c r="AB144" i="2"/>
  <c r="AB150" i="2"/>
  <c r="AB151" i="2"/>
  <c r="AA144" i="2"/>
  <c r="AA150" i="2"/>
  <c r="AA151" i="2"/>
  <c r="Z144" i="2"/>
  <c r="Z150" i="2"/>
  <c r="Y144" i="2"/>
  <c r="Y150" i="2"/>
  <c r="X144" i="2"/>
  <c r="X150" i="2"/>
  <c r="W144" i="2"/>
  <c r="W150" i="2"/>
  <c r="W151" i="2"/>
  <c r="V144" i="2"/>
  <c r="V150" i="2"/>
  <c r="X206" i="3"/>
  <c r="U144" i="2"/>
  <c r="U150" i="2"/>
  <c r="T144" i="2"/>
  <c r="T150" i="2"/>
  <c r="S144" i="2"/>
  <c r="S150" i="2"/>
  <c r="S151" i="2"/>
  <c r="R144" i="2"/>
  <c r="R150" i="2"/>
  <c r="Q144" i="2"/>
  <c r="Q150" i="2"/>
  <c r="P144" i="2"/>
  <c r="P150" i="2"/>
  <c r="P151" i="2"/>
  <c r="O144" i="2"/>
  <c r="O150" i="2"/>
  <c r="N144" i="2"/>
  <c r="N150" i="2"/>
  <c r="M144" i="2"/>
  <c r="M150" i="2"/>
  <c r="M151" i="2"/>
  <c r="L144" i="2"/>
  <c r="L150" i="2"/>
  <c r="L151" i="2"/>
  <c r="K144" i="2"/>
  <c r="K150" i="2"/>
  <c r="K151" i="2"/>
  <c r="J144" i="2"/>
  <c r="J150" i="2"/>
  <c r="I144" i="2"/>
  <c r="I150" i="2"/>
  <c r="I151" i="2"/>
  <c r="H144" i="2"/>
  <c r="H150" i="2"/>
  <c r="J206" i="3"/>
  <c r="G144" i="2"/>
  <c r="G150" i="2"/>
  <c r="F144" i="2"/>
  <c r="F150" i="2"/>
  <c r="E144" i="2"/>
  <c r="E150" i="2"/>
  <c r="D144" i="2"/>
  <c r="D150" i="2"/>
  <c r="C144" i="2"/>
  <c r="C150" i="2"/>
  <c r="B144" i="2"/>
  <c r="B150" i="2"/>
  <c r="B15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AB201" i="3"/>
  <c r="Y141" i="2"/>
  <c r="AA201" i="3"/>
  <c r="X141" i="2"/>
  <c r="Z201" i="3"/>
  <c r="W141" i="2"/>
  <c r="Y201" i="3"/>
  <c r="V141" i="2"/>
  <c r="X201" i="3"/>
  <c r="U141" i="2"/>
  <c r="W201" i="3"/>
  <c r="T141" i="2"/>
  <c r="V201" i="3"/>
  <c r="S141" i="2"/>
  <c r="U201" i="3"/>
  <c r="R141" i="2"/>
  <c r="T201" i="3"/>
  <c r="Q141" i="2"/>
  <c r="S201" i="3"/>
  <c r="P141" i="2"/>
  <c r="R201" i="3"/>
  <c r="O141" i="2"/>
  <c r="Q201" i="3"/>
  <c r="N141" i="2"/>
  <c r="P201" i="3"/>
  <c r="M141" i="2"/>
  <c r="O201" i="3"/>
  <c r="O202" i="3"/>
  <c r="L141" i="2"/>
  <c r="N201" i="3"/>
  <c r="K141" i="2"/>
  <c r="M201" i="3"/>
  <c r="J141" i="2"/>
  <c r="L201" i="3"/>
  <c r="I141" i="2"/>
  <c r="K201" i="3"/>
  <c r="H141" i="2"/>
  <c r="J201" i="3"/>
  <c r="G141" i="2"/>
  <c r="I201" i="3"/>
  <c r="F141" i="2"/>
  <c r="H201" i="3"/>
  <c r="E141" i="2"/>
  <c r="G201" i="3"/>
  <c r="D141" i="2"/>
  <c r="F201" i="3"/>
  <c r="C141" i="2"/>
  <c r="E201" i="3"/>
  <c r="B141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AB195" i="3"/>
  <c r="AB196" i="3"/>
  <c r="Y135" i="2"/>
  <c r="AA195" i="3"/>
  <c r="X135" i="2"/>
  <c r="Z195" i="3"/>
  <c r="W135" i="2"/>
  <c r="Y195" i="3"/>
  <c r="V135" i="2"/>
  <c r="X195" i="3"/>
  <c r="U135" i="2"/>
  <c r="W195" i="3"/>
  <c r="T135" i="2"/>
  <c r="V195" i="3"/>
  <c r="S135" i="2"/>
  <c r="U195" i="3"/>
  <c r="R135" i="2"/>
  <c r="T195" i="3"/>
  <c r="Q135" i="2"/>
  <c r="S195" i="3"/>
  <c r="P135" i="2"/>
  <c r="R195" i="3"/>
  <c r="O135" i="2"/>
  <c r="Q195" i="3"/>
  <c r="Q196" i="3"/>
  <c r="N135" i="2"/>
  <c r="P195" i="3"/>
  <c r="M135" i="2"/>
  <c r="O195" i="3"/>
  <c r="L135" i="2"/>
  <c r="N195" i="3"/>
  <c r="K135" i="2"/>
  <c r="M195" i="3"/>
  <c r="J135" i="2"/>
  <c r="L195" i="3"/>
  <c r="I135" i="2"/>
  <c r="K195" i="3"/>
  <c r="H135" i="2"/>
  <c r="J195" i="3"/>
  <c r="G135" i="2"/>
  <c r="I195" i="3"/>
  <c r="F135" i="2"/>
  <c r="H195" i="3"/>
  <c r="E135" i="2"/>
  <c r="G195" i="3"/>
  <c r="D135" i="2"/>
  <c r="F195" i="3"/>
  <c r="C135" i="2"/>
  <c r="E195" i="3"/>
  <c r="B135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AB188" i="3"/>
  <c r="Y128" i="2"/>
  <c r="AA188" i="3"/>
  <c r="X128" i="2"/>
  <c r="Z188" i="3"/>
  <c r="W128" i="2"/>
  <c r="Y188" i="3"/>
  <c r="V128" i="2"/>
  <c r="X188" i="3"/>
  <c r="U128" i="2"/>
  <c r="W188" i="3"/>
  <c r="T128" i="2"/>
  <c r="V188" i="3"/>
  <c r="S128" i="2"/>
  <c r="U188" i="3"/>
  <c r="R128" i="2"/>
  <c r="T188" i="3"/>
  <c r="Q128" i="2"/>
  <c r="S188" i="3"/>
  <c r="P128" i="2"/>
  <c r="R188" i="3"/>
  <c r="O128" i="2"/>
  <c r="Q188" i="3"/>
  <c r="N128" i="2"/>
  <c r="P188" i="3"/>
  <c r="M128" i="2"/>
  <c r="O188" i="3"/>
  <c r="L128" i="2"/>
  <c r="N188" i="3"/>
  <c r="K128" i="2"/>
  <c r="M188" i="3"/>
  <c r="J128" i="2"/>
  <c r="L188" i="3"/>
  <c r="I128" i="2"/>
  <c r="K188" i="3"/>
  <c r="H128" i="2"/>
  <c r="J188" i="3"/>
  <c r="G128" i="2"/>
  <c r="I188" i="3"/>
  <c r="F128" i="2"/>
  <c r="H188" i="3"/>
  <c r="E128" i="2"/>
  <c r="G188" i="3"/>
  <c r="D128" i="2"/>
  <c r="F188" i="3"/>
  <c r="C128" i="2"/>
  <c r="E188" i="3"/>
  <c r="B128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AB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Y121" i="2"/>
  <c r="AA182" i="3"/>
  <c r="X121" i="2"/>
  <c r="Z182" i="3"/>
  <c r="W121" i="2"/>
  <c r="Y182" i="3"/>
  <c r="V121" i="2"/>
  <c r="X182" i="3"/>
  <c r="U121" i="2"/>
  <c r="W182" i="3"/>
  <c r="T121" i="2"/>
  <c r="V182" i="3"/>
  <c r="S121" i="2"/>
  <c r="U182" i="3"/>
  <c r="R121" i="2"/>
  <c r="T182" i="3"/>
  <c r="Q121" i="2"/>
  <c r="S182" i="3"/>
  <c r="P121" i="2"/>
  <c r="R182" i="3"/>
  <c r="O121" i="2"/>
  <c r="Q182" i="3"/>
  <c r="N121" i="2"/>
  <c r="P182" i="3"/>
  <c r="M121" i="2"/>
  <c r="O182" i="3"/>
  <c r="L121" i="2"/>
  <c r="N182" i="3"/>
  <c r="K121" i="2"/>
  <c r="M182" i="3"/>
  <c r="J121" i="2"/>
  <c r="L182" i="3"/>
  <c r="I121" i="2"/>
  <c r="K182" i="3"/>
  <c r="H121" i="2"/>
  <c r="J182" i="3"/>
  <c r="G121" i="2"/>
  <c r="I182" i="3"/>
  <c r="I183" i="3"/>
  <c r="F121" i="2"/>
  <c r="H182" i="3"/>
  <c r="E121" i="2"/>
  <c r="G182" i="3"/>
  <c r="D121" i="2"/>
  <c r="F182" i="3"/>
  <c r="C121" i="2"/>
  <c r="E182" i="3"/>
  <c r="B121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P110" i="2"/>
  <c r="P111" i="2"/>
  <c r="O109" i="2"/>
  <c r="N109" i="2"/>
  <c r="M109" i="2"/>
  <c r="L109" i="2"/>
  <c r="K109" i="2"/>
  <c r="J109" i="2"/>
  <c r="I109" i="2"/>
  <c r="H109" i="2"/>
  <c r="H110" i="2"/>
  <c r="H111" i="2"/>
  <c r="G109" i="2"/>
  <c r="F109" i="2"/>
  <c r="E109" i="2"/>
  <c r="D109" i="2"/>
  <c r="C109" i="2"/>
  <c r="AX107" i="2"/>
  <c r="AX110" i="2"/>
  <c r="AX111" i="2"/>
  <c r="AW107" i="2"/>
  <c r="AW110" i="2"/>
  <c r="AW111" i="2"/>
  <c r="AV107" i="2"/>
  <c r="AV110" i="2"/>
  <c r="AV111" i="2"/>
  <c r="AU107" i="2"/>
  <c r="AT107" i="2"/>
  <c r="AT110" i="2"/>
  <c r="AT111" i="2"/>
  <c r="AS107" i="2"/>
  <c r="AS110" i="2"/>
  <c r="AS111" i="2"/>
  <c r="AR107" i="2"/>
  <c r="AR110" i="2"/>
  <c r="AR111" i="2"/>
  <c r="AQ107" i="2"/>
  <c r="AQ110" i="2"/>
  <c r="AQ111" i="2"/>
  <c r="AP107" i="2"/>
  <c r="AP110" i="2"/>
  <c r="AP111" i="2"/>
  <c r="AO107" i="2"/>
  <c r="AO110" i="2"/>
  <c r="AO111" i="2"/>
  <c r="AN107" i="2"/>
  <c r="AM107" i="2"/>
  <c r="AL107" i="2"/>
  <c r="AL110" i="2"/>
  <c r="AL111" i="2"/>
  <c r="AK107" i="2"/>
  <c r="AJ107" i="2"/>
  <c r="AJ110" i="2"/>
  <c r="AJ111" i="2"/>
  <c r="AI107" i="2"/>
  <c r="AH107" i="2"/>
  <c r="AH110" i="2"/>
  <c r="AH111" i="2"/>
  <c r="AG107" i="2"/>
  <c r="AF107" i="2"/>
  <c r="AE107" i="2"/>
  <c r="AD107" i="2"/>
  <c r="AD110" i="2"/>
  <c r="AD111" i="2"/>
  <c r="AC107" i="2"/>
  <c r="AC110" i="2"/>
  <c r="AC111" i="2"/>
  <c r="AB107" i="2"/>
  <c r="AA107" i="2"/>
  <c r="Z107" i="2"/>
  <c r="Y107" i="2"/>
  <c r="Y110" i="2"/>
  <c r="Y111" i="2"/>
  <c r="X107" i="2"/>
  <c r="W107" i="2"/>
  <c r="U107" i="2"/>
  <c r="T107" i="2"/>
  <c r="S107" i="2"/>
  <c r="R107" i="2"/>
  <c r="R110" i="2"/>
  <c r="R111" i="2"/>
  <c r="Q107" i="2"/>
  <c r="P107" i="2"/>
  <c r="O107" i="2"/>
  <c r="N107" i="2"/>
  <c r="N110" i="2"/>
  <c r="N111" i="2"/>
  <c r="M107" i="2"/>
  <c r="L107" i="2"/>
  <c r="K107" i="2"/>
  <c r="J107" i="2"/>
  <c r="I107" i="2"/>
  <c r="H107" i="2"/>
  <c r="G107" i="2"/>
  <c r="F107" i="2"/>
  <c r="E107" i="2"/>
  <c r="D107" i="2"/>
  <c r="C107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AB169" i="3"/>
  <c r="Y103" i="2"/>
  <c r="AA169" i="3"/>
  <c r="X103" i="2"/>
  <c r="Z169" i="3"/>
  <c r="Z170" i="3"/>
  <c r="W103" i="2"/>
  <c r="Y169" i="3"/>
  <c r="V103" i="2"/>
  <c r="X169" i="3"/>
  <c r="U103" i="2"/>
  <c r="W169" i="3"/>
  <c r="T103" i="2"/>
  <c r="V169" i="3"/>
  <c r="S103" i="2"/>
  <c r="U169" i="3"/>
  <c r="R103" i="2"/>
  <c r="T169" i="3"/>
  <c r="Q103" i="2"/>
  <c r="S169" i="3"/>
  <c r="P103" i="2"/>
  <c r="R169" i="3"/>
  <c r="O103" i="2"/>
  <c r="Q169" i="3"/>
  <c r="N103" i="2"/>
  <c r="P169" i="3"/>
  <c r="M103" i="2"/>
  <c r="O169" i="3"/>
  <c r="L103" i="2"/>
  <c r="N169" i="3"/>
  <c r="K103" i="2"/>
  <c r="M169" i="3"/>
  <c r="J103" i="2"/>
  <c r="L169" i="3"/>
  <c r="I103" i="2"/>
  <c r="K169" i="3"/>
  <c r="H103" i="2"/>
  <c r="J169" i="3"/>
  <c r="G103" i="2"/>
  <c r="I169" i="3"/>
  <c r="F103" i="2"/>
  <c r="H169" i="3"/>
  <c r="E103" i="2"/>
  <c r="G169" i="3"/>
  <c r="D103" i="2"/>
  <c r="F169" i="3"/>
  <c r="C103" i="2"/>
  <c r="E169" i="3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AB160" i="3"/>
  <c r="Y94" i="2"/>
  <c r="AA160" i="3"/>
  <c r="X94" i="2"/>
  <c r="Z160" i="3"/>
  <c r="W94" i="2"/>
  <c r="Y160" i="3"/>
  <c r="V94" i="2"/>
  <c r="X160" i="3"/>
  <c r="U94" i="2"/>
  <c r="W160" i="3"/>
  <c r="T94" i="2"/>
  <c r="V160" i="3"/>
  <c r="S94" i="2"/>
  <c r="U160" i="3"/>
  <c r="R94" i="2"/>
  <c r="T160" i="3"/>
  <c r="Q94" i="2"/>
  <c r="S160" i="3"/>
  <c r="P94" i="2"/>
  <c r="R160" i="3"/>
  <c r="O94" i="2"/>
  <c r="Q160" i="3"/>
  <c r="N94" i="2"/>
  <c r="P160" i="3"/>
  <c r="M94" i="2"/>
  <c r="O160" i="3"/>
  <c r="L94" i="2"/>
  <c r="N160" i="3"/>
  <c r="K94" i="2"/>
  <c r="M160" i="3"/>
  <c r="J94" i="2"/>
  <c r="L160" i="3"/>
  <c r="I94" i="2"/>
  <c r="K160" i="3"/>
  <c r="H94" i="2"/>
  <c r="J160" i="3"/>
  <c r="G94" i="2"/>
  <c r="I160" i="3"/>
  <c r="F94" i="2"/>
  <c r="H160" i="3"/>
  <c r="E94" i="2"/>
  <c r="G160" i="3"/>
  <c r="D94" i="2"/>
  <c r="F160" i="3"/>
  <c r="C94" i="2"/>
  <c r="E160" i="3"/>
  <c r="T81" i="3"/>
  <c r="R147" i="3"/>
  <c r="P81" i="3"/>
  <c r="O81" i="3"/>
  <c r="N81" i="3"/>
  <c r="M147" i="3"/>
  <c r="L147" i="3"/>
  <c r="J81" i="3"/>
  <c r="G81" i="2"/>
  <c r="I81" i="3"/>
  <c r="G81" i="3"/>
  <c r="F81" i="3"/>
  <c r="E81" i="3"/>
  <c r="AB146" i="3"/>
  <c r="Z146" i="3"/>
  <c r="W146" i="3"/>
  <c r="V146" i="3"/>
  <c r="U146" i="3"/>
  <c r="T146" i="3"/>
  <c r="R146" i="3"/>
  <c r="Q146" i="3"/>
  <c r="P146" i="3"/>
  <c r="O146" i="3"/>
  <c r="N146" i="3"/>
  <c r="M146" i="3"/>
  <c r="L146" i="3"/>
  <c r="K146" i="3"/>
  <c r="J146" i="3"/>
  <c r="H146" i="3"/>
  <c r="F146" i="3"/>
  <c r="E146" i="3"/>
  <c r="AX78" i="2"/>
  <c r="AX85" i="2"/>
  <c r="AW78" i="2"/>
  <c r="AV78" i="2"/>
  <c r="AU78" i="2"/>
  <c r="AT78" i="2"/>
  <c r="AS78" i="2"/>
  <c r="AR78" i="2"/>
  <c r="AR85" i="2"/>
  <c r="AQ78" i="2"/>
  <c r="AP78" i="2"/>
  <c r="AP85" i="2"/>
  <c r="AO78" i="2"/>
  <c r="AN78" i="2"/>
  <c r="AM78" i="2"/>
  <c r="AL78" i="2"/>
  <c r="AK78" i="2"/>
  <c r="AJ78" i="2"/>
  <c r="AJ85" i="2"/>
  <c r="AI78" i="2"/>
  <c r="AH78" i="2"/>
  <c r="AH85" i="2"/>
  <c r="AG78" i="2"/>
  <c r="AF78" i="2"/>
  <c r="AE78" i="2"/>
  <c r="AD78" i="2"/>
  <c r="AC78" i="2"/>
  <c r="AB78" i="2"/>
  <c r="AB85" i="2"/>
  <c r="AA78" i="2"/>
  <c r="Z78" i="2"/>
  <c r="Z85" i="2"/>
  <c r="AB151" i="3"/>
  <c r="Y78" i="2"/>
  <c r="X78" i="2"/>
  <c r="W78" i="2"/>
  <c r="V78" i="2"/>
  <c r="U78" i="2"/>
  <c r="T78" i="2"/>
  <c r="T85" i="2"/>
  <c r="V151" i="3"/>
  <c r="S78" i="2"/>
  <c r="R78" i="2"/>
  <c r="R85" i="2"/>
  <c r="T151" i="3"/>
  <c r="Q78" i="2"/>
  <c r="P78" i="2"/>
  <c r="O78" i="2"/>
  <c r="N78" i="2"/>
  <c r="N85" i="2"/>
  <c r="P151" i="3"/>
  <c r="M78" i="2"/>
  <c r="L78" i="2"/>
  <c r="L85" i="2"/>
  <c r="N151" i="3"/>
  <c r="K78" i="2"/>
  <c r="J78" i="2"/>
  <c r="I78" i="2"/>
  <c r="H78" i="2"/>
  <c r="G78" i="2"/>
  <c r="F78" i="2"/>
  <c r="E78" i="2"/>
  <c r="D78" i="2"/>
  <c r="C78" i="2"/>
  <c r="AX72" i="2"/>
  <c r="AX74" i="2"/>
  <c r="AW72" i="2"/>
  <c r="AW74" i="2"/>
  <c r="AV72" i="2"/>
  <c r="AV74" i="2"/>
  <c r="AU72" i="2"/>
  <c r="AU74" i="2"/>
  <c r="AT72" i="2"/>
  <c r="AT74" i="2"/>
  <c r="AS72" i="2"/>
  <c r="AS74" i="2"/>
  <c r="AR72" i="2"/>
  <c r="AR74" i="2"/>
  <c r="AQ72" i="2"/>
  <c r="AQ74" i="2"/>
  <c r="AP72" i="2"/>
  <c r="AP74" i="2"/>
  <c r="AO72" i="2"/>
  <c r="AO74" i="2"/>
  <c r="AN72" i="2"/>
  <c r="AN74" i="2"/>
  <c r="AM72" i="2"/>
  <c r="AM74" i="2"/>
  <c r="AL72" i="2"/>
  <c r="AL74" i="2"/>
  <c r="AK72" i="2"/>
  <c r="AK74" i="2"/>
  <c r="AJ72" i="2"/>
  <c r="AJ74" i="2"/>
  <c r="AI72" i="2"/>
  <c r="AI74" i="2"/>
  <c r="AH72" i="2"/>
  <c r="AH74" i="2"/>
  <c r="AG72" i="2"/>
  <c r="AG74" i="2"/>
  <c r="AF72" i="2"/>
  <c r="AF74" i="2"/>
  <c r="AE72" i="2"/>
  <c r="AE74" i="2"/>
  <c r="AD72" i="2"/>
  <c r="AD74" i="2"/>
  <c r="AC72" i="2"/>
  <c r="AC74" i="2"/>
  <c r="AB72" i="2"/>
  <c r="AB74" i="2"/>
  <c r="AA72" i="2"/>
  <c r="AA74" i="2"/>
  <c r="AC87" i="3"/>
  <c r="Z72" i="2"/>
  <c r="Z74" i="2"/>
  <c r="Y72" i="2"/>
  <c r="Y74" i="2"/>
  <c r="X72" i="2"/>
  <c r="X74" i="2"/>
  <c r="W72" i="2"/>
  <c r="W74" i="2"/>
  <c r="V72" i="2"/>
  <c r="V74" i="2"/>
  <c r="U72" i="2"/>
  <c r="U74" i="2"/>
  <c r="T72" i="2"/>
  <c r="T74" i="2"/>
  <c r="S72" i="2"/>
  <c r="S74" i="2"/>
  <c r="R72" i="2"/>
  <c r="R74" i="2"/>
  <c r="Q72" i="2"/>
  <c r="Q74" i="2"/>
  <c r="P72" i="2"/>
  <c r="P74" i="2"/>
  <c r="O72" i="2"/>
  <c r="O74" i="2"/>
  <c r="N72" i="2"/>
  <c r="N74" i="2"/>
  <c r="M72" i="2"/>
  <c r="M74" i="2"/>
  <c r="L72" i="2"/>
  <c r="L74" i="2"/>
  <c r="K72" i="2"/>
  <c r="K74" i="2"/>
  <c r="J72" i="2"/>
  <c r="J74" i="2"/>
  <c r="L87" i="3"/>
  <c r="I72" i="2"/>
  <c r="I74" i="2"/>
  <c r="K87" i="3"/>
  <c r="H72" i="2"/>
  <c r="H74" i="2"/>
  <c r="J87" i="3"/>
  <c r="G72" i="2"/>
  <c r="G74" i="2"/>
  <c r="I87" i="3"/>
  <c r="F72" i="2"/>
  <c r="F74" i="2"/>
  <c r="H87" i="3"/>
  <c r="E72" i="2"/>
  <c r="E74" i="2"/>
  <c r="G87" i="3"/>
  <c r="D72" i="2"/>
  <c r="D74" i="2"/>
  <c r="F87" i="3"/>
  <c r="C72" i="2"/>
  <c r="C74" i="2"/>
  <c r="E87" i="3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T83" i="3"/>
  <c r="S83" i="3"/>
  <c r="Q83" i="3"/>
  <c r="O83" i="3"/>
  <c r="N83" i="3"/>
  <c r="L83" i="3"/>
  <c r="K83" i="3"/>
  <c r="J83" i="3"/>
  <c r="F83" i="3"/>
  <c r="E83" i="3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22" i="2"/>
  <c r="A21" i="2"/>
  <c r="A20" i="2"/>
  <c r="A18" i="2"/>
  <c r="A19" i="2"/>
  <c r="A17" i="2"/>
  <c r="Y164" i="2"/>
  <c r="X164" i="2"/>
  <c r="W164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D4" i="2"/>
  <c r="E4" i="2"/>
  <c r="AI110" i="2"/>
  <c r="AI111" i="2"/>
  <c r="S164" i="2"/>
  <c r="AA164" i="2"/>
  <c r="T164" i="2"/>
  <c r="R164" i="2"/>
  <c r="P164" i="2"/>
  <c r="Z164" i="2"/>
  <c r="Q164" i="2"/>
  <c r="C110" i="2"/>
  <c r="C111" i="2"/>
  <c r="K110" i="2"/>
  <c r="K111" i="2"/>
  <c r="E92" i="3"/>
  <c r="Q110" i="2"/>
  <c r="Q111" i="2"/>
  <c r="AB81" i="3"/>
  <c r="AB147" i="3"/>
  <c r="O46" i="3"/>
  <c r="R36" i="3"/>
  <c r="J46" i="3"/>
  <c r="R46" i="3"/>
  <c r="M46" i="3"/>
  <c r="T11" i="3"/>
  <c r="M11" i="3"/>
  <c r="P11" i="3"/>
  <c r="M36" i="3"/>
  <c r="B36" i="3"/>
  <c r="L36" i="3"/>
  <c r="T36" i="3"/>
  <c r="B41" i="3"/>
  <c r="E11" i="3"/>
  <c r="B31" i="3"/>
  <c r="B30" i="3"/>
  <c r="BE30" i="3"/>
  <c r="N16" i="3"/>
  <c r="L16" i="3"/>
  <c r="L52" i="3"/>
  <c r="S25" i="3"/>
  <c r="AA147" i="3"/>
  <c r="D110" i="2"/>
  <c r="D111" i="2"/>
  <c r="L110" i="2"/>
  <c r="L111" i="2"/>
  <c r="T110" i="2"/>
  <c r="T111" i="2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H145" i="3"/>
  <c r="E145" i="3"/>
  <c r="M145" i="3"/>
  <c r="F110" i="2"/>
  <c r="F111" i="2"/>
  <c r="J110" i="2"/>
  <c r="J111" i="2"/>
  <c r="J145" i="3"/>
  <c r="N145" i="3"/>
  <c r="T145" i="3"/>
  <c r="P145" i="3"/>
  <c r="G145" i="3"/>
  <c r="K145" i="3"/>
  <c r="S110" i="2"/>
  <c r="S111" i="2"/>
  <c r="AN85" i="2"/>
  <c r="H85" i="2"/>
  <c r="J151" i="3"/>
  <c r="X85" i="2"/>
  <c r="Z151" i="3"/>
  <c r="L81" i="3"/>
  <c r="E147" i="3"/>
  <c r="BG21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Q85" i="2"/>
  <c r="S151" i="3"/>
  <c r="F4" i="3"/>
  <c r="F91" i="3"/>
  <c r="F147" i="3"/>
  <c r="J147" i="3"/>
  <c r="O206" i="3"/>
  <c r="U81" i="3"/>
  <c r="U147" i="3"/>
  <c r="G147" i="3"/>
  <c r="W147" i="3"/>
  <c r="W81" i="3"/>
  <c r="R206" i="3"/>
  <c r="V147" i="3"/>
  <c r="V81" i="3"/>
  <c r="M206" i="3"/>
  <c r="K62" i="3"/>
  <c r="L62" i="3"/>
  <c r="O32" i="3"/>
  <c r="L37" i="3"/>
  <c r="T37" i="3"/>
  <c r="M18" i="3"/>
  <c r="BG18" i="3"/>
  <c r="E12" i="3"/>
  <c r="E37" i="3"/>
  <c r="T147" i="3"/>
  <c r="R81" i="3"/>
  <c r="P147" i="3"/>
  <c r="O147" i="3"/>
  <c r="N147" i="3"/>
  <c r="M81" i="3"/>
  <c r="P12" i="3"/>
  <c r="G23" i="3"/>
  <c r="S12" i="3"/>
  <c r="BH10" i="3"/>
  <c r="T23" i="3"/>
  <c r="M23" i="3"/>
  <c r="M12" i="3"/>
  <c r="R32" i="3"/>
  <c r="O183" i="3"/>
  <c r="Z81" i="3"/>
  <c r="Z147" i="3"/>
  <c r="BH45" i="3"/>
  <c r="BG45" i="3"/>
  <c r="BF18" i="3"/>
  <c r="AD149" i="3"/>
  <c r="AD199" i="3"/>
  <c r="AE199" i="3"/>
  <c r="AF199" i="3"/>
  <c r="AG199" i="3"/>
  <c r="AD102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BL14" i="3"/>
  <c r="BM14" i="3"/>
  <c r="AS16" i="3"/>
  <c r="BN14" i="3"/>
  <c r="AT16" i="3"/>
  <c r="AU16" i="3"/>
  <c r="BO14" i="3"/>
  <c r="AV16" i="3"/>
  <c r="BI10" i="3"/>
  <c r="BI45" i="3"/>
  <c r="V107" i="2"/>
  <c r="V110" i="2"/>
  <c r="V111" i="2"/>
  <c r="AZ157" i="3"/>
  <c r="AZ158" i="3"/>
  <c r="AD16" i="3"/>
  <c r="BJ45" i="3"/>
  <c r="AE16" i="3"/>
  <c r="AF16" i="3"/>
  <c r="AH16" i="3"/>
  <c r="AG16" i="3"/>
  <c r="AJ16" i="3"/>
  <c r="BK15" i="3"/>
  <c r="AI16" i="3"/>
  <c r="BK45" i="3"/>
  <c r="AL16" i="3"/>
  <c r="BL45" i="3"/>
  <c r="AK16" i="3"/>
  <c r="BL15" i="3"/>
  <c r="AN16" i="3"/>
  <c r="AM16" i="3"/>
  <c r="AO16" i="3"/>
  <c r="AR16" i="3"/>
  <c r="BM45" i="3"/>
  <c r="AQ16" i="3"/>
  <c r="BM15" i="3"/>
  <c r="AP16" i="3"/>
  <c r="BO15" i="3"/>
  <c r="BN45" i="3"/>
  <c r="BN15" i="3"/>
  <c r="P40" i="3"/>
  <c r="P42" i="3"/>
  <c r="Q40" i="3"/>
  <c r="R40" i="3"/>
  <c r="S40" i="3"/>
  <c r="S42" i="3"/>
  <c r="S41" i="3"/>
  <c r="M40" i="3"/>
  <c r="N40" i="3"/>
  <c r="N42" i="3"/>
  <c r="O40" i="3"/>
  <c r="T40" i="3"/>
  <c r="U40" i="3"/>
  <c r="U41" i="3"/>
  <c r="V40" i="3"/>
  <c r="V41" i="3"/>
  <c r="W40" i="3"/>
  <c r="W41" i="3"/>
  <c r="Y40" i="3"/>
  <c r="Y41" i="3"/>
  <c r="Z40" i="3"/>
  <c r="AA40" i="3"/>
  <c r="AA41" i="3"/>
  <c r="AB40" i="3"/>
  <c r="X40" i="3"/>
  <c r="X41" i="3"/>
  <c r="Y82" i="3"/>
  <c r="M82" i="3"/>
  <c r="I82" i="3"/>
  <c r="G82" i="3"/>
  <c r="V82" i="3"/>
  <c r="K40" i="3"/>
  <c r="K41" i="3"/>
  <c r="L40" i="3"/>
  <c r="L41" i="3"/>
  <c r="I40" i="3"/>
  <c r="J40" i="3"/>
  <c r="E40" i="3"/>
  <c r="E42" i="3"/>
  <c r="G40" i="3"/>
  <c r="F40" i="3"/>
  <c r="F42" i="3"/>
  <c r="H40" i="3"/>
  <c r="H41" i="3"/>
  <c r="V42" i="3"/>
  <c r="AB42" i="3"/>
  <c r="V7" i="3"/>
  <c r="X7" i="3"/>
  <c r="Y7" i="3"/>
  <c r="T7" i="3"/>
  <c r="Q7" i="3"/>
  <c r="AB7" i="3"/>
  <c r="B6" i="3"/>
  <c r="Z7" i="3"/>
  <c r="S7" i="3"/>
  <c r="W7" i="3"/>
  <c r="U7" i="3"/>
  <c r="R7" i="3"/>
  <c r="AA7" i="3"/>
  <c r="I94" i="8"/>
  <c r="I93" i="8"/>
  <c r="J41" i="3"/>
  <c r="Y42" i="3"/>
  <c r="I42" i="3"/>
  <c r="N18" i="3"/>
  <c r="L11" i="3"/>
  <c r="B32" i="3"/>
  <c r="BE32" i="3"/>
  <c r="E16" i="3"/>
  <c r="B35" i="3"/>
  <c r="BE35" i="3"/>
  <c r="P202" i="3"/>
  <c r="H45" i="3"/>
  <c r="BJ15" i="3"/>
  <c r="BF23" i="3"/>
  <c r="R22" i="3"/>
  <c r="BJ21" i="3"/>
  <c r="O189" i="3"/>
  <c r="M16" i="3"/>
  <c r="O25" i="3"/>
  <c r="K11" i="3"/>
  <c r="G170" i="3"/>
  <c r="J202" i="3"/>
  <c r="J204" i="3"/>
  <c r="J208" i="3"/>
  <c r="J209" i="3"/>
  <c r="BG17" i="3"/>
  <c r="F45" i="3"/>
  <c r="N47" i="3"/>
  <c r="N48" i="3"/>
  <c r="N213" i="3"/>
  <c r="T42" i="3"/>
  <c r="Q42" i="3"/>
  <c r="O18" i="3"/>
  <c r="N25" i="3"/>
  <c r="B11" i="3"/>
  <c r="B22" i="3"/>
  <c r="B42" i="3"/>
  <c r="BE42" i="3"/>
  <c r="B37" i="3"/>
  <c r="BE37" i="3"/>
  <c r="Y161" i="3"/>
  <c r="R202" i="3"/>
  <c r="G12" i="3"/>
  <c r="F12" i="3"/>
  <c r="O31" i="3"/>
  <c r="E41" i="3"/>
  <c r="T196" i="3"/>
  <c r="R196" i="3"/>
  <c r="R204" i="3"/>
  <c r="R208" i="3"/>
  <c r="L202" i="3"/>
  <c r="U36" i="3"/>
  <c r="BI15" i="3"/>
  <c r="AB31" i="3"/>
  <c r="S23" i="3"/>
  <c r="S62" i="3"/>
  <c r="O41" i="3"/>
  <c r="E141" i="3"/>
  <c r="N12" i="3"/>
  <c r="F23" i="3"/>
  <c r="B12" i="3"/>
  <c r="BE12" i="3"/>
  <c r="B21" i="3"/>
  <c r="BE21" i="3"/>
  <c r="B40" i="3"/>
  <c r="BE40" i="3"/>
  <c r="U183" i="3"/>
  <c r="Z202" i="3"/>
  <c r="K37" i="3"/>
  <c r="BI35" i="3"/>
  <c r="W22" i="3"/>
  <c r="J32" i="3"/>
  <c r="I96" i="8"/>
  <c r="O17" i="3"/>
  <c r="J31" i="3"/>
  <c r="G161" i="3"/>
  <c r="BG156" i="3"/>
  <c r="BH158" i="3"/>
  <c r="E170" i="3"/>
  <c r="K170" i="3"/>
  <c r="S170" i="3"/>
  <c r="X17" i="3"/>
  <c r="Y32" i="3"/>
  <c r="BJ14" i="3"/>
  <c r="AB11" i="3"/>
  <c r="O125" i="3"/>
  <c r="G17" i="3"/>
  <c r="B10" i="3"/>
  <c r="BE10" i="3"/>
  <c r="T12" i="3"/>
  <c r="L48" i="3"/>
  <c r="T46" i="3"/>
  <c r="T22" i="3"/>
  <c r="Q32" i="3"/>
  <c r="G41" i="3"/>
  <c r="BK14" i="3"/>
  <c r="L12" i="3"/>
  <c r="T47" i="3"/>
  <c r="E90" i="3"/>
  <c r="E106" i="3"/>
  <c r="E133" i="3"/>
  <c r="J12" i="3"/>
  <c r="R11" i="3"/>
  <c r="W32" i="3"/>
  <c r="X22" i="3"/>
  <c r="Y36" i="3"/>
  <c r="N23" i="3"/>
  <c r="V23" i="3"/>
  <c r="M62" i="3"/>
  <c r="G22" i="3"/>
  <c r="O23" i="3"/>
  <c r="BI60" i="3"/>
  <c r="N102" i="8"/>
  <c r="N52" i="3"/>
  <c r="N56" i="3"/>
  <c r="U62" i="3"/>
  <c r="O102" i="8"/>
  <c r="S22" i="3"/>
  <c r="H96" i="8"/>
  <c r="F62" i="3"/>
  <c r="O52" i="3"/>
  <c r="F68" i="3"/>
  <c r="Q214" i="3"/>
  <c r="AA23" i="3"/>
  <c r="E67" i="3"/>
  <c r="V22" i="3"/>
  <c r="R151" i="2"/>
  <c r="T206" i="3"/>
  <c r="T202" i="3"/>
  <c r="T204" i="3"/>
  <c r="L76" i="3"/>
  <c r="L67" i="3"/>
  <c r="AY158" i="3"/>
  <c r="L23" i="3"/>
  <c r="R12" i="3"/>
  <c r="H32" i="3"/>
  <c r="L145" i="3"/>
  <c r="B23" i="3"/>
  <c r="BE23" i="3"/>
  <c r="M170" i="3"/>
  <c r="G183" i="3"/>
  <c r="G189" i="3"/>
  <c r="U202" i="3"/>
  <c r="S47" i="3"/>
  <c r="V32" i="3"/>
  <c r="BJ156" i="3"/>
  <c r="X42" i="3"/>
  <c r="N41" i="3"/>
  <c r="AY157" i="3"/>
  <c r="L17" i="3"/>
  <c r="F32" i="3"/>
  <c r="J85" i="2"/>
  <c r="L151" i="3"/>
  <c r="S36" i="3"/>
  <c r="S53" i="3"/>
  <c r="U170" i="3"/>
  <c r="AM110" i="2"/>
  <c r="AM111" i="2"/>
  <c r="G96" i="8"/>
  <c r="H161" i="3"/>
  <c r="BF156" i="3"/>
  <c r="F170" i="3"/>
  <c r="F211" i="3"/>
  <c r="F109" i="3"/>
  <c r="N211" i="3"/>
  <c r="N109" i="3"/>
  <c r="Q183" i="3"/>
  <c r="E211" i="3"/>
  <c r="E109" i="3"/>
  <c r="M196" i="3"/>
  <c r="M204" i="3"/>
  <c r="M208" i="3"/>
  <c r="K214" i="3"/>
  <c r="S211" i="3"/>
  <c r="S109" i="3"/>
  <c r="Y31" i="3"/>
  <c r="Z41" i="3"/>
  <c r="AA85" i="2"/>
  <c r="AI85" i="2"/>
  <c r="AQ85" i="2"/>
  <c r="AB18" i="3"/>
  <c r="U26" i="2"/>
  <c r="U33" i="2"/>
  <c r="W82" i="3"/>
  <c r="AD85" i="2"/>
  <c r="AL85" i="2"/>
  <c r="AT85" i="2"/>
  <c r="BI23" i="3"/>
  <c r="BF59" i="3"/>
  <c r="O62" i="3"/>
  <c r="W62" i="3"/>
  <c r="H68" i="3"/>
  <c r="P62" i="3"/>
  <c r="BI61" i="3"/>
  <c r="C85" i="2"/>
  <c r="E151" i="3"/>
  <c r="N26" i="2"/>
  <c r="N33" i="2"/>
  <c r="P82" i="3"/>
  <c r="H42" i="3"/>
  <c r="M41" i="3"/>
  <c r="BA156" i="3"/>
  <c r="AX157" i="3"/>
  <c r="BJ35" i="3"/>
  <c r="T18" i="3"/>
  <c r="BH157" i="3"/>
  <c r="K206" i="3"/>
  <c r="Y206" i="3"/>
  <c r="J11" i="3"/>
  <c r="Q31" i="3"/>
  <c r="J36" i="3"/>
  <c r="BI157" i="3"/>
  <c r="U85" i="2"/>
  <c r="W151" i="3"/>
  <c r="U161" i="3"/>
  <c r="O170" i="3"/>
  <c r="AB110" i="2"/>
  <c r="AB111" i="2"/>
  <c r="I110" i="2"/>
  <c r="I111" i="2"/>
  <c r="AG110" i="2"/>
  <c r="AG111" i="2"/>
  <c r="U196" i="3"/>
  <c r="L211" i="3"/>
  <c r="L109" i="3"/>
  <c r="T211" i="3"/>
  <c r="T109" i="3"/>
  <c r="E214" i="3"/>
  <c r="I211" i="3"/>
  <c r="I109" i="3"/>
  <c r="Q211" i="3"/>
  <c r="Q109" i="3"/>
  <c r="AA16" i="3"/>
  <c r="AB32" i="3"/>
  <c r="AX156" i="3"/>
  <c r="I147" i="3"/>
  <c r="M25" i="3"/>
  <c r="B15" i="3"/>
  <c r="BE15" i="3"/>
  <c r="I31" i="3"/>
  <c r="P31" i="3"/>
  <c r="I170" i="3"/>
  <c r="H196" i="3"/>
  <c r="V196" i="3"/>
  <c r="E202" i="3"/>
  <c r="Y37" i="3"/>
  <c r="Z25" i="3"/>
  <c r="AC26" i="3"/>
  <c r="AD167" i="3"/>
  <c r="AE167" i="3"/>
  <c r="AF85" i="2"/>
  <c r="AV85" i="2"/>
  <c r="AG85" i="2"/>
  <c r="AO85" i="2"/>
  <c r="AW85" i="2"/>
  <c r="T102" i="8"/>
  <c r="O26" i="2"/>
  <c r="O33" i="2"/>
  <c r="Q82" i="3"/>
  <c r="Z26" i="2"/>
  <c r="Z33" i="2"/>
  <c r="AB82" i="3"/>
  <c r="J42" i="3"/>
  <c r="BA158" i="3"/>
  <c r="AY156" i="3"/>
  <c r="AD156" i="3"/>
  <c r="P17" i="3"/>
  <c r="I145" i="3"/>
  <c r="T25" i="3"/>
  <c r="B16" i="3"/>
  <c r="AB161" i="3"/>
  <c r="Q170" i="3"/>
  <c r="E110" i="2"/>
  <c r="E111" i="2"/>
  <c r="M110" i="2"/>
  <c r="M111" i="2"/>
  <c r="U110" i="2"/>
  <c r="U111" i="2"/>
  <c r="Y202" i="3"/>
  <c r="AX99" i="3"/>
  <c r="O111" i="8"/>
  <c r="X46" i="3"/>
  <c r="AA11" i="3"/>
  <c r="I189" i="3"/>
  <c r="F41" i="3"/>
  <c r="BH40" i="3"/>
  <c r="AX158" i="3"/>
  <c r="E183" i="3"/>
  <c r="E189" i="3"/>
  <c r="B17" i="3"/>
  <c r="BE17" i="3"/>
  <c r="J196" i="3"/>
  <c r="X196" i="3"/>
  <c r="BF29" i="3"/>
  <c r="T32" i="3"/>
  <c r="G37" i="3"/>
  <c r="N36" i="3"/>
  <c r="BG39" i="3"/>
  <c r="P96" i="8"/>
  <c r="Y46" i="3"/>
  <c r="U111" i="8"/>
  <c r="G102" i="8"/>
  <c r="D26" i="2"/>
  <c r="D33" i="2"/>
  <c r="F82" i="3"/>
  <c r="X26" i="2"/>
  <c r="X33" i="2"/>
  <c r="Z82" i="3"/>
  <c r="I26" i="2"/>
  <c r="I33" i="2"/>
  <c r="K82" i="3"/>
  <c r="G151" i="2"/>
  <c r="I206" i="3"/>
  <c r="Z151" i="2"/>
  <c r="AB206" i="3"/>
  <c r="L94" i="8"/>
  <c r="L93" i="8"/>
  <c r="M32" i="3"/>
  <c r="BG29" i="3"/>
  <c r="M47" i="3"/>
  <c r="M48" i="3"/>
  <c r="BF30" i="3"/>
  <c r="L214" i="3"/>
  <c r="F79" i="3"/>
  <c r="F145" i="3"/>
  <c r="H81" i="3"/>
  <c r="H147" i="3"/>
  <c r="Y81" i="3"/>
  <c r="H22" i="3"/>
  <c r="H23" i="3"/>
  <c r="P23" i="3"/>
  <c r="K102" i="8"/>
  <c r="I102" i="8"/>
  <c r="BH59" i="3"/>
  <c r="H102" i="8"/>
  <c r="S102" i="8"/>
  <c r="P102" i="8"/>
  <c r="V62" i="3"/>
  <c r="R102" i="8"/>
  <c r="BJ59" i="3"/>
  <c r="M148" i="3"/>
  <c r="K85" i="2"/>
  <c r="M151" i="3"/>
  <c r="F26" i="2"/>
  <c r="F33" i="2"/>
  <c r="H82" i="3"/>
  <c r="Z161" i="3"/>
  <c r="U148" i="3"/>
  <c r="S85" i="2"/>
  <c r="U151" i="3"/>
  <c r="F36" i="3"/>
  <c r="BF35" i="3"/>
  <c r="F37" i="3"/>
  <c r="G42" i="3"/>
  <c r="BA99" i="3"/>
  <c r="AY99" i="3"/>
  <c r="V151" i="2"/>
  <c r="U164" i="2"/>
  <c r="Q17" i="3"/>
  <c r="BI14" i="3"/>
  <c r="F94" i="8"/>
  <c r="J25" i="3"/>
  <c r="X62" i="3"/>
  <c r="X214" i="3"/>
  <c r="X37" i="3"/>
  <c r="Y80" i="3"/>
  <c r="Y146" i="3"/>
  <c r="R26" i="2"/>
  <c r="R33" i="2"/>
  <c r="T82" i="3"/>
  <c r="V26" i="2"/>
  <c r="V33" i="2"/>
  <c r="X82" i="3"/>
  <c r="V164" i="2"/>
  <c r="K53" i="3"/>
  <c r="BJ40" i="3"/>
  <c r="P41" i="3"/>
  <c r="AZ99" i="3"/>
  <c r="BJ20" i="3"/>
  <c r="J105" i="8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F161" i="3"/>
  <c r="G110" i="2"/>
  <c r="G111" i="2"/>
  <c r="O110" i="2"/>
  <c r="O111" i="2"/>
  <c r="H151" i="2"/>
  <c r="R18" i="3"/>
  <c r="U215" i="3"/>
  <c r="G32" i="3"/>
  <c r="G31" i="3"/>
  <c r="I37" i="3"/>
  <c r="BF37" i="3"/>
  <c r="BF34" i="3"/>
  <c r="Q36" i="3"/>
  <c r="BH37" i="3"/>
  <c r="Q37" i="3"/>
  <c r="P37" i="3"/>
  <c r="P36" i="3"/>
  <c r="U25" i="3"/>
  <c r="Q94" i="8"/>
  <c r="Q93" i="8"/>
  <c r="BI20" i="3"/>
  <c r="R94" i="8"/>
  <c r="V215" i="3"/>
  <c r="S80" i="3"/>
  <c r="BH80" i="3"/>
  <c r="S146" i="3"/>
  <c r="K81" i="3"/>
  <c r="I85" i="2"/>
  <c r="K151" i="3"/>
  <c r="K147" i="3"/>
  <c r="S147" i="3"/>
  <c r="S81" i="3"/>
  <c r="J214" i="3"/>
  <c r="J22" i="3"/>
  <c r="J23" i="3"/>
  <c r="BF21" i="3"/>
  <c r="R214" i="3"/>
  <c r="R23" i="3"/>
  <c r="Z23" i="3"/>
  <c r="Z22" i="3"/>
  <c r="I214" i="3"/>
  <c r="I62" i="3"/>
  <c r="F105" i="8"/>
  <c r="Q62" i="3"/>
  <c r="BH60" i="3"/>
  <c r="J62" i="3"/>
  <c r="BH61" i="3"/>
  <c r="R62" i="3"/>
  <c r="D85" i="2"/>
  <c r="F151" i="3"/>
  <c r="BF12" i="3"/>
  <c r="I12" i="3"/>
  <c r="Q12" i="3"/>
  <c r="BH12" i="3"/>
  <c r="Q11" i="3"/>
  <c r="Q47" i="3"/>
  <c r="H214" i="3"/>
  <c r="H11" i="3"/>
  <c r="H12" i="3"/>
  <c r="K16" i="3"/>
  <c r="K17" i="3"/>
  <c r="K46" i="3"/>
  <c r="K48" i="3"/>
  <c r="S16" i="3"/>
  <c r="S52" i="3"/>
  <c r="S113" i="3"/>
  <c r="V114" i="3"/>
  <c r="S18" i="3"/>
  <c r="S17" i="3"/>
  <c r="J17" i="3"/>
  <c r="J16" i="3"/>
  <c r="F96" i="8"/>
  <c r="O96" i="8"/>
  <c r="R17" i="3"/>
  <c r="K25" i="3"/>
  <c r="K22" i="3"/>
  <c r="K23" i="3"/>
  <c r="H94" i="8"/>
  <c r="H93" i="8"/>
  <c r="L25" i="3"/>
  <c r="O26" i="3"/>
  <c r="G94" i="8"/>
  <c r="BG158" i="3"/>
  <c r="BF158" i="3"/>
  <c r="Q161" i="3"/>
  <c r="O161" i="3"/>
  <c r="H183" i="3"/>
  <c r="H189" i="3"/>
  <c r="Q189" i="3"/>
  <c r="S214" i="3"/>
  <c r="S196" i="3"/>
  <c r="G202" i="3"/>
  <c r="K202" i="3"/>
  <c r="J102" i="8"/>
  <c r="BI34" i="3"/>
  <c r="W37" i="3"/>
  <c r="W214" i="3"/>
  <c r="Y211" i="3"/>
  <c r="Y109" i="3"/>
  <c r="AA80" i="3"/>
  <c r="Y85" i="2"/>
  <c r="AA151" i="3"/>
  <c r="AA146" i="3"/>
  <c r="R96" i="8"/>
  <c r="O56" i="3"/>
  <c r="O113" i="3"/>
  <c r="R114" i="3"/>
  <c r="P214" i="3"/>
  <c r="U214" i="3"/>
  <c r="U32" i="3"/>
  <c r="BI30" i="3"/>
  <c r="W36" i="3"/>
  <c r="AA31" i="3"/>
  <c r="AA32" i="3"/>
  <c r="BJ30" i="3"/>
  <c r="X79" i="3"/>
  <c r="X145" i="3"/>
  <c r="V85" i="2"/>
  <c r="X151" i="3"/>
  <c r="K85" i="3"/>
  <c r="K144" i="3"/>
  <c r="R42" i="3"/>
  <c r="BI21" i="3"/>
  <c r="BI59" i="3"/>
  <c r="Q102" i="8"/>
  <c r="L56" i="3"/>
  <c r="L113" i="3"/>
  <c r="O114" i="3"/>
  <c r="O115" i="3"/>
  <c r="U206" i="3"/>
  <c r="N206" i="3"/>
  <c r="O85" i="2"/>
  <c r="Q151" i="3"/>
  <c r="Z183" i="3"/>
  <c r="Z189" i="3"/>
  <c r="BG157" i="3"/>
  <c r="R183" i="3"/>
  <c r="R189" i="3"/>
  <c r="R209" i="3"/>
  <c r="R211" i="3"/>
  <c r="R109" i="3"/>
  <c r="G196" i="3"/>
  <c r="G211" i="3"/>
  <c r="G109" i="3"/>
  <c r="O211" i="3"/>
  <c r="O109" i="3"/>
  <c r="I202" i="3"/>
  <c r="W47" i="3"/>
  <c r="Z36" i="3"/>
  <c r="Z37" i="3"/>
  <c r="R79" i="3"/>
  <c r="P85" i="2"/>
  <c r="R151" i="3"/>
  <c r="R145" i="3"/>
  <c r="Y79" i="3"/>
  <c r="Y145" i="3"/>
  <c r="G80" i="3"/>
  <c r="G85" i="3"/>
  <c r="G146" i="3"/>
  <c r="BJ10" i="3"/>
  <c r="I41" i="3"/>
  <c r="T41" i="3"/>
  <c r="BG35" i="3"/>
  <c r="BH32" i="3"/>
  <c r="Q81" i="3"/>
  <c r="BH81" i="3"/>
  <c r="Y147" i="3"/>
  <c r="R16" i="3"/>
  <c r="R52" i="3"/>
  <c r="R113" i="3"/>
  <c r="U114" i="3"/>
  <c r="I11" i="3"/>
  <c r="S46" i="3"/>
  <c r="S48" i="3"/>
  <c r="S213" i="3"/>
  <c r="I80" i="3"/>
  <c r="I85" i="3"/>
  <c r="I86" i="3"/>
  <c r="I146" i="3"/>
  <c r="S145" i="3"/>
  <c r="S79" i="3"/>
  <c r="X110" i="2"/>
  <c r="X111" i="2"/>
  <c r="M183" i="3"/>
  <c r="M189" i="3"/>
  <c r="S183" i="3"/>
  <c r="S189" i="3"/>
  <c r="K196" i="3"/>
  <c r="V202" i="3"/>
  <c r="U26" i="3"/>
  <c r="F31" i="3"/>
  <c r="N32" i="3"/>
  <c r="H36" i="3"/>
  <c r="J47" i="3"/>
  <c r="J48" i="3"/>
  <c r="J68" i="3"/>
  <c r="H202" i="3"/>
  <c r="N202" i="3"/>
  <c r="Y170" i="3"/>
  <c r="E85" i="2"/>
  <c r="G151" i="3"/>
  <c r="AC85" i="2"/>
  <c r="AK85" i="2"/>
  <c r="AS85" i="2"/>
  <c r="K161" i="3"/>
  <c r="AA161" i="3"/>
  <c r="U189" i="3"/>
  <c r="N183" i="3"/>
  <c r="N189" i="3"/>
  <c r="M211" i="3"/>
  <c r="M109" i="3"/>
  <c r="U11" i="3"/>
  <c r="Q111" i="8"/>
  <c r="Y23" i="3"/>
  <c r="Z17" i="3"/>
  <c r="AA37" i="3"/>
  <c r="AA214" i="3"/>
  <c r="BH21" i="3"/>
  <c r="M102" i="8"/>
  <c r="J26" i="2"/>
  <c r="J33" i="2"/>
  <c r="L82" i="3"/>
  <c r="L85" i="3"/>
  <c r="L86" i="3"/>
  <c r="L66" i="3"/>
  <c r="I97" i="8"/>
  <c r="I98" i="8"/>
  <c r="F85" i="2"/>
  <c r="H151" i="3"/>
  <c r="W161" i="3"/>
  <c r="V170" i="3"/>
  <c r="AA170" i="3"/>
  <c r="AK110" i="2"/>
  <c r="AK111" i="2"/>
  <c r="Y196" i="3"/>
  <c r="Y204" i="3"/>
  <c r="Y208" i="3"/>
  <c r="X202" i="3"/>
  <c r="X204" i="3"/>
  <c r="X208" i="3"/>
  <c r="J161" i="3"/>
  <c r="P161" i="3"/>
  <c r="E161" i="3"/>
  <c r="M161" i="3"/>
  <c r="N170" i="3"/>
  <c r="L170" i="3"/>
  <c r="T170" i="3"/>
  <c r="T94" i="8"/>
  <c r="T93" i="8"/>
  <c r="G85" i="2"/>
  <c r="I151" i="3"/>
  <c r="W85" i="2"/>
  <c r="Y151" i="3"/>
  <c r="AE85" i="2"/>
  <c r="AM85" i="2"/>
  <c r="AU85" i="2"/>
  <c r="P183" i="3"/>
  <c r="P189" i="3"/>
  <c r="W183" i="3"/>
  <c r="M202" i="3"/>
  <c r="S202" i="3"/>
  <c r="Q26" i="2"/>
  <c r="Q33" i="2"/>
  <c r="S82" i="3"/>
  <c r="N161" i="3"/>
  <c r="X161" i="3"/>
  <c r="K183" i="3"/>
  <c r="K189" i="3"/>
  <c r="W189" i="3"/>
  <c r="I196" i="3"/>
  <c r="O196" i="3"/>
  <c r="O204" i="3"/>
  <c r="O208" i="3"/>
  <c r="O209" i="3"/>
  <c r="O94" i="8"/>
  <c r="V47" i="3"/>
  <c r="AB19" i="3"/>
  <c r="BI158" i="3"/>
  <c r="Z32" i="3"/>
  <c r="X170" i="3"/>
  <c r="E196" i="3"/>
  <c r="AA202" i="3"/>
  <c r="X16" i="3"/>
  <c r="X52" i="3"/>
  <c r="X31" i="3"/>
  <c r="AB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H26" i="2"/>
  <c r="H33" i="2"/>
  <c r="J82" i="3"/>
  <c r="J85" i="3"/>
  <c r="J144" i="3"/>
  <c r="J152" i="3"/>
  <c r="L26" i="2"/>
  <c r="L33" i="2"/>
  <c r="N82" i="3"/>
  <c r="AA26" i="2"/>
  <c r="AA33" i="2"/>
  <c r="B136" i="3"/>
  <c r="M66" i="3"/>
  <c r="BH14" i="3"/>
  <c r="AY14" i="3"/>
  <c r="R170" i="3"/>
  <c r="T151" i="2"/>
  <c r="V206" i="3"/>
  <c r="N151" i="2"/>
  <c r="P206" i="3"/>
  <c r="W206" i="3"/>
  <c r="U151" i="2"/>
  <c r="F202" i="3"/>
  <c r="F204" i="3"/>
  <c r="AA42" i="3"/>
  <c r="O42" i="3"/>
  <c r="M213" i="3"/>
  <c r="BF17" i="3"/>
  <c r="C151" i="2"/>
  <c r="E206" i="3"/>
  <c r="Q206" i="3"/>
  <c r="O151" i="2"/>
  <c r="Z196" i="3"/>
  <c r="AA196" i="3"/>
  <c r="BF40" i="3"/>
  <c r="Z42" i="3"/>
  <c r="BI40" i="3"/>
  <c r="R41" i="3"/>
  <c r="R53" i="3"/>
  <c r="F90" i="3"/>
  <c r="F106" i="3"/>
  <c r="F133" i="3"/>
  <c r="H170" i="3"/>
  <c r="W110" i="2"/>
  <c r="W111" i="2"/>
  <c r="AU110" i="2"/>
  <c r="AU111" i="2"/>
  <c r="D151" i="2"/>
  <c r="F206" i="3"/>
  <c r="P211" i="3"/>
  <c r="P109" i="3"/>
  <c r="P196" i="3"/>
  <c r="P204" i="3"/>
  <c r="F196" i="3"/>
  <c r="F214" i="3"/>
  <c r="N196" i="3"/>
  <c r="N214" i="3"/>
  <c r="L196" i="3"/>
  <c r="L204" i="3"/>
  <c r="W202" i="3"/>
  <c r="F92" i="3"/>
  <c r="F93" i="3"/>
  <c r="R161" i="3"/>
  <c r="BH156" i="3"/>
  <c r="L183" i="3"/>
  <c r="L189" i="3"/>
  <c r="U42" i="3"/>
  <c r="BH42" i="3"/>
  <c r="L42" i="3"/>
  <c r="F141" i="3"/>
  <c r="Q16" i="3"/>
  <c r="AE110" i="2"/>
  <c r="AE111" i="2"/>
  <c r="M42" i="3"/>
  <c r="BG42" i="3"/>
  <c r="W42" i="3"/>
  <c r="AD99" i="3"/>
  <c r="AD168" i="3"/>
  <c r="BI83" i="3"/>
  <c r="J170" i="3"/>
  <c r="T183" i="3"/>
  <c r="T189" i="3"/>
  <c r="F151" i="2"/>
  <c r="H206" i="3"/>
  <c r="V183" i="3"/>
  <c r="AB202" i="3"/>
  <c r="AB204" i="3"/>
  <c r="AB208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Z206" i="3"/>
  <c r="X151" i="2"/>
  <c r="G11" i="3"/>
  <c r="G45" i="3"/>
  <c r="G68" i="3"/>
  <c r="BF9" i="3"/>
  <c r="BG12" i="3"/>
  <c r="O11" i="3"/>
  <c r="O47" i="3"/>
  <c r="O48" i="3"/>
  <c r="O12" i="3"/>
  <c r="BG9" i="3"/>
  <c r="F11" i="3"/>
  <c r="BF10" i="3"/>
  <c r="I17" i="3"/>
  <c r="I16" i="3"/>
  <c r="BF14" i="3"/>
  <c r="BG14" i="3"/>
  <c r="BF15" i="3"/>
  <c r="H16" i="3"/>
  <c r="H53" i="3"/>
  <c r="H55" i="3"/>
  <c r="K96" i="8"/>
  <c r="BH15" i="3"/>
  <c r="P16" i="3"/>
  <c r="BG15" i="3"/>
  <c r="L96" i="8"/>
  <c r="J96" i="8"/>
  <c r="M96" i="8"/>
  <c r="I23" i="3"/>
  <c r="I22" i="3"/>
  <c r="P25" i="3"/>
  <c r="P18" i="3"/>
  <c r="P46" i="3"/>
  <c r="P22" i="3"/>
  <c r="BG23" i="3"/>
  <c r="J94" i="8"/>
  <c r="M94" i="8"/>
  <c r="BG20" i="3"/>
  <c r="L31" i="3"/>
  <c r="L53" i="3"/>
  <c r="L54" i="3"/>
  <c r="L32" i="3"/>
  <c r="BG30" i="3"/>
  <c r="BH30" i="3"/>
  <c r="T31" i="3"/>
  <c r="O37" i="3"/>
  <c r="BG34" i="3"/>
  <c r="BH34" i="3"/>
  <c r="AZ34" i="3"/>
  <c r="BG37" i="3"/>
  <c r="BH35" i="3"/>
  <c r="BF39" i="3"/>
  <c r="I47" i="3"/>
  <c r="I48" i="3"/>
  <c r="BJ158" i="3"/>
  <c r="Y215" i="3"/>
  <c r="M26" i="2"/>
  <c r="M33" i="2"/>
  <c r="O82" i="3"/>
  <c r="Y26" i="2"/>
  <c r="Y33" i="2"/>
  <c r="AA82" i="3"/>
  <c r="E31" i="3"/>
  <c r="P47" i="3"/>
  <c r="R47" i="3"/>
  <c r="R48" i="3"/>
  <c r="V12" i="3"/>
  <c r="X23" i="3"/>
  <c r="Z47" i="3"/>
  <c r="AB16" i="3"/>
  <c r="T161" i="3"/>
  <c r="AA183" i="3"/>
  <c r="AA189" i="3"/>
  <c r="U16" i="3"/>
  <c r="X25" i="3"/>
  <c r="X32" i="3"/>
  <c r="V94" i="8"/>
  <c r="Z11" i="3"/>
  <c r="Z53" i="3"/>
  <c r="Z215" i="3"/>
  <c r="AA47" i="3"/>
  <c r="AB23" i="3"/>
  <c r="Z110" i="2"/>
  <c r="Z111" i="2"/>
  <c r="W31" i="3"/>
  <c r="Y11" i="3"/>
  <c r="Y53" i="3"/>
  <c r="Z46" i="3"/>
  <c r="Z48" i="3"/>
  <c r="Z66" i="3"/>
  <c r="AA17" i="3"/>
  <c r="I119" i="3"/>
  <c r="I120" i="3"/>
  <c r="BI156" i="3"/>
  <c r="L161" i="3"/>
  <c r="V161" i="3"/>
  <c r="M52" i="3"/>
  <c r="U17" i="3"/>
  <c r="W211" i="3"/>
  <c r="W109" i="3"/>
  <c r="U94" i="8"/>
  <c r="X211" i="3"/>
  <c r="X109" i="3"/>
  <c r="S26" i="2"/>
  <c r="S33" i="2"/>
  <c r="U82" i="3"/>
  <c r="P94" i="8"/>
  <c r="P93" i="8"/>
  <c r="X19" i="3"/>
  <c r="AB170" i="3"/>
  <c r="AN110" i="2"/>
  <c r="AN111" i="2"/>
  <c r="U211" i="3"/>
  <c r="U109" i="3"/>
  <c r="V31" i="3"/>
  <c r="V53" i="3"/>
  <c r="Y25" i="3"/>
  <c r="AA36" i="3"/>
  <c r="AA53" i="3"/>
  <c r="AB25" i="3"/>
  <c r="W215" i="3"/>
  <c r="J183" i="3"/>
  <c r="J189" i="3"/>
  <c r="X183" i="3"/>
  <c r="X189" i="3"/>
  <c r="Q204" i="3"/>
  <c r="Q208" i="3"/>
  <c r="Q209" i="3"/>
  <c r="BF157" i="3"/>
  <c r="S161" i="3"/>
  <c r="I161" i="3"/>
  <c r="H211" i="3"/>
  <c r="H109" i="3"/>
  <c r="AA211" i="3"/>
  <c r="AA109" i="3"/>
  <c r="BJ83" i="3"/>
  <c r="AA110" i="2"/>
  <c r="AA111" i="2"/>
  <c r="AF110" i="2"/>
  <c r="AF111" i="2"/>
  <c r="Y183" i="3"/>
  <c r="Y189" i="3"/>
  <c r="E204" i="3"/>
  <c r="Z204" i="3"/>
  <c r="W196" i="3"/>
  <c r="BJ157" i="3"/>
  <c r="AB46" i="3"/>
  <c r="C26" i="2"/>
  <c r="C33" i="2"/>
  <c r="E82" i="3"/>
  <c r="E85" i="3"/>
  <c r="E86" i="3"/>
  <c r="B110" i="3"/>
  <c r="A90" i="8"/>
  <c r="B108" i="3"/>
  <c r="B92" i="3"/>
  <c r="BG40" i="3"/>
  <c r="K42" i="3"/>
  <c r="BF42" i="3"/>
  <c r="BG82" i="3"/>
  <c r="AE99" i="3"/>
  <c r="O97" i="8"/>
  <c r="O93" i="8"/>
  <c r="AH199" i="3"/>
  <c r="AD165" i="3"/>
  <c r="AE102" i="3"/>
  <c r="R56" i="3"/>
  <c r="AF167" i="3"/>
  <c r="AG167" i="3"/>
  <c r="AD155" i="3"/>
  <c r="AE149" i="3"/>
  <c r="AF149" i="3"/>
  <c r="X80" i="3"/>
  <c r="X146" i="3"/>
  <c r="H105" i="8"/>
  <c r="I105" i="8"/>
  <c r="I106" i="8"/>
  <c r="AY32" i="3"/>
  <c r="BA32" i="3"/>
  <c r="N67" i="3"/>
  <c r="N68" i="3"/>
  <c r="N66" i="3"/>
  <c r="BJ81" i="3"/>
  <c r="G105" i="8"/>
  <c r="N113" i="3"/>
  <c r="Q114" i="3"/>
  <c r="U96" i="8"/>
  <c r="Y17" i="3"/>
  <c r="T96" i="8"/>
  <c r="V96" i="8"/>
  <c r="BJ17" i="3"/>
  <c r="F189" i="3"/>
  <c r="S206" i="3"/>
  <c r="Q151" i="2"/>
  <c r="BN17" i="3"/>
  <c r="J151" i="2"/>
  <c r="L206" i="3"/>
  <c r="Q96" i="8"/>
  <c r="T16" i="3"/>
  <c r="T52" i="3"/>
  <c r="T214" i="3"/>
  <c r="BH17" i="3"/>
  <c r="N96" i="8"/>
  <c r="T17" i="3"/>
  <c r="BF20" i="3"/>
  <c r="E23" i="3"/>
  <c r="E22" i="3"/>
  <c r="E45" i="3"/>
  <c r="L213" i="3"/>
  <c r="L68" i="3"/>
  <c r="P105" i="8"/>
  <c r="H37" i="3"/>
  <c r="E32" i="3"/>
  <c r="N31" i="3"/>
  <c r="N53" i="3"/>
  <c r="N54" i="3"/>
  <c r="U93" i="8"/>
  <c r="AA145" i="3"/>
  <c r="AA79" i="3"/>
  <c r="N26" i="3"/>
  <c r="V189" i="3"/>
  <c r="AB36" i="3"/>
  <c r="AB53" i="3"/>
  <c r="AB47" i="3"/>
  <c r="BJ34" i="3"/>
  <c r="AB183" i="3"/>
  <c r="AB189" i="3"/>
  <c r="AB209" i="3"/>
  <c r="E151" i="2"/>
  <c r="G206" i="3"/>
  <c r="BJ9" i="3"/>
  <c r="W12" i="3"/>
  <c r="W11" i="3"/>
  <c r="W53" i="3"/>
  <c r="W170" i="3"/>
  <c r="G4" i="3"/>
  <c r="F4" i="2"/>
  <c r="Y151" i="2"/>
  <c r="AA206" i="3"/>
  <c r="Q22" i="3"/>
  <c r="K94" i="8"/>
  <c r="Q46" i="3"/>
  <c r="Q48" i="3"/>
  <c r="N94" i="8"/>
  <c r="Q18" i="3"/>
  <c r="BH20" i="3"/>
  <c r="AX20" i="3"/>
  <c r="BG32" i="3"/>
  <c r="M214" i="3"/>
  <c r="G214" i="3"/>
  <c r="G36" i="3"/>
  <c r="O214" i="3"/>
  <c r="O36" i="3"/>
  <c r="O53" i="3"/>
  <c r="O54" i="3"/>
  <c r="M85" i="2"/>
  <c r="O151" i="3"/>
  <c r="O79" i="3"/>
  <c r="O145" i="3"/>
  <c r="M31" i="3"/>
  <c r="M53" i="3"/>
  <c r="U204" i="3"/>
  <c r="U208" i="3"/>
  <c r="P170" i="3"/>
  <c r="W16" i="3"/>
  <c r="W52" i="3"/>
  <c r="W17" i="3"/>
  <c r="W46" i="3"/>
  <c r="W48" i="3"/>
  <c r="BJ39" i="3"/>
  <c r="Y47" i="3"/>
  <c r="AB37" i="3"/>
  <c r="AB211" i="3"/>
  <c r="AB109" i="3"/>
  <c r="BJ23" i="3"/>
  <c r="BK23" i="3"/>
  <c r="BL23" i="3"/>
  <c r="BM23" i="3"/>
  <c r="BN23" i="3"/>
  <c r="BO23" i="3"/>
  <c r="F102" i="8"/>
  <c r="BG59" i="3"/>
  <c r="V102" i="8"/>
  <c r="Y62" i="3"/>
  <c r="U102" i="8"/>
  <c r="Y214" i="3"/>
  <c r="BJ60" i="3"/>
  <c r="BJ61" i="3"/>
  <c r="Y48" i="3"/>
  <c r="Y213" i="3"/>
  <c r="AB62" i="3"/>
  <c r="Z214" i="3"/>
  <c r="Z62" i="3"/>
  <c r="V46" i="3"/>
  <c r="V16" i="3"/>
  <c r="V52" i="3"/>
  <c r="S94" i="8"/>
  <c r="V18" i="3"/>
  <c r="W18" i="3"/>
  <c r="X36" i="3"/>
  <c r="X215" i="3"/>
  <c r="U18" i="3"/>
  <c r="BI18" i="3"/>
  <c r="U46" i="3"/>
  <c r="U22" i="3"/>
  <c r="U23" i="3"/>
  <c r="V25" i="3"/>
  <c r="Y26" i="3"/>
  <c r="S96" i="8"/>
  <c r="V17" i="3"/>
  <c r="V211" i="3"/>
  <c r="V109" i="3"/>
  <c r="P111" i="8"/>
  <c r="Y16" i="3"/>
  <c r="Y52" i="3"/>
  <c r="Z16" i="3"/>
  <c r="Z52" i="3"/>
  <c r="Z18" i="3"/>
  <c r="AB22" i="3"/>
  <c r="AB52" i="3"/>
  <c r="I129" i="3"/>
  <c r="I130" i="3"/>
  <c r="U47" i="3"/>
  <c r="U31" i="3"/>
  <c r="U53" i="3"/>
  <c r="BJ29" i="3"/>
  <c r="X12" i="3"/>
  <c r="X11" i="3"/>
  <c r="X47" i="3"/>
  <c r="X48" i="3"/>
  <c r="Z211" i="3"/>
  <c r="Z109" i="3"/>
  <c r="T111" i="8"/>
  <c r="AA22" i="3"/>
  <c r="AA52" i="3"/>
  <c r="AA46" i="3"/>
  <c r="AA48" i="3"/>
  <c r="AA68" i="3"/>
  <c r="AA215" i="3"/>
  <c r="AA18" i="3"/>
  <c r="AA25" i="3"/>
  <c r="AA26" i="3"/>
  <c r="AB215" i="3"/>
  <c r="V214" i="3"/>
  <c r="Y18" i="3"/>
  <c r="BJ18" i="3"/>
  <c r="R6" i="3"/>
  <c r="X209" i="3"/>
  <c r="AZ14" i="3"/>
  <c r="V48" i="3"/>
  <c r="AY37" i="3"/>
  <c r="AD170" i="3"/>
  <c r="L97" i="8"/>
  <c r="AX59" i="3"/>
  <c r="AS59" i="3"/>
  <c r="O105" i="8"/>
  <c r="Q53" i="3"/>
  <c r="J53" i="3"/>
  <c r="BA14" i="3"/>
  <c r="AX14" i="3"/>
  <c r="BB14" i="3"/>
  <c r="J86" i="3"/>
  <c r="V115" i="3"/>
  <c r="T48" i="3"/>
  <c r="BI80" i="3"/>
  <c r="I204" i="3"/>
  <c r="I208" i="3"/>
  <c r="I209" i="3"/>
  <c r="AX42" i="3"/>
  <c r="H97" i="8"/>
  <c r="AY34" i="3"/>
  <c r="S27" i="3"/>
  <c r="N204" i="3"/>
  <c r="N208" i="3"/>
  <c r="AC27" i="3"/>
  <c r="BA34" i="3"/>
  <c r="AX34" i="3"/>
  <c r="BB34" i="3"/>
  <c r="Z68" i="3"/>
  <c r="AA204" i="3"/>
  <c r="AA208" i="3"/>
  <c r="AA209" i="3"/>
  <c r="J213" i="3"/>
  <c r="AX32" i="3"/>
  <c r="V204" i="3"/>
  <c r="BF81" i="3"/>
  <c r="AY20" i="3"/>
  <c r="H204" i="3"/>
  <c r="BA20" i="3"/>
  <c r="AZ20" i="3"/>
  <c r="BB20" i="3"/>
  <c r="AO59" i="3"/>
  <c r="Q97" i="8"/>
  <c r="Q98" i="8"/>
  <c r="AF99" i="3"/>
  <c r="AG99" i="3"/>
  <c r="AH99" i="3"/>
  <c r="L105" i="8"/>
  <c r="AT23" i="3"/>
  <c r="AV23" i="3"/>
  <c r="AS23" i="3"/>
  <c r="I144" i="3"/>
  <c r="O106" i="8"/>
  <c r="Q105" i="8"/>
  <c r="Q106" i="8"/>
  <c r="L144" i="3"/>
  <c r="L152" i="3"/>
  <c r="L174" i="3"/>
  <c r="L175" i="3"/>
  <c r="AD34" i="3"/>
  <c r="AD35" i="3"/>
  <c r="AD36" i="3"/>
  <c r="Y209" i="3"/>
  <c r="U97" i="8"/>
  <c r="U103" i="8"/>
  <c r="BH82" i="3"/>
  <c r="E53" i="3"/>
  <c r="T53" i="3"/>
  <c r="I53" i="3"/>
  <c r="K152" i="3"/>
  <c r="K174" i="3"/>
  <c r="K175" i="3"/>
  <c r="BI62" i="3"/>
  <c r="S26" i="3"/>
  <c r="L208" i="3"/>
  <c r="L209" i="3"/>
  <c r="AZ32" i="3"/>
  <c r="S68" i="3"/>
  <c r="J66" i="3"/>
  <c r="G204" i="3"/>
  <c r="U52" i="3"/>
  <c r="U54" i="3"/>
  <c r="G208" i="3"/>
  <c r="G209" i="3"/>
  <c r="Z67" i="3"/>
  <c r="M209" i="3"/>
  <c r="K86" i="3"/>
  <c r="BF83" i="3"/>
  <c r="R54" i="3"/>
  <c r="R64" i="3"/>
  <c r="W204" i="3"/>
  <c r="BJ80" i="3"/>
  <c r="BI82" i="3"/>
  <c r="H208" i="3"/>
  <c r="H209" i="3"/>
  <c r="T26" i="3"/>
  <c r="T208" i="3"/>
  <c r="T209" i="3"/>
  <c r="Z213" i="3"/>
  <c r="AY42" i="3"/>
  <c r="E108" i="3"/>
  <c r="E110" i="3"/>
  <c r="E134" i="3"/>
  <c r="G144" i="3"/>
  <c r="G152" i="3"/>
  <c r="G174" i="3"/>
  <c r="G175" i="3"/>
  <c r="G86" i="3"/>
  <c r="X113" i="3"/>
  <c r="AA114" i="3"/>
  <c r="X56" i="3"/>
  <c r="J174" i="3"/>
  <c r="J175" i="3"/>
  <c r="N209" i="3"/>
  <c r="BG80" i="3"/>
  <c r="S204" i="3"/>
  <c r="S208" i="3"/>
  <c r="S209" i="3"/>
  <c r="M26" i="3"/>
  <c r="BJ26" i="3"/>
  <c r="K67" i="3"/>
  <c r="K213" i="3"/>
  <c r="K66" i="3"/>
  <c r="R93" i="8"/>
  <c r="R97" i="8"/>
  <c r="R98" i="8"/>
  <c r="S67" i="3"/>
  <c r="S66" i="3"/>
  <c r="G93" i="8"/>
  <c r="G97" i="8"/>
  <c r="G98" i="8"/>
  <c r="K52" i="3"/>
  <c r="F93" i="8"/>
  <c r="F97" i="8"/>
  <c r="BA59" i="3"/>
  <c r="AZ59" i="3"/>
  <c r="AE59" i="3"/>
  <c r="AY59" i="3"/>
  <c r="U209" i="3"/>
  <c r="G53" i="3"/>
  <c r="G55" i="3"/>
  <c r="X53" i="3"/>
  <c r="X54" i="3"/>
  <c r="X74" i="3"/>
  <c r="V93" i="8"/>
  <c r="Q52" i="3"/>
  <c r="Q113" i="3"/>
  <c r="T114" i="3"/>
  <c r="AB48" i="3"/>
  <c r="AB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T97" i="8"/>
  <c r="T98" i="8"/>
  <c r="K68" i="3"/>
  <c r="I152" i="3"/>
  <c r="I174" i="3"/>
  <c r="I175" i="3"/>
  <c r="P52" i="3"/>
  <c r="P56" i="3"/>
  <c r="BI81" i="3"/>
  <c r="BF80" i="3"/>
  <c r="J76" i="3"/>
  <c r="J67" i="3"/>
  <c r="J52" i="3"/>
  <c r="H85" i="3"/>
  <c r="M68" i="3"/>
  <c r="M67" i="3"/>
  <c r="K76" i="3"/>
  <c r="T27" i="3"/>
  <c r="U27" i="3"/>
  <c r="BH62" i="3"/>
  <c r="N105" i="8"/>
  <c r="BA12" i="3"/>
  <c r="F134" i="3"/>
  <c r="BA42" i="3"/>
  <c r="E144" i="3"/>
  <c r="E152" i="3"/>
  <c r="E174" i="3"/>
  <c r="E175" i="3"/>
  <c r="F53" i="3"/>
  <c r="F55" i="3"/>
  <c r="BF79" i="3"/>
  <c r="F85" i="3"/>
  <c r="K105" i="8"/>
  <c r="AZ42" i="3"/>
  <c r="V208" i="3"/>
  <c r="V209" i="3"/>
  <c r="P53" i="3"/>
  <c r="BH53" i="3"/>
  <c r="R105" i="8"/>
  <c r="R106" i="8"/>
  <c r="M105" i="8"/>
  <c r="AK59" i="3"/>
  <c r="BI79" i="3"/>
  <c r="BG81" i="3"/>
  <c r="K204" i="3"/>
  <c r="K208" i="3"/>
  <c r="K209" i="3"/>
  <c r="S56" i="3"/>
  <c r="S54" i="3"/>
  <c r="F108" i="3"/>
  <c r="F110" i="3"/>
  <c r="L50" i="3"/>
  <c r="L55" i="3"/>
  <c r="I67" i="3"/>
  <c r="I68" i="3"/>
  <c r="I76" i="3"/>
  <c r="I213" i="3"/>
  <c r="I66" i="3"/>
  <c r="L106" i="8"/>
  <c r="L98" i="8"/>
  <c r="L103" i="8"/>
  <c r="BJ53" i="3"/>
  <c r="M113" i="3"/>
  <c r="P114" i="3"/>
  <c r="M56" i="3"/>
  <c r="Z208" i="3"/>
  <c r="Z209" i="3"/>
  <c r="P208" i="3"/>
  <c r="P209" i="3"/>
  <c r="O67" i="3"/>
  <c r="O66" i="3"/>
  <c r="O213" i="3"/>
  <c r="O68" i="3"/>
  <c r="Z26" i="3"/>
  <c r="R66" i="3"/>
  <c r="R67" i="3"/>
  <c r="R213" i="3"/>
  <c r="R68" i="3"/>
  <c r="P48" i="3"/>
  <c r="I52" i="3"/>
  <c r="H106" i="8"/>
  <c r="AD82" i="3"/>
  <c r="AE82" i="3"/>
  <c r="AB26" i="3"/>
  <c r="P97" i="8"/>
  <c r="P26" i="3"/>
  <c r="R27" i="3"/>
  <c r="R26" i="3"/>
  <c r="Q26" i="3"/>
  <c r="Q27" i="3"/>
  <c r="BJ82" i="3"/>
  <c r="F208" i="3"/>
  <c r="F209" i="3"/>
  <c r="BF82" i="3"/>
  <c r="M97" i="8"/>
  <c r="M93" i="8"/>
  <c r="J97" i="8"/>
  <c r="J93" i="8"/>
  <c r="E208" i="3"/>
  <c r="E209" i="3"/>
  <c r="W208" i="3"/>
  <c r="W209" i="3"/>
  <c r="Q54" i="3"/>
  <c r="Q50" i="3"/>
  <c r="AA113" i="3"/>
  <c r="AA56" i="3"/>
  <c r="AA54" i="3"/>
  <c r="BO17" i="3"/>
  <c r="Y27" i="3"/>
  <c r="V26" i="3"/>
  <c r="V27" i="3"/>
  <c r="W27" i="3"/>
  <c r="Z27" i="3"/>
  <c r="X26" i="3"/>
  <c r="X27" i="3"/>
  <c r="AB66" i="3"/>
  <c r="E55" i="3"/>
  <c r="AH167" i="3"/>
  <c r="AI167" i="3"/>
  <c r="AJ167" i="3"/>
  <c r="AI199" i="3"/>
  <c r="AF168" i="3"/>
  <c r="W66" i="3"/>
  <c r="W213" i="3"/>
  <c r="W68" i="3"/>
  <c r="W67" i="3"/>
  <c r="H46" i="3"/>
  <c r="E68" i="3"/>
  <c r="U115" i="3"/>
  <c r="AD215" i="3"/>
  <c r="X67" i="3"/>
  <c r="X68" i="3"/>
  <c r="X213" i="3"/>
  <c r="X66" i="3"/>
  <c r="W113" i="3"/>
  <c r="Z114" i="3"/>
  <c r="Z115" i="3"/>
  <c r="W56" i="3"/>
  <c r="W54" i="3"/>
  <c r="W50" i="3"/>
  <c r="BG79" i="3"/>
  <c r="BH79" i="3"/>
  <c r="AE156" i="3"/>
  <c r="AF156" i="3"/>
  <c r="M54" i="3"/>
  <c r="BG53" i="3"/>
  <c r="AB27" i="3"/>
  <c r="BJ25" i="3"/>
  <c r="BK25" i="3"/>
  <c r="BL25" i="3"/>
  <c r="BM25" i="3"/>
  <c r="BN25" i="3"/>
  <c r="BO25" i="3"/>
  <c r="AA27" i="3"/>
  <c r="Z113" i="3"/>
  <c r="AC114" i="3"/>
  <c r="Z56" i="3"/>
  <c r="Z54" i="3"/>
  <c r="U56" i="3"/>
  <c r="Y68" i="3"/>
  <c r="Y67" i="3"/>
  <c r="Y66" i="3"/>
  <c r="AB68" i="3"/>
  <c r="AX12" i="3"/>
  <c r="AZ12" i="3"/>
  <c r="AD81" i="3"/>
  <c r="AE81" i="3"/>
  <c r="H98" i="8"/>
  <c r="L100" i="8"/>
  <c r="AB56" i="3"/>
  <c r="AB113" i="3"/>
  <c r="AB54" i="3"/>
  <c r="U48" i="3"/>
  <c r="H4" i="3"/>
  <c r="C2" i="2"/>
  <c r="G4" i="2"/>
  <c r="AZ17" i="3"/>
  <c r="AY17" i="3"/>
  <c r="AY12" i="3"/>
  <c r="BA17" i="3"/>
  <c r="AR17" i="3"/>
  <c r="AE168" i="3"/>
  <c r="AD157" i="3"/>
  <c r="AD161" i="3"/>
  <c r="Q67" i="3"/>
  <c r="Q213" i="3"/>
  <c r="Q66" i="3"/>
  <c r="Q68" i="3"/>
  <c r="BJ79" i="3"/>
  <c r="AE165" i="3"/>
  <c r="AF102" i="3"/>
  <c r="AZ60" i="3"/>
  <c r="AU60" i="3"/>
  <c r="AX60" i="3"/>
  <c r="AK60" i="3"/>
  <c r="AY60" i="3"/>
  <c r="AL60" i="3"/>
  <c r="BA60" i="3"/>
  <c r="AJ60" i="3"/>
  <c r="K93" i="8"/>
  <c r="K97" i="8"/>
  <c r="O100" i="8"/>
  <c r="T113" i="3"/>
  <c r="W114" i="3"/>
  <c r="T56" i="3"/>
  <c r="T54" i="3"/>
  <c r="Y56" i="3"/>
  <c r="Y113" i="3"/>
  <c r="AB114" i="3"/>
  <c r="Y54" i="3"/>
  <c r="Y50" i="3"/>
  <c r="S97" i="8"/>
  <c r="S93" i="8"/>
  <c r="AX18" i="3"/>
  <c r="BA18" i="3"/>
  <c r="AZ18" i="3"/>
  <c r="AY18" i="3"/>
  <c r="BH18" i="3"/>
  <c r="N74" i="3"/>
  <c r="N50" i="3"/>
  <c r="N64" i="3"/>
  <c r="N55" i="3"/>
  <c r="AX17" i="3"/>
  <c r="AO17" i="3"/>
  <c r="AG149" i="3"/>
  <c r="BK18" i="3"/>
  <c r="BJ19" i="3"/>
  <c r="AD200" i="3"/>
  <c r="V56" i="3"/>
  <c r="V113" i="3"/>
  <c r="Y114" i="3"/>
  <c r="Y115" i="3"/>
  <c r="V54" i="3"/>
  <c r="V50" i="3"/>
  <c r="V97" i="8"/>
  <c r="V103" i="8"/>
  <c r="BA37" i="3"/>
  <c r="AZ37" i="3"/>
  <c r="AX37" i="3"/>
  <c r="G91" i="3"/>
  <c r="G90" i="3"/>
  <c r="G106" i="3"/>
  <c r="G92" i="3"/>
  <c r="G93" i="3"/>
  <c r="G141" i="3"/>
  <c r="AA213" i="3"/>
  <c r="AA66" i="3"/>
  <c r="AA67" i="3"/>
  <c r="AA50" i="3"/>
  <c r="BI53" i="3"/>
  <c r="V68" i="3"/>
  <c r="V67" i="3"/>
  <c r="V66" i="3"/>
  <c r="V213" i="3"/>
  <c r="AY61" i="3"/>
  <c r="AP61" i="3"/>
  <c r="BA61" i="3"/>
  <c r="AF61" i="3"/>
  <c r="AZ61" i="3"/>
  <c r="AE61" i="3"/>
  <c r="AX61" i="3"/>
  <c r="AK61" i="3"/>
  <c r="S105" i="8"/>
  <c r="T105" i="8"/>
  <c r="V105" i="8"/>
  <c r="BJ62" i="3"/>
  <c r="BJ63" i="3"/>
  <c r="U105" i="8"/>
  <c r="O74" i="3"/>
  <c r="O55" i="3"/>
  <c r="O50" i="3"/>
  <c r="O64" i="3"/>
  <c r="N97" i="8"/>
  <c r="N93" i="8"/>
  <c r="W26" i="3"/>
  <c r="AE155" i="3"/>
  <c r="O98" i="8"/>
  <c r="O103" i="8"/>
  <c r="S6" i="3"/>
  <c r="Q103" i="8"/>
  <c r="BB39" i="3"/>
  <c r="T67" i="3"/>
  <c r="T68" i="3"/>
  <c r="T213" i="3"/>
  <c r="T66" i="3"/>
  <c r="AG59" i="3"/>
  <c r="BB29" i="3"/>
  <c r="BB9" i="3"/>
  <c r="AC115" i="3"/>
  <c r="Q100" i="8"/>
  <c r="U98" i="8"/>
  <c r="AE34" i="3"/>
  <c r="AE35" i="3"/>
  <c r="R55" i="3"/>
  <c r="T106" i="8"/>
  <c r="P113" i="3"/>
  <c r="S114" i="3"/>
  <c r="S115" i="3"/>
  <c r="BB23" i="3"/>
  <c r="X50" i="3"/>
  <c r="U106" i="8"/>
  <c r="X64" i="3"/>
  <c r="P54" i="3"/>
  <c r="P50" i="3"/>
  <c r="G106" i="8"/>
  <c r="AU23" i="3"/>
  <c r="U113" i="3"/>
  <c r="X114" i="3"/>
  <c r="AB115" i="3"/>
  <c r="X55" i="3"/>
  <c r="T100" i="8"/>
  <c r="AI59" i="3"/>
  <c r="AM59" i="3"/>
  <c r="U100" i="8"/>
  <c r="AD47" i="3"/>
  <c r="AF34" i="3"/>
  <c r="AG34" i="3"/>
  <c r="AG35" i="3"/>
  <c r="AG36" i="3"/>
  <c r="Q56" i="3"/>
  <c r="BI63" i="3"/>
  <c r="R74" i="3"/>
  <c r="R50" i="3"/>
  <c r="AB67" i="3"/>
  <c r="AP60" i="3"/>
  <c r="AD60" i="3"/>
  <c r="W102" i="8"/>
  <c r="B102" i="8"/>
  <c r="S74" i="3"/>
  <c r="S55" i="3"/>
  <c r="S64" i="3"/>
  <c r="S50" i="3"/>
  <c r="F86" i="3"/>
  <c r="F144" i="3"/>
  <c r="F152" i="3"/>
  <c r="F174" i="3"/>
  <c r="F175" i="3"/>
  <c r="AL59" i="3"/>
  <c r="BB59" i="3"/>
  <c r="AT59" i="3"/>
  <c r="BH19" i="3"/>
  <c r="AN59" i="3"/>
  <c r="AJ59" i="3"/>
  <c r="AU59" i="3"/>
  <c r="AQ59" i="3"/>
  <c r="AH59" i="3"/>
  <c r="AI60" i="3"/>
  <c r="H144" i="3"/>
  <c r="H152" i="3"/>
  <c r="H174" i="3"/>
  <c r="H175" i="3"/>
  <c r="H86" i="3"/>
  <c r="AF59" i="3"/>
  <c r="J54" i="3"/>
  <c r="J56" i="3"/>
  <c r="J113" i="3"/>
  <c r="M114" i="3"/>
  <c r="K56" i="3"/>
  <c r="K113" i="3"/>
  <c r="N114" i="3"/>
  <c r="AD59" i="3"/>
  <c r="AP59" i="3"/>
  <c r="AR59" i="3"/>
  <c r="K54" i="3"/>
  <c r="T115" i="3"/>
  <c r="AV59" i="3"/>
  <c r="AD80" i="3"/>
  <c r="AM60" i="3"/>
  <c r="AT60" i="3"/>
  <c r="AQ60" i="3"/>
  <c r="AR61" i="3"/>
  <c r="AM61" i="3"/>
  <c r="AU61" i="3"/>
  <c r="BB61" i="3"/>
  <c r="P98" i="8"/>
  <c r="P103" i="8"/>
  <c r="P100" i="8"/>
  <c r="T103" i="8"/>
  <c r="AS60" i="3"/>
  <c r="P106" i="8"/>
  <c r="AT61" i="3"/>
  <c r="AD61" i="3"/>
  <c r="AI61" i="3"/>
  <c r="AG60" i="3"/>
  <c r="J100" i="8"/>
  <c r="J98" i="8"/>
  <c r="J103" i="8"/>
  <c r="J106" i="8"/>
  <c r="I113" i="3"/>
  <c r="L114" i="3"/>
  <c r="L115" i="3"/>
  <c r="I56" i="3"/>
  <c r="I54" i="3"/>
  <c r="BH26" i="3"/>
  <c r="BI26" i="3"/>
  <c r="P213" i="3"/>
  <c r="P68" i="3"/>
  <c r="P67" i="3"/>
  <c r="P66" i="3"/>
  <c r="AN61" i="3"/>
  <c r="AL61" i="3"/>
  <c r="BI19" i="3"/>
  <c r="AH60" i="3"/>
  <c r="AK167" i="3"/>
  <c r="AH61" i="3"/>
  <c r="AG61" i="3"/>
  <c r="M103" i="8"/>
  <c r="M98" i="8"/>
  <c r="M100" i="8"/>
  <c r="M106" i="8"/>
  <c r="P64" i="3"/>
  <c r="AE147" i="3"/>
  <c r="AF81" i="3"/>
  <c r="AJ61" i="3"/>
  <c r="AG168" i="3"/>
  <c r="AV60" i="3"/>
  <c r="BB60" i="3"/>
  <c r="AI17" i="3"/>
  <c r="AE17" i="3"/>
  <c r="AM17" i="3"/>
  <c r="Z74" i="3"/>
  <c r="Z64" i="3"/>
  <c r="Z55" i="3"/>
  <c r="Z50" i="3"/>
  <c r="M74" i="3"/>
  <c r="M64" i="3"/>
  <c r="M55" i="3"/>
  <c r="M50" i="3"/>
  <c r="G108" i="3"/>
  <c r="G110" i="3"/>
  <c r="G134" i="3"/>
  <c r="G133" i="3"/>
  <c r="AA115" i="3"/>
  <c r="I4" i="3"/>
  <c r="H4" i="2"/>
  <c r="V106" i="8"/>
  <c r="AV61" i="3"/>
  <c r="AO61" i="3"/>
  <c r="K100" i="8"/>
  <c r="K106" i="8"/>
  <c r="K103" i="8"/>
  <c r="K98" i="8"/>
  <c r="AR60" i="3"/>
  <c r="AE60" i="3"/>
  <c r="AD79" i="3"/>
  <c r="AE215" i="3"/>
  <c r="AV17" i="3"/>
  <c r="AS17" i="3"/>
  <c r="AT17" i="3"/>
  <c r="AU17" i="3"/>
  <c r="N98" i="8"/>
  <c r="N100" i="8"/>
  <c r="N103" i="8"/>
  <c r="R103" i="8"/>
  <c r="R100" i="8"/>
  <c r="N106" i="8"/>
  <c r="AE200" i="3"/>
  <c r="AD202" i="3"/>
  <c r="N123" i="3"/>
  <c r="Q124" i="3"/>
  <c r="Q125" i="3"/>
  <c r="N85" i="3"/>
  <c r="N76" i="3"/>
  <c r="N87" i="3"/>
  <c r="S98" i="8"/>
  <c r="S103" i="8"/>
  <c r="S100" i="8"/>
  <c r="E2" i="3"/>
  <c r="H90" i="3"/>
  <c r="H106" i="3"/>
  <c r="H91" i="3"/>
  <c r="H92" i="3"/>
  <c r="H93" i="3"/>
  <c r="H141" i="3"/>
  <c r="AF82" i="3"/>
  <c r="AG82" i="3"/>
  <c r="S106" i="8"/>
  <c r="AQ61" i="3"/>
  <c r="Y74" i="3"/>
  <c r="Y64" i="3"/>
  <c r="Y55" i="3"/>
  <c r="AN60" i="3"/>
  <c r="AO60" i="3"/>
  <c r="AF60" i="3"/>
  <c r="U68" i="3"/>
  <c r="U67" i="3"/>
  <c r="U66" i="3"/>
  <c r="U213" i="3"/>
  <c r="U50" i="3"/>
  <c r="AJ199" i="3"/>
  <c r="BL18" i="3"/>
  <c r="AG18" i="3"/>
  <c r="BK19" i="3"/>
  <c r="AD18" i="3"/>
  <c r="AF165" i="3"/>
  <c r="AF170" i="3"/>
  <c r="AG102" i="3"/>
  <c r="AH168" i="3"/>
  <c r="AF17" i="3"/>
  <c r="AJ17" i="3"/>
  <c r="AN17" i="3"/>
  <c r="U74" i="3"/>
  <c r="U64" i="3"/>
  <c r="U55" i="3"/>
  <c r="X123" i="3"/>
  <c r="AA124" i="3"/>
  <c r="X85" i="3"/>
  <c r="X87" i="3"/>
  <c r="X76" i="3"/>
  <c r="AF155" i="3"/>
  <c r="AS61" i="3"/>
  <c r="V98" i="8"/>
  <c r="V100" i="8"/>
  <c r="BK30" i="3"/>
  <c r="AH149" i="3"/>
  <c r="AE18" i="3"/>
  <c r="AE170" i="3"/>
  <c r="AI99" i="3"/>
  <c r="AB74" i="3"/>
  <c r="AB64" i="3"/>
  <c r="AB55" i="3"/>
  <c r="AD147" i="3"/>
  <c r="AB50" i="3"/>
  <c r="AE157" i="3"/>
  <c r="AQ17" i="3"/>
  <c r="AE36" i="3"/>
  <c r="O123" i="3"/>
  <c r="R124" i="3"/>
  <c r="O85" i="3"/>
  <c r="O87" i="3"/>
  <c r="O76" i="3"/>
  <c r="V74" i="3"/>
  <c r="V64" i="3"/>
  <c r="V55" i="3"/>
  <c r="AG17" i="3"/>
  <c r="AK17" i="3"/>
  <c r="AF18" i="3"/>
  <c r="T74" i="3"/>
  <c r="T50" i="3"/>
  <c r="T64" i="3"/>
  <c r="T55" i="3"/>
  <c r="AK62" i="3"/>
  <c r="AH17" i="3"/>
  <c r="AD17" i="3"/>
  <c r="AL17" i="3"/>
  <c r="AG156" i="3"/>
  <c r="W74" i="3"/>
  <c r="W64" i="3"/>
  <c r="W55" i="3"/>
  <c r="AL167" i="3"/>
  <c r="AM167" i="3"/>
  <c r="AP17" i="3"/>
  <c r="AA74" i="3"/>
  <c r="AA64" i="3"/>
  <c r="AA55" i="3"/>
  <c r="Q74" i="3"/>
  <c r="Q64" i="3"/>
  <c r="Q55" i="3"/>
  <c r="T6" i="3"/>
  <c r="AM62" i="3"/>
  <c r="AC75" i="3"/>
  <c r="P74" i="3"/>
  <c r="W115" i="3"/>
  <c r="X115" i="3"/>
  <c r="AI62" i="3"/>
  <c r="R75" i="3"/>
  <c r="P55" i="3"/>
  <c r="AX26" i="3"/>
  <c r="BB26" i="3"/>
  <c r="AZ26" i="3"/>
  <c r="AL62" i="3"/>
  <c r="AT62" i="3"/>
  <c r="AS62" i="3"/>
  <c r="BA26" i="3"/>
  <c r="AY26" i="3"/>
  <c r="AH34" i="3"/>
  <c r="AI34" i="3"/>
  <c r="AF35" i="3"/>
  <c r="BK35" i="3"/>
  <c r="AU62" i="3"/>
  <c r="R123" i="3"/>
  <c r="U124" i="3"/>
  <c r="R85" i="3"/>
  <c r="R87" i="3"/>
  <c r="R76" i="3"/>
  <c r="AQ62" i="3"/>
  <c r="AJ62" i="3"/>
  <c r="AP62" i="3"/>
  <c r="AD62" i="3"/>
  <c r="AE102" i="8"/>
  <c r="AG62" i="3"/>
  <c r="AD146" i="3"/>
  <c r="AD186" i="3"/>
  <c r="AE80" i="3"/>
  <c r="Z102" i="8"/>
  <c r="Y102" i="8"/>
  <c r="X102" i="8"/>
  <c r="AA102" i="8"/>
  <c r="AG102" i="8"/>
  <c r="AF102" i="8"/>
  <c r="N115" i="3"/>
  <c r="R115" i="3"/>
  <c r="AE47" i="3"/>
  <c r="M115" i="3"/>
  <c r="Q115" i="3"/>
  <c r="S123" i="3"/>
  <c r="V124" i="3"/>
  <c r="V125" i="3"/>
  <c r="S76" i="3"/>
  <c r="S85" i="3"/>
  <c r="S87" i="3"/>
  <c r="AC102" i="8"/>
  <c r="AB102" i="8"/>
  <c r="AD102" i="8"/>
  <c r="K55" i="3"/>
  <c r="K50" i="3"/>
  <c r="J50" i="3"/>
  <c r="J55" i="3"/>
  <c r="AH102" i="8"/>
  <c r="W105" i="8"/>
  <c r="B105" i="8"/>
  <c r="P115" i="3"/>
  <c r="I55" i="3"/>
  <c r="I50" i="3"/>
  <c r="P123" i="3"/>
  <c r="S124" i="3"/>
  <c r="S125" i="3"/>
  <c r="P87" i="3"/>
  <c r="P76" i="3"/>
  <c r="P85" i="3"/>
  <c r="AV25" i="3"/>
  <c r="AH62" i="3"/>
  <c r="AI168" i="3"/>
  <c r="O86" i="3"/>
  <c r="O144" i="3"/>
  <c r="O152" i="3"/>
  <c r="O174" i="3"/>
  <c r="O175" i="3"/>
  <c r="AG155" i="3"/>
  <c r="AH155" i="3"/>
  <c r="AI155" i="3"/>
  <c r="U123" i="3"/>
  <c r="X124" i="3"/>
  <c r="X75" i="3"/>
  <c r="U85" i="3"/>
  <c r="U87" i="3"/>
  <c r="U76" i="3"/>
  <c r="AB75" i="3"/>
  <c r="Y123" i="3"/>
  <c r="AB124" i="3"/>
  <c r="Y87" i="3"/>
  <c r="Y85" i="3"/>
  <c r="Y76" i="3"/>
  <c r="AF215" i="3"/>
  <c r="I91" i="3"/>
  <c r="I92" i="3"/>
  <c r="I93" i="3"/>
  <c r="C91" i="8"/>
  <c r="I141" i="3"/>
  <c r="I90" i="3"/>
  <c r="I106" i="3"/>
  <c r="Q85" i="3"/>
  <c r="Q87" i="3"/>
  <c r="Q76" i="3"/>
  <c r="T75" i="3"/>
  <c r="Q123" i="3"/>
  <c r="T124" i="3"/>
  <c r="S75" i="3"/>
  <c r="AG165" i="3"/>
  <c r="AG170" i="3"/>
  <c r="AH102" i="3"/>
  <c r="Q75" i="3"/>
  <c r="R125" i="3"/>
  <c r="AS25" i="3"/>
  <c r="AT25" i="3"/>
  <c r="AE161" i="3"/>
  <c r="AN167" i="3"/>
  <c r="AH18" i="3"/>
  <c r="AF157" i="3"/>
  <c r="AG157" i="3"/>
  <c r="AH82" i="3"/>
  <c r="AH156" i="3"/>
  <c r="Z76" i="3"/>
  <c r="Z85" i="3"/>
  <c r="Z87" i="3"/>
  <c r="Z123" i="3"/>
  <c r="AC124" i="3"/>
  <c r="AA75" i="3"/>
  <c r="AF62" i="3"/>
  <c r="AD145" i="3"/>
  <c r="AD185" i="3"/>
  <c r="AE79" i="3"/>
  <c r="BL19" i="3"/>
  <c r="BM18" i="3"/>
  <c r="W123" i="3"/>
  <c r="Z124" i="3"/>
  <c r="Z75" i="3"/>
  <c r="W76" i="3"/>
  <c r="W85" i="3"/>
  <c r="W87" i="3"/>
  <c r="AU25" i="3"/>
  <c r="AO62" i="3"/>
  <c r="AJ99" i="3"/>
  <c r="AK99" i="3"/>
  <c r="AF200" i="3"/>
  <c r="AE202" i="3"/>
  <c r="AE62" i="3"/>
  <c r="P75" i="3"/>
  <c r="M85" i="3"/>
  <c r="M123" i="3"/>
  <c r="P124" i="3"/>
  <c r="P125" i="3"/>
  <c r="M87" i="3"/>
  <c r="M76" i="3"/>
  <c r="AV62" i="3"/>
  <c r="AF147" i="3"/>
  <c r="T123" i="3"/>
  <c r="W124" i="3"/>
  <c r="W125" i="3"/>
  <c r="W75" i="3"/>
  <c r="T85" i="3"/>
  <c r="T76" i="3"/>
  <c r="T87" i="3"/>
  <c r="V75" i="3"/>
  <c r="U75" i="3"/>
  <c r="V123" i="3"/>
  <c r="Y124" i="3"/>
  <c r="V76" i="3"/>
  <c r="V87" i="3"/>
  <c r="Y75" i="3"/>
  <c r="V85" i="3"/>
  <c r="AA87" i="3"/>
  <c r="AA76" i="3"/>
  <c r="AA85" i="3"/>
  <c r="AA123" i="3"/>
  <c r="AJ18" i="3"/>
  <c r="X144" i="3"/>
  <c r="X152" i="3"/>
  <c r="X174" i="3"/>
  <c r="X175" i="3"/>
  <c r="X86" i="3"/>
  <c r="AN62" i="3"/>
  <c r="AR62" i="3"/>
  <c r="AG81" i="3"/>
  <c r="AI149" i="3"/>
  <c r="AJ149" i="3"/>
  <c r="BB25" i="3"/>
  <c r="AI18" i="3"/>
  <c r="AK199" i="3"/>
  <c r="H134" i="3"/>
  <c r="H108" i="3"/>
  <c r="H110" i="3"/>
  <c r="H133" i="3"/>
  <c r="BK10" i="3"/>
  <c r="AB87" i="3"/>
  <c r="AB123" i="3"/>
  <c r="AB85" i="3"/>
  <c r="AB76" i="3"/>
  <c r="U125" i="3"/>
  <c r="N144" i="3"/>
  <c r="N152" i="3"/>
  <c r="N174" i="3"/>
  <c r="N175" i="3"/>
  <c r="N86" i="3"/>
  <c r="J4" i="3"/>
  <c r="I4" i="2"/>
  <c r="U6" i="3"/>
  <c r="AL99" i="3"/>
  <c r="AG105" i="8"/>
  <c r="AE105" i="8"/>
  <c r="AC125" i="3"/>
  <c r="AF161" i="3"/>
  <c r="Z125" i="3"/>
  <c r="AD105" i="8"/>
  <c r="AF105" i="8"/>
  <c r="AF36" i="3"/>
  <c r="AH35" i="3"/>
  <c r="AH36" i="3"/>
  <c r="AG27" i="3"/>
  <c r="Y125" i="3"/>
  <c r="AL26" i="3"/>
  <c r="BM62" i="3"/>
  <c r="R86" i="3"/>
  <c r="R144" i="3"/>
  <c r="R152" i="3"/>
  <c r="R174" i="3"/>
  <c r="R175" i="3"/>
  <c r="X105" i="8"/>
  <c r="BK62" i="3"/>
  <c r="BK63" i="3"/>
  <c r="AC105" i="8"/>
  <c r="AK26" i="3"/>
  <c r="AB125" i="3"/>
  <c r="AF47" i="3"/>
  <c r="AE146" i="3"/>
  <c r="AE186" i="3"/>
  <c r="AF80" i="3"/>
  <c r="AO27" i="3"/>
  <c r="AI27" i="3"/>
  <c r="S144" i="3"/>
  <c r="S152" i="3"/>
  <c r="S174" i="3"/>
  <c r="S175" i="3"/>
  <c r="S86" i="3"/>
  <c r="BO62" i="3"/>
  <c r="AU27" i="3"/>
  <c r="AN27" i="3"/>
  <c r="P86" i="3"/>
  <c r="P144" i="3"/>
  <c r="P152" i="3"/>
  <c r="P174" i="3"/>
  <c r="P175" i="3"/>
  <c r="AK149" i="3"/>
  <c r="AM26" i="3"/>
  <c r="AQ27" i="3"/>
  <c r="AO26" i="3"/>
  <c r="AH105" i="8"/>
  <c r="Y105" i="8"/>
  <c r="AU26" i="3"/>
  <c r="AI82" i="3"/>
  <c r="AJ82" i="3"/>
  <c r="BN62" i="3"/>
  <c r="BN63" i="3"/>
  <c r="Z105" i="8"/>
  <c r="AH157" i="3"/>
  <c r="AI157" i="3"/>
  <c r="AL168" i="3"/>
  <c r="M86" i="3"/>
  <c r="M144" i="3"/>
  <c r="M152" i="3"/>
  <c r="M174" i="3"/>
  <c r="M175" i="3"/>
  <c r="BG83" i="3"/>
  <c r="I133" i="3"/>
  <c r="I108" i="3"/>
  <c r="I110" i="3"/>
  <c r="I134" i="3"/>
  <c r="Y86" i="3"/>
  <c r="Y144" i="3"/>
  <c r="Y152" i="3"/>
  <c r="Y174" i="3"/>
  <c r="Y175" i="3"/>
  <c r="AA125" i="3"/>
  <c r="AG147" i="3"/>
  <c r="AH81" i="3"/>
  <c r="AA144" i="3"/>
  <c r="AA152" i="3"/>
  <c r="AA174" i="3"/>
  <c r="AA175" i="3"/>
  <c r="AA86" i="3"/>
  <c r="T86" i="3"/>
  <c r="T144" i="3"/>
  <c r="T152" i="3"/>
  <c r="T174" i="3"/>
  <c r="T175" i="3"/>
  <c r="AJ168" i="3"/>
  <c r="W86" i="3"/>
  <c r="W144" i="3"/>
  <c r="W152" i="3"/>
  <c r="W174" i="3"/>
  <c r="W175" i="3"/>
  <c r="AJ155" i="3"/>
  <c r="AK155" i="3"/>
  <c r="AL155" i="3"/>
  <c r="BL62" i="3"/>
  <c r="BL63" i="3"/>
  <c r="J4" i="2"/>
  <c r="K4" i="3"/>
  <c r="AL149" i="3"/>
  <c r="AI35" i="3"/>
  <c r="AJ34" i="3"/>
  <c r="AK34" i="3"/>
  <c r="AH27" i="3"/>
  <c r="AH26" i="3"/>
  <c r="AH165" i="3"/>
  <c r="AH170" i="3"/>
  <c r="AI102" i="3"/>
  <c r="T125" i="3"/>
  <c r="AO167" i="3"/>
  <c r="J91" i="3"/>
  <c r="J141" i="3"/>
  <c r="D91" i="8"/>
  <c r="J90" i="3"/>
  <c r="J106" i="3"/>
  <c r="J92" i="3"/>
  <c r="J93" i="3"/>
  <c r="U144" i="3"/>
  <c r="U152" i="3"/>
  <c r="U174" i="3"/>
  <c r="U175" i="3"/>
  <c r="U86" i="3"/>
  <c r="AG200" i="3"/>
  <c r="AF202" i="3"/>
  <c r="AT27" i="3"/>
  <c r="AT26" i="3"/>
  <c r="AB105" i="8"/>
  <c r="AA105" i="8"/>
  <c r="AE145" i="3"/>
  <c r="AE185" i="3"/>
  <c r="AF79" i="3"/>
  <c r="AG79" i="3"/>
  <c r="AP27" i="3"/>
  <c r="AP26" i="3"/>
  <c r="BL10" i="3"/>
  <c r="AV27" i="3"/>
  <c r="AV26" i="3"/>
  <c r="AS26" i="3"/>
  <c r="AB86" i="3"/>
  <c r="AB144" i="3"/>
  <c r="AB152" i="3"/>
  <c r="AB174" i="3"/>
  <c r="AB175" i="3"/>
  <c r="AQ26" i="3"/>
  <c r="AF27" i="3"/>
  <c r="AE27" i="3"/>
  <c r="BK26" i="3"/>
  <c r="AD26" i="3"/>
  <c r="AF26" i="3"/>
  <c r="AD27" i="3"/>
  <c r="AE26" i="3"/>
  <c r="BM19" i="3"/>
  <c r="BN18" i="3"/>
  <c r="AK18" i="3"/>
  <c r="AL18" i="3"/>
  <c r="AM18" i="3"/>
  <c r="AN18" i="3"/>
  <c r="AM27" i="3"/>
  <c r="AJ27" i="3"/>
  <c r="AJ26" i="3"/>
  <c r="Z86" i="3"/>
  <c r="Z144" i="3"/>
  <c r="Z152" i="3"/>
  <c r="Z174" i="3"/>
  <c r="Z175" i="3"/>
  <c r="AI156" i="3"/>
  <c r="X125" i="3"/>
  <c r="AK27" i="3"/>
  <c r="AL27" i="3"/>
  <c r="AN26" i="3"/>
  <c r="AL199" i="3"/>
  <c r="V144" i="3"/>
  <c r="V152" i="3"/>
  <c r="V174" i="3"/>
  <c r="V175" i="3"/>
  <c r="V86" i="3"/>
  <c r="AK168" i="3"/>
  <c r="AG26" i="3"/>
  <c r="Q144" i="3"/>
  <c r="Q152" i="3"/>
  <c r="Q174" i="3"/>
  <c r="Q175" i="3"/>
  <c r="Q86" i="3"/>
  <c r="BH83" i="3"/>
  <c r="AG215" i="3"/>
  <c r="AS27" i="3"/>
  <c r="AG161" i="3"/>
  <c r="AI26" i="3"/>
  <c r="AH161" i="3"/>
  <c r="AR27" i="3"/>
  <c r="AR26" i="3"/>
  <c r="AM99" i="3"/>
  <c r="AN99" i="3"/>
  <c r="V6" i="3"/>
  <c r="AK82" i="3"/>
  <c r="AL82" i="3"/>
  <c r="BK53" i="3"/>
  <c r="BN26" i="3"/>
  <c r="AH47" i="3"/>
  <c r="AG47" i="3"/>
  <c r="BL26" i="3"/>
  <c r="BK40" i="3"/>
  <c r="AF146" i="3"/>
  <c r="AF186" i="3"/>
  <c r="AG80" i="3"/>
  <c r="BM63" i="3"/>
  <c r="BO26" i="3"/>
  <c r="AL34" i="3"/>
  <c r="AL35" i="3"/>
  <c r="AL36" i="3"/>
  <c r="AH79" i="3"/>
  <c r="AI79" i="3"/>
  <c r="AM155" i="3"/>
  <c r="AN155" i="3"/>
  <c r="BO63" i="3"/>
  <c r="AN168" i="3"/>
  <c r="BL30" i="3"/>
  <c r="W94" i="8"/>
  <c r="B94" i="8"/>
  <c r="AF145" i="3"/>
  <c r="AF185" i="3"/>
  <c r="AI36" i="3"/>
  <c r="AH147" i="3"/>
  <c r="AI81" i="3"/>
  <c r="AH200" i="3"/>
  <c r="AG202" i="3"/>
  <c r="AM149" i="3"/>
  <c r="AN149" i="3"/>
  <c r="AJ156" i="3"/>
  <c r="AK156" i="3"/>
  <c r="BM26" i="3"/>
  <c r="AP167" i="3"/>
  <c r="AQ167" i="3"/>
  <c r="AM168" i="3"/>
  <c r="BO18" i="3"/>
  <c r="BN19" i="3"/>
  <c r="AO18" i="3"/>
  <c r="AR18" i="3"/>
  <c r="AQ18" i="3"/>
  <c r="AP18" i="3"/>
  <c r="AM199" i="3"/>
  <c r="AO99" i="3"/>
  <c r="AP99" i="3"/>
  <c r="AH215" i="3"/>
  <c r="BM10" i="3"/>
  <c r="AI161" i="3"/>
  <c r="AG145" i="3"/>
  <c r="AJ157" i="3"/>
  <c r="K91" i="3"/>
  <c r="K92" i="3"/>
  <c r="K93" i="3"/>
  <c r="E91" i="8"/>
  <c r="K90" i="3"/>
  <c r="K106" i="3"/>
  <c r="K141" i="3"/>
  <c r="AK35" i="3"/>
  <c r="AK36" i="3"/>
  <c r="G2" i="2"/>
  <c r="K4" i="2"/>
  <c r="L4" i="3"/>
  <c r="I96" i="3"/>
  <c r="I97" i="3"/>
  <c r="J108" i="3"/>
  <c r="J110" i="3"/>
  <c r="AI165" i="3"/>
  <c r="AI170" i="3"/>
  <c r="AJ102" i="3"/>
  <c r="AJ35" i="3"/>
  <c r="BL35" i="3"/>
  <c r="AJ36" i="3"/>
  <c r="W6" i="3"/>
  <c r="AD7" i="3"/>
  <c r="AM82" i="3"/>
  <c r="AN82" i="3"/>
  <c r="AH145" i="3"/>
  <c r="AJ47" i="3"/>
  <c r="X94" i="8"/>
  <c r="X93" i="8"/>
  <c r="AI47" i="3"/>
  <c r="AJ79" i="3"/>
  <c r="AJ145" i="3"/>
  <c r="AI145" i="3"/>
  <c r="AH80" i="3"/>
  <c r="AG146" i="3"/>
  <c r="AG186" i="3"/>
  <c r="AG185" i="3"/>
  <c r="BL40" i="3"/>
  <c r="AM34" i="3"/>
  <c r="AN34" i="3"/>
  <c r="AN35" i="3"/>
  <c r="AJ161" i="3"/>
  <c r="AQ99" i="3"/>
  <c r="AR99" i="3"/>
  <c r="AS99" i="3"/>
  <c r="AS168" i="3"/>
  <c r="AI200" i="3"/>
  <c r="AH202" i="3"/>
  <c r="AJ165" i="3"/>
  <c r="AJ170" i="3"/>
  <c r="AK102" i="3"/>
  <c r="AN199" i="3"/>
  <c r="L90" i="3"/>
  <c r="L106" i="3"/>
  <c r="L91" i="3"/>
  <c r="F91" i="8"/>
  <c r="L141" i="3"/>
  <c r="I2" i="3"/>
  <c r="BF3" i="3"/>
  <c r="L92" i="3"/>
  <c r="L93" i="3"/>
  <c r="AK157" i="3"/>
  <c r="W96" i="8"/>
  <c r="J117" i="3"/>
  <c r="J118" i="3"/>
  <c r="J119" i="3"/>
  <c r="J120" i="3"/>
  <c r="J133" i="3"/>
  <c r="BO19" i="3"/>
  <c r="AT18" i="3"/>
  <c r="AU18" i="3"/>
  <c r="AV18" i="3"/>
  <c r="AS18" i="3"/>
  <c r="J97" i="3"/>
  <c r="K127" i="3"/>
  <c r="K128" i="3"/>
  <c r="K129" i="3"/>
  <c r="K130" i="3"/>
  <c r="K134" i="3"/>
  <c r="J96" i="3"/>
  <c r="M4" i="3"/>
  <c r="L4" i="2"/>
  <c r="AL156" i="3"/>
  <c r="AR167" i="3"/>
  <c r="AS167" i="3"/>
  <c r="AT167" i="3"/>
  <c r="W93" i="8"/>
  <c r="B93" i="8"/>
  <c r="K108" i="3"/>
  <c r="K110" i="3"/>
  <c r="AI215" i="3"/>
  <c r="AP168" i="3"/>
  <c r="AO34" i="3"/>
  <c r="AP34" i="3"/>
  <c r="AO168" i="3"/>
  <c r="AI147" i="3"/>
  <c r="AJ81" i="3"/>
  <c r="AK81" i="3"/>
  <c r="AD46" i="3"/>
  <c r="X96" i="8"/>
  <c r="X97" i="8"/>
  <c r="AO155" i="3"/>
  <c r="AO149" i="3"/>
  <c r="J127" i="3"/>
  <c r="J128" i="3"/>
  <c r="J129" i="3"/>
  <c r="J130" i="3"/>
  <c r="J134" i="3"/>
  <c r="X6" i="3"/>
  <c r="AE7" i="3"/>
  <c r="AO82" i="3"/>
  <c r="AP82" i="3"/>
  <c r="AQ82" i="3"/>
  <c r="W97" i="8"/>
  <c r="B97" i="8"/>
  <c r="B98" i="8"/>
  <c r="B96" i="8"/>
  <c r="AH185" i="3"/>
  <c r="AI185" i="3"/>
  <c r="AJ185" i="3"/>
  <c r="AK47" i="3"/>
  <c r="AL47" i="3"/>
  <c r="BL53" i="3"/>
  <c r="AM35" i="3"/>
  <c r="AM36" i="3"/>
  <c r="AN36" i="3"/>
  <c r="AH146" i="3"/>
  <c r="AH186" i="3"/>
  <c r="AI80" i="3"/>
  <c r="AK79" i="3"/>
  <c r="AL79" i="3"/>
  <c r="AL145" i="3"/>
  <c r="AP155" i="3"/>
  <c r="AQ155" i="3"/>
  <c r="AM156" i="3"/>
  <c r="AN156" i="3"/>
  <c r="AO156" i="3"/>
  <c r="AQ168" i="3"/>
  <c r="AT99" i="3"/>
  <c r="AT168" i="3"/>
  <c r="AP35" i="3"/>
  <c r="AP36" i="3"/>
  <c r="X100" i="8"/>
  <c r="X112" i="8"/>
  <c r="X98" i="8"/>
  <c r="X103" i="8"/>
  <c r="X106" i="8"/>
  <c r="AK147" i="3"/>
  <c r="G91" i="8"/>
  <c r="M91" i="3"/>
  <c r="M90" i="3"/>
  <c r="M106" i="3"/>
  <c r="M141" i="3"/>
  <c r="M92" i="3"/>
  <c r="M93" i="3"/>
  <c r="AK165" i="3"/>
  <c r="AK170" i="3"/>
  <c r="AL102" i="3"/>
  <c r="AJ147" i="3"/>
  <c r="AL81" i="3"/>
  <c r="AM81" i="3"/>
  <c r="AO35" i="3"/>
  <c r="AO36" i="3"/>
  <c r="AE46" i="3"/>
  <c r="Y96" i="8"/>
  <c r="Y94" i="8"/>
  <c r="L108" i="3"/>
  <c r="L110" i="3"/>
  <c r="AJ200" i="3"/>
  <c r="AI202" i="3"/>
  <c r="AJ215" i="3"/>
  <c r="AO199" i="3"/>
  <c r="AR168" i="3"/>
  <c r="BM30" i="3"/>
  <c r="W98" i="8"/>
  <c r="W100" i="8"/>
  <c r="B100" i="8"/>
  <c r="W103" i="8"/>
  <c r="B103" i="8"/>
  <c r="AD192" i="3"/>
  <c r="AD196" i="3"/>
  <c r="AD204" i="3"/>
  <c r="K97" i="3"/>
  <c r="K96" i="3"/>
  <c r="AU167" i="3"/>
  <c r="AV167" i="3"/>
  <c r="AQ34" i="3"/>
  <c r="AL157" i="3"/>
  <c r="AK161" i="3"/>
  <c r="AP149" i="3"/>
  <c r="AD48" i="3"/>
  <c r="AD180" i="3"/>
  <c r="M4" i="2"/>
  <c r="N4" i="3"/>
  <c r="K117" i="3"/>
  <c r="K118" i="3"/>
  <c r="K119" i="3"/>
  <c r="K120" i="3"/>
  <c r="K133" i="3"/>
  <c r="AF7" i="3"/>
  <c r="Y6" i="3"/>
  <c r="AR82" i="3"/>
  <c r="AD56" i="3"/>
  <c r="W106" i="8"/>
  <c r="B106" i="8"/>
  <c r="BM35" i="3"/>
  <c r="Z94" i="8"/>
  <c r="Z93" i="8"/>
  <c r="AJ80" i="3"/>
  <c r="AJ146" i="3"/>
  <c r="AI146" i="3"/>
  <c r="AI186" i="3"/>
  <c r="AJ186" i="3"/>
  <c r="AK80" i="3"/>
  <c r="AK145" i="3"/>
  <c r="AK185" i="3"/>
  <c r="AL185" i="3"/>
  <c r="AM79" i="3"/>
  <c r="AM145" i="3"/>
  <c r="AR155" i="3"/>
  <c r="AS155" i="3"/>
  <c r="AT155" i="3"/>
  <c r="AU155" i="3"/>
  <c r="AV155" i="3"/>
  <c r="AU99" i="3"/>
  <c r="N4" i="2"/>
  <c r="O4" i="3"/>
  <c r="L96" i="3"/>
  <c r="BF99" i="3"/>
  <c r="L97" i="3"/>
  <c r="M127" i="3"/>
  <c r="M128" i="3"/>
  <c r="M129" i="3"/>
  <c r="M130" i="3"/>
  <c r="M134" i="3"/>
  <c r="AL147" i="3"/>
  <c r="AP199" i="3"/>
  <c r="AE180" i="3"/>
  <c r="AE48" i="3"/>
  <c r="AN81" i="3"/>
  <c r="AO81" i="3"/>
  <c r="M108" i="3"/>
  <c r="M110" i="3"/>
  <c r="AD66" i="3"/>
  <c r="AD68" i="3"/>
  <c r="AD67" i="3"/>
  <c r="AL161" i="3"/>
  <c r="Y93" i="8"/>
  <c r="Y97" i="8"/>
  <c r="AL165" i="3"/>
  <c r="AL170" i="3"/>
  <c r="AM102" i="3"/>
  <c r="AM147" i="3"/>
  <c r="AP156" i="3"/>
  <c r="AM157" i="3"/>
  <c r="BN10" i="3"/>
  <c r="AS9" i="3"/>
  <c r="AS82" i="3"/>
  <c r="AT82" i="3"/>
  <c r="AF46" i="3"/>
  <c r="AF19" i="3"/>
  <c r="BK20" i="3"/>
  <c r="L117" i="3"/>
  <c r="L118" i="3"/>
  <c r="L119" i="3"/>
  <c r="L120" i="3"/>
  <c r="L133" i="3"/>
  <c r="AK215" i="3"/>
  <c r="N90" i="3"/>
  <c r="N106" i="3"/>
  <c r="H91" i="8"/>
  <c r="N141" i="3"/>
  <c r="N91" i="3"/>
  <c r="N92" i="3"/>
  <c r="N93" i="3"/>
  <c r="AQ35" i="3"/>
  <c r="L127" i="3"/>
  <c r="L128" i="3"/>
  <c r="L129" i="3"/>
  <c r="L130" i="3"/>
  <c r="L134" i="3"/>
  <c r="AR34" i="3"/>
  <c r="AK200" i="3"/>
  <c r="AJ202" i="3"/>
  <c r="AE192" i="3"/>
  <c r="AE196" i="3"/>
  <c r="AE204" i="3"/>
  <c r="AD150" i="3"/>
  <c r="AQ149" i="3"/>
  <c r="Z6" i="3"/>
  <c r="AG7" i="3"/>
  <c r="AM47" i="3"/>
  <c r="AM185" i="3"/>
  <c r="AD50" i="3"/>
  <c r="AD64" i="3"/>
  <c r="AD55" i="3"/>
  <c r="AA94" i="8"/>
  <c r="AA93" i="8"/>
  <c r="AE56" i="3"/>
  <c r="AN79" i="3"/>
  <c r="AO79" i="3"/>
  <c r="AK146" i="3"/>
  <c r="AK186" i="3"/>
  <c r="BM40" i="3"/>
  <c r="AN47" i="3"/>
  <c r="AN157" i="3"/>
  <c r="AO157" i="3"/>
  <c r="AO161" i="3"/>
  <c r="AL80" i="3"/>
  <c r="N108" i="3"/>
  <c r="N110" i="3"/>
  <c r="N97" i="3"/>
  <c r="AU82" i="3"/>
  <c r="AP81" i="3"/>
  <c r="AU168" i="3"/>
  <c r="AV99" i="3"/>
  <c r="AV168" i="3"/>
  <c r="M117" i="3"/>
  <c r="M118" i="3"/>
  <c r="M119" i="3"/>
  <c r="M120" i="3"/>
  <c r="M133" i="3"/>
  <c r="M136" i="3"/>
  <c r="M137" i="3"/>
  <c r="AF56" i="3"/>
  <c r="AP147" i="3"/>
  <c r="AV82" i="3"/>
  <c r="AS29" i="3"/>
  <c r="AE55" i="3"/>
  <c r="AE64" i="3"/>
  <c r="BK21" i="3"/>
  <c r="AR35" i="3"/>
  <c r="BN35" i="3"/>
  <c r="AQ36" i="3"/>
  <c r="AS10" i="3"/>
  <c r="AQ199" i="3"/>
  <c r="O90" i="3"/>
  <c r="O106" i="3"/>
  <c r="O92" i="3"/>
  <c r="O93" i="3"/>
  <c r="I91" i="8"/>
  <c r="O91" i="3"/>
  <c r="O141" i="3"/>
  <c r="AL215" i="3"/>
  <c r="AO147" i="3"/>
  <c r="AQ156" i="3"/>
  <c r="K2" i="2"/>
  <c r="P4" i="3"/>
  <c r="O4" i="2"/>
  <c r="AL200" i="3"/>
  <c r="AK202" i="3"/>
  <c r="AF192" i="3"/>
  <c r="AF196" i="3"/>
  <c r="AF204" i="3"/>
  <c r="L136" i="3"/>
  <c r="L137" i="3"/>
  <c r="AF180" i="3"/>
  <c r="AF48" i="3"/>
  <c r="AM165" i="3"/>
  <c r="AM170" i="3"/>
  <c r="AN102" i="3"/>
  <c r="AE150" i="3"/>
  <c r="M96" i="3"/>
  <c r="M97" i="3"/>
  <c r="AT9" i="3"/>
  <c r="AU9" i="3"/>
  <c r="Z96" i="8"/>
  <c r="Z97" i="8"/>
  <c r="AM161" i="3"/>
  <c r="AS34" i="3"/>
  <c r="AT34" i="3"/>
  <c r="AN161" i="3"/>
  <c r="AN147" i="3"/>
  <c r="AD76" i="3"/>
  <c r="AA96" i="8"/>
  <c r="AG46" i="3"/>
  <c r="AR149" i="3"/>
  <c r="AS149" i="3"/>
  <c r="AQ81" i="3"/>
  <c r="Y98" i="8"/>
  <c r="Y100" i="8"/>
  <c r="Y112" i="8"/>
  <c r="Y103" i="8"/>
  <c r="Y106" i="8"/>
  <c r="AE66" i="3"/>
  <c r="AE50" i="3"/>
  <c r="AE68" i="3"/>
  <c r="AE67" i="3"/>
  <c r="AA6" i="3"/>
  <c r="AH7" i="3"/>
  <c r="AP157" i="3"/>
  <c r="AA97" i="8"/>
  <c r="N96" i="3"/>
  <c r="O117" i="3"/>
  <c r="O118" i="3"/>
  <c r="O119" i="3"/>
  <c r="O120" i="3"/>
  <c r="O133" i="3"/>
  <c r="BN30" i="3"/>
  <c r="BM53" i="3"/>
  <c r="AP47" i="3"/>
  <c r="AO145" i="3"/>
  <c r="AN145" i="3"/>
  <c r="AN185" i="3"/>
  <c r="AL146" i="3"/>
  <c r="AL186" i="3"/>
  <c r="AO47" i="3"/>
  <c r="AP79" i="3"/>
  <c r="AM80" i="3"/>
  <c r="AF150" i="3"/>
  <c r="O108" i="3"/>
  <c r="O110" i="3"/>
  <c r="O96" i="3"/>
  <c r="AU10" i="3"/>
  <c r="AU11" i="3"/>
  <c r="AA98" i="8"/>
  <c r="AA100" i="8"/>
  <c r="AA112" i="8"/>
  <c r="AA103" i="8"/>
  <c r="AA106" i="8"/>
  <c r="AQ147" i="3"/>
  <c r="AM200" i="3"/>
  <c r="AL202" i="3"/>
  <c r="AR81" i="3"/>
  <c r="AS81" i="3"/>
  <c r="AS35" i="3"/>
  <c r="BO35" i="3"/>
  <c r="AU34" i="3"/>
  <c r="AV34" i="3"/>
  <c r="Z100" i="8"/>
  <c r="Z112" i="8"/>
  <c r="Z98" i="8"/>
  <c r="Z103" i="8"/>
  <c r="Z106" i="8"/>
  <c r="AR199" i="3"/>
  <c r="AR36" i="3"/>
  <c r="AS30" i="3"/>
  <c r="AS31" i="3"/>
  <c r="AB94" i="8"/>
  <c r="AF50" i="3"/>
  <c r="AF66" i="3"/>
  <c r="AF68" i="3"/>
  <c r="AF67" i="3"/>
  <c r="P4" i="2"/>
  <c r="Q4" i="3"/>
  <c r="AT29" i="3"/>
  <c r="AF64" i="3"/>
  <c r="AF55" i="3"/>
  <c r="AT35" i="3"/>
  <c r="AT36" i="3"/>
  <c r="AH46" i="3"/>
  <c r="AD206" i="3"/>
  <c r="J91" i="8"/>
  <c r="G89" i="8"/>
  <c r="P91" i="3"/>
  <c r="M2" i="3"/>
  <c r="BG3" i="3"/>
  <c r="P141" i="3"/>
  <c r="P90" i="3"/>
  <c r="P106" i="3"/>
  <c r="P92" i="3"/>
  <c r="P93" i="3"/>
  <c r="N127" i="3"/>
  <c r="N128" i="3"/>
  <c r="N129" i="3"/>
  <c r="N130" i="3"/>
  <c r="N134" i="3"/>
  <c r="O127" i="3"/>
  <c r="O128" i="3"/>
  <c r="O129" i="3"/>
  <c r="O130" i="3"/>
  <c r="O134" i="3"/>
  <c r="AM215" i="3"/>
  <c r="AS11" i="3"/>
  <c r="AT149" i="3"/>
  <c r="AP161" i="3"/>
  <c r="AR156" i="3"/>
  <c r="AS156" i="3"/>
  <c r="AG56" i="3"/>
  <c r="AT10" i="3"/>
  <c r="AT11" i="3"/>
  <c r="AV9" i="3"/>
  <c r="BO10" i="3"/>
  <c r="AG180" i="3"/>
  <c r="AG48" i="3"/>
  <c r="AG192" i="3"/>
  <c r="AG196" i="3"/>
  <c r="AG204" i="3"/>
  <c r="AQ157" i="3"/>
  <c r="N117" i="3"/>
  <c r="N118" i="3"/>
  <c r="N119" i="3"/>
  <c r="N120" i="3"/>
  <c r="N133" i="3"/>
  <c r="AN165" i="3"/>
  <c r="AN170" i="3"/>
  <c r="AO102" i="3"/>
  <c r="AE76" i="3"/>
  <c r="AB6" i="3"/>
  <c r="AI7" i="3"/>
  <c r="BO30" i="3"/>
  <c r="AG64" i="3"/>
  <c r="P117" i="3"/>
  <c r="P118" i="3"/>
  <c r="P119" i="3"/>
  <c r="P120" i="3"/>
  <c r="P133" i="3"/>
  <c r="AO185" i="3"/>
  <c r="AN80" i="3"/>
  <c r="AO80" i="3"/>
  <c r="AO146" i="3"/>
  <c r="AM146" i="3"/>
  <c r="AM186" i="3"/>
  <c r="AQ47" i="3"/>
  <c r="AQ79" i="3"/>
  <c r="AP145" i="3"/>
  <c r="AG150" i="3"/>
  <c r="P108" i="3"/>
  <c r="P110" i="3"/>
  <c r="P97" i="3"/>
  <c r="AS36" i="3"/>
  <c r="O97" i="3"/>
  <c r="P127" i="3"/>
  <c r="P128" i="3"/>
  <c r="P129" i="3"/>
  <c r="P130" i="3"/>
  <c r="P134" i="3"/>
  <c r="I109" i="8"/>
  <c r="I112" i="8"/>
  <c r="AH56" i="3"/>
  <c r="AS147" i="3"/>
  <c r="AT81" i="3"/>
  <c r="AT147" i="3"/>
  <c r="N136" i="3"/>
  <c r="N137" i="3"/>
  <c r="AB96" i="8"/>
  <c r="AB97" i="8"/>
  <c r="AI46" i="3"/>
  <c r="AC96" i="8"/>
  <c r="AU149" i="3"/>
  <c r="AV149" i="3"/>
  <c r="AU35" i="3"/>
  <c r="AU36" i="3"/>
  <c r="O136" i="3"/>
  <c r="O137" i="3"/>
  <c r="AF76" i="3"/>
  <c r="Q92" i="3"/>
  <c r="Q93" i="3"/>
  <c r="K91" i="8"/>
  <c r="Q141" i="3"/>
  <c r="Q90" i="3"/>
  <c r="Q106" i="3"/>
  <c r="Q91" i="3"/>
  <c r="AB93" i="8"/>
  <c r="AV10" i="3"/>
  <c r="AV11" i="3"/>
  <c r="Q4" i="2"/>
  <c r="R4" i="3"/>
  <c r="AN215" i="3"/>
  <c r="AR147" i="3"/>
  <c r="AE206" i="3"/>
  <c r="AD208" i="3"/>
  <c r="AH192" i="3"/>
  <c r="AH196" i="3"/>
  <c r="AH204" i="3"/>
  <c r="AQ161" i="3"/>
  <c r="AG66" i="3"/>
  <c r="AG50" i="3"/>
  <c r="AG67" i="3"/>
  <c r="AG68" i="3"/>
  <c r="AG55" i="3"/>
  <c r="AH48" i="3"/>
  <c r="AH180" i="3"/>
  <c r="AT30" i="3"/>
  <c r="AT31" i="3"/>
  <c r="AU29" i="3"/>
  <c r="AV29" i="3"/>
  <c r="AO165" i="3"/>
  <c r="AO170" i="3"/>
  <c r="AP102" i="3"/>
  <c r="AD175" i="3"/>
  <c r="W111" i="8"/>
  <c r="AR157" i="3"/>
  <c r="AV35" i="3"/>
  <c r="AV36" i="3"/>
  <c r="AT156" i="3"/>
  <c r="AC94" i="8"/>
  <c r="AS199" i="3"/>
  <c r="AN200" i="3"/>
  <c r="AM202" i="3"/>
  <c r="AJ7" i="3"/>
  <c r="AC6" i="3"/>
  <c r="AP185" i="3"/>
  <c r="BL20" i="3"/>
  <c r="P96" i="3"/>
  <c r="BG99" i="3"/>
  <c r="J109" i="8"/>
  <c r="J112" i="8"/>
  <c r="BN53" i="3"/>
  <c r="AR47" i="3"/>
  <c r="AS39" i="3"/>
  <c r="AR79" i="3"/>
  <c r="AQ145" i="3"/>
  <c r="AQ185" i="3"/>
  <c r="AN146" i="3"/>
  <c r="AN186" i="3"/>
  <c r="AO186" i="3"/>
  <c r="AP80" i="3"/>
  <c r="AH150" i="3"/>
  <c r="Q127" i="3"/>
  <c r="Q128" i="3"/>
  <c r="Q129" i="3"/>
  <c r="Q130" i="3"/>
  <c r="Q134" i="3"/>
  <c r="P136" i="3"/>
  <c r="P137" i="3"/>
  <c r="AV30" i="3"/>
  <c r="AV31" i="3"/>
  <c r="AI48" i="3"/>
  <c r="AI180" i="3"/>
  <c r="AS157" i="3"/>
  <c r="AS161" i="3"/>
  <c r="AC93" i="8"/>
  <c r="AC97" i="8"/>
  <c r="Q108" i="3"/>
  <c r="Q110" i="3"/>
  <c r="AU81" i="3"/>
  <c r="AU147" i="3"/>
  <c r="AH50" i="3"/>
  <c r="AH66" i="3"/>
  <c r="AH68" i="3"/>
  <c r="AH67" i="3"/>
  <c r="AO200" i="3"/>
  <c r="AN202" i="3"/>
  <c r="AU156" i="3"/>
  <c r="AU30" i="3"/>
  <c r="AU31" i="3"/>
  <c r="AG76" i="3"/>
  <c r="AJ46" i="3"/>
  <c r="AI192" i="3"/>
  <c r="AI196" i="3"/>
  <c r="AI204" i="3"/>
  <c r="AT199" i="3"/>
  <c r="AR161" i="3"/>
  <c r="R90" i="3"/>
  <c r="R106" i="3"/>
  <c r="R91" i="3"/>
  <c r="L91" i="8"/>
  <c r="R141" i="3"/>
  <c r="R92" i="3"/>
  <c r="R93" i="3"/>
  <c r="AH64" i="3"/>
  <c r="AH55" i="3"/>
  <c r="AP165" i="3"/>
  <c r="AP170" i="3"/>
  <c r="AQ102" i="3"/>
  <c r="AO215" i="3"/>
  <c r="AE175" i="3"/>
  <c r="AD183" i="3"/>
  <c r="AD189" i="3"/>
  <c r="AD209" i="3"/>
  <c r="X111" i="8"/>
  <c r="X109" i="8"/>
  <c r="AF206" i="3"/>
  <c r="AE208" i="3"/>
  <c r="AV156" i="3"/>
  <c r="R4" i="2"/>
  <c r="S4" i="3"/>
  <c r="AB100" i="8"/>
  <c r="AB112" i="8"/>
  <c r="AB98" i="8"/>
  <c r="AB103" i="8"/>
  <c r="AB106" i="8"/>
  <c r="AK7" i="3"/>
  <c r="AD6" i="3"/>
  <c r="AV81" i="3"/>
  <c r="AV147" i="3"/>
  <c r="Q117" i="3"/>
  <c r="Q118" i="3"/>
  <c r="Q119" i="3"/>
  <c r="Q120" i="3"/>
  <c r="Q133" i="3"/>
  <c r="Q136" i="3"/>
  <c r="Q137" i="3"/>
  <c r="AE93" i="8"/>
  <c r="AR145" i="3"/>
  <c r="AR185" i="3"/>
  <c r="AP146" i="3"/>
  <c r="AP186" i="3"/>
  <c r="BN40" i="3"/>
  <c r="AS40" i="3"/>
  <c r="AS41" i="3"/>
  <c r="AS53" i="3"/>
  <c r="BO53" i="3"/>
  <c r="AS47" i="3"/>
  <c r="AQ80" i="3"/>
  <c r="AS79" i="3"/>
  <c r="AS145" i="3"/>
  <c r="AT39" i="3"/>
  <c r="AU39" i="3"/>
  <c r="BL21" i="3"/>
  <c r="AI150" i="3"/>
  <c r="R108" i="3"/>
  <c r="R110" i="3"/>
  <c r="R97" i="3"/>
  <c r="AP200" i="3"/>
  <c r="AO202" i="3"/>
  <c r="AH76" i="3"/>
  <c r="AC100" i="8"/>
  <c r="AC112" i="8"/>
  <c r="AC98" i="8"/>
  <c r="AC103" i="8"/>
  <c r="AC106" i="8"/>
  <c r="AQ165" i="3"/>
  <c r="AQ170" i="3"/>
  <c r="AR102" i="3"/>
  <c r="AI66" i="3"/>
  <c r="AI68" i="3"/>
  <c r="AI67" i="3"/>
  <c r="AG206" i="3"/>
  <c r="AF208" i="3"/>
  <c r="AD93" i="8"/>
  <c r="S4" i="2"/>
  <c r="T4" i="3"/>
  <c r="O2" i="2"/>
  <c r="AP215" i="3"/>
  <c r="K109" i="8"/>
  <c r="K112" i="8"/>
  <c r="Q96" i="3"/>
  <c r="Q97" i="3"/>
  <c r="AI56" i="3"/>
  <c r="AU199" i="3"/>
  <c r="AK46" i="3"/>
  <c r="AT157" i="3"/>
  <c r="AJ192" i="3"/>
  <c r="AJ196" i="3"/>
  <c r="AJ204" i="3"/>
  <c r="S141" i="3"/>
  <c r="S92" i="3"/>
  <c r="S93" i="3"/>
  <c r="S90" i="3"/>
  <c r="S106" i="3"/>
  <c r="S91" i="3"/>
  <c r="M91" i="8"/>
  <c r="AJ180" i="3"/>
  <c r="AJ48" i="3"/>
  <c r="Y111" i="8"/>
  <c r="Y109" i="8"/>
  <c r="AE183" i="3"/>
  <c r="AE189" i="3"/>
  <c r="AE209" i="3"/>
  <c r="AJ56" i="3"/>
  <c r="AE6" i="3"/>
  <c r="AL7" i="3"/>
  <c r="AS185" i="3"/>
  <c r="R96" i="3"/>
  <c r="S117" i="3"/>
  <c r="S118" i="3"/>
  <c r="S119" i="3"/>
  <c r="S120" i="3"/>
  <c r="S133" i="3"/>
  <c r="L109" i="8"/>
  <c r="L112" i="8"/>
  <c r="AU40" i="3"/>
  <c r="AU41" i="3"/>
  <c r="AU53" i="3"/>
  <c r="AU47" i="3"/>
  <c r="AR80" i="3"/>
  <c r="AQ146" i="3"/>
  <c r="AQ186" i="3"/>
  <c r="BO40" i="3"/>
  <c r="AT79" i="3"/>
  <c r="AT145" i="3"/>
  <c r="AT185" i="3"/>
  <c r="AT40" i="3"/>
  <c r="AT41" i="3"/>
  <c r="AT53" i="3"/>
  <c r="AT47" i="3"/>
  <c r="AV39" i="3"/>
  <c r="AV199" i="3"/>
  <c r="AJ64" i="3"/>
  <c r="AJ55" i="3"/>
  <c r="AL46" i="3"/>
  <c r="AL192" i="3"/>
  <c r="AJ50" i="3"/>
  <c r="AJ66" i="3"/>
  <c r="AJ67" i="3"/>
  <c r="AJ68" i="3"/>
  <c r="AK56" i="3"/>
  <c r="AR165" i="3"/>
  <c r="AR170" i="3"/>
  <c r="AS102" i="3"/>
  <c r="AD98" i="8"/>
  <c r="AD100" i="8"/>
  <c r="AD112" i="8"/>
  <c r="AD103" i="8"/>
  <c r="AD106" i="8"/>
  <c r="AK192" i="3"/>
  <c r="AK196" i="3"/>
  <c r="AK204" i="3"/>
  <c r="AI55" i="3"/>
  <c r="AI64" i="3"/>
  <c r="AQ215" i="3"/>
  <c r="AG175" i="3"/>
  <c r="Z111" i="8"/>
  <c r="Z109" i="8"/>
  <c r="AF183" i="3"/>
  <c r="AF189" i="3"/>
  <c r="AF209" i="3"/>
  <c r="AJ150" i="3"/>
  <c r="AH206" i="3"/>
  <c r="AG208" i="3"/>
  <c r="AQ200" i="3"/>
  <c r="AP202" i="3"/>
  <c r="R117" i="3"/>
  <c r="R118" i="3"/>
  <c r="R119" i="3"/>
  <c r="R120" i="3"/>
  <c r="R133" i="3"/>
  <c r="AK180" i="3"/>
  <c r="AK48" i="3"/>
  <c r="N91" i="8"/>
  <c r="K89" i="8"/>
  <c r="T92" i="3"/>
  <c r="T93" i="3"/>
  <c r="T141" i="3"/>
  <c r="Q2" i="3"/>
  <c r="BH3" i="3"/>
  <c r="T90" i="3"/>
  <c r="T106" i="3"/>
  <c r="T91" i="3"/>
  <c r="AT161" i="3"/>
  <c r="AU157" i="3"/>
  <c r="AU161" i="3"/>
  <c r="T4" i="2"/>
  <c r="U4" i="3"/>
  <c r="AF175" i="3"/>
  <c r="S108" i="3"/>
  <c r="S110" i="3"/>
  <c r="S127" i="3"/>
  <c r="S128" i="3"/>
  <c r="S129" i="3"/>
  <c r="S130" i="3"/>
  <c r="S134" i="3"/>
  <c r="R127" i="3"/>
  <c r="R128" i="3"/>
  <c r="R129" i="3"/>
  <c r="R130" i="3"/>
  <c r="R134" i="3"/>
  <c r="AI50" i="3"/>
  <c r="AF6" i="3"/>
  <c r="AM7" i="3"/>
  <c r="AG93" i="8"/>
  <c r="AS80" i="3"/>
  <c r="AR146" i="3"/>
  <c r="AR186" i="3"/>
  <c r="AV157" i="3"/>
  <c r="AV161" i="3"/>
  <c r="AU79" i="3"/>
  <c r="AV40" i="3"/>
  <c r="AV41" i="3"/>
  <c r="AV53" i="3"/>
  <c r="AV47" i="3"/>
  <c r="S136" i="3"/>
  <c r="S137" i="3"/>
  <c r="U4" i="2"/>
  <c r="V4" i="3"/>
  <c r="AE98" i="8"/>
  <c r="AE100" i="8"/>
  <c r="AE112" i="8"/>
  <c r="AE103" i="8"/>
  <c r="AE106" i="8"/>
  <c r="AH208" i="3"/>
  <c r="AK64" i="3"/>
  <c r="AK55" i="3"/>
  <c r="AM46" i="3"/>
  <c r="AK66" i="3"/>
  <c r="AK50" i="3"/>
  <c r="AK68" i="3"/>
  <c r="AK67" i="3"/>
  <c r="AL196" i="3"/>
  <c r="AL204" i="3"/>
  <c r="AR215" i="3"/>
  <c r="AI76" i="3"/>
  <c r="AK150" i="3"/>
  <c r="AT102" i="3"/>
  <c r="AS165" i="3"/>
  <c r="AS170" i="3"/>
  <c r="AL180" i="3"/>
  <c r="AL48" i="3"/>
  <c r="T108" i="3"/>
  <c r="T110" i="3"/>
  <c r="S96" i="3"/>
  <c r="M109" i="8"/>
  <c r="M112" i="8"/>
  <c r="S97" i="3"/>
  <c r="AH175" i="3"/>
  <c r="AA111" i="8"/>
  <c r="AA109" i="8"/>
  <c r="AG183" i="3"/>
  <c r="AG189" i="3"/>
  <c r="AG209" i="3"/>
  <c r="U90" i="3"/>
  <c r="U106" i="3"/>
  <c r="O91" i="8"/>
  <c r="U92" i="3"/>
  <c r="U93" i="3"/>
  <c r="U91" i="3"/>
  <c r="U141" i="3"/>
  <c r="R136" i="3"/>
  <c r="R137" i="3"/>
  <c r="AR200" i="3"/>
  <c r="AQ202" i="3"/>
  <c r="AF93" i="8"/>
  <c r="AJ76" i="3"/>
  <c r="AG6" i="3"/>
  <c r="AN7" i="3"/>
  <c r="O108" i="8"/>
  <c r="AH93" i="8"/>
  <c r="AU145" i="3"/>
  <c r="AU185" i="3"/>
  <c r="AV79" i="3"/>
  <c r="AV145" i="3"/>
  <c r="AS146" i="3"/>
  <c r="AS186" i="3"/>
  <c r="AT80" i="3"/>
  <c r="AT146" i="3"/>
  <c r="AI175" i="3"/>
  <c r="AI206" i="3"/>
  <c r="BM20" i="3"/>
  <c r="AK76" i="3"/>
  <c r="AS215" i="3"/>
  <c r="V93" i="3"/>
  <c r="V91" i="3"/>
  <c r="V141" i="3"/>
  <c r="P91" i="8"/>
  <c r="AH183" i="3"/>
  <c r="AH189" i="3"/>
  <c r="AH209" i="3"/>
  <c r="AB111" i="8"/>
  <c r="AB109" i="8"/>
  <c r="T127" i="3"/>
  <c r="T128" i="3"/>
  <c r="T129" i="3"/>
  <c r="T130" i="3"/>
  <c r="T134" i="3"/>
  <c r="AL150" i="3"/>
  <c r="AN192" i="3"/>
  <c r="AN46" i="3"/>
  <c r="W4" i="3"/>
  <c r="V4" i="2"/>
  <c r="U108" i="3"/>
  <c r="U110" i="3"/>
  <c r="O110" i="8"/>
  <c r="AU102" i="3"/>
  <c r="AT165" i="3"/>
  <c r="AT170" i="3"/>
  <c r="AM192" i="3"/>
  <c r="AM196" i="3"/>
  <c r="AM204" i="3"/>
  <c r="AL56" i="3"/>
  <c r="AL50" i="3"/>
  <c r="AF100" i="8"/>
  <c r="AF112" i="8"/>
  <c r="AF98" i="8"/>
  <c r="AF103" i="8"/>
  <c r="AF106" i="8"/>
  <c r="T117" i="3"/>
  <c r="T118" i="3"/>
  <c r="T119" i="3"/>
  <c r="T120" i="3"/>
  <c r="T133" i="3"/>
  <c r="T96" i="3"/>
  <c r="N109" i="8"/>
  <c r="N112" i="8"/>
  <c r="T97" i="3"/>
  <c r="AM180" i="3"/>
  <c r="AM48" i="3"/>
  <c r="AL66" i="3"/>
  <c r="AL68" i="3"/>
  <c r="AL67" i="3"/>
  <c r="AS200" i="3"/>
  <c r="AR202" i="3"/>
  <c r="AH6" i="3"/>
  <c r="AO7" i="3"/>
  <c r="P108" i="8"/>
  <c r="AM150" i="3"/>
  <c r="AH103" i="8"/>
  <c r="AT186" i="3"/>
  <c r="AU80" i="3"/>
  <c r="AU146" i="3"/>
  <c r="AU186" i="3"/>
  <c r="AV185" i="3"/>
  <c r="T136" i="3"/>
  <c r="T137" i="3"/>
  <c r="S2" i="2"/>
  <c r="X4" i="3"/>
  <c r="W4" i="2"/>
  <c r="AT200" i="3"/>
  <c r="AS202" i="3"/>
  <c r="BH99" i="3"/>
  <c r="W93" i="3"/>
  <c r="W141" i="3"/>
  <c r="W91" i="3"/>
  <c r="Q91" i="8"/>
  <c r="AJ175" i="3"/>
  <c r="AI183" i="3"/>
  <c r="AI189" i="3"/>
  <c r="AC111" i="8"/>
  <c r="AC109" i="8"/>
  <c r="AT215" i="3"/>
  <c r="AG100" i="8"/>
  <c r="AG112" i="8"/>
  <c r="AG98" i="8"/>
  <c r="AG103" i="8"/>
  <c r="AG106" i="8"/>
  <c r="AO46" i="3"/>
  <c r="AM56" i="3"/>
  <c r="AL55" i="3"/>
  <c r="AL64" i="3"/>
  <c r="AN180" i="3"/>
  <c r="AN150" i="3"/>
  <c r="AN48" i="3"/>
  <c r="U127" i="3"/>
  <c r="U128" i="3"/>
  <c r="U129" i="3"/>
  <c r="U130" i="3"/>
  <c r="U134" i="3"/>
  <c r="AJ206" i="3"/>
  <c r="AI208" i="3"/>
  <c r="AV102" i="3"/>
  <c r="AU165" i="3"/>
  <c r="AU170" i="3"/>
  <c r="AN196" i="3"/>
  <c r="AN204" i="3"/>
  <c r="P110" i="8"/>
  <c r="U117" i="3"/>
  <c r="U118" i="3"/>
  <c r="U119" i="3"/>
  <c r="U120" i="3"/>
  <c r="U133" i="3"/>
  <c r="AM66" i="3"/>
  <c r="AM68" i="3"/>
  <c r="AM67" i="3"/>
  <c r="BM21" i="3"/>
  <c r="U96" i="3"/>
  <c r="V117" i="3"/>
  <c r="V118" i="3"/>
  <c r="V119" i="3"/>
  <c r="V120" i="3"/>
  <c r="V133" i="3"/>
  <c r="O109" i="8"/>
  <c r="O112" i="8"/>
  <c r="U97" i="3"/>
  <c r="AI6" i="3"/>
  <c r="AP7" i="3"/>
  <c r="Q108" i="8"/>
  <c r="AH98" i="8"/>
  <c r="AH106" i="8"/>
  <c r="AV80" i="3"/>
  <c r="AV146" i="3"/>
  <c r="AV186" i="3"/>
  <c r="AN56" i="3"/>
  <c r="U136" i="3"/>
  <c r="U137" i="3"/>
  <c r="AR114" i="3"/>
  <c r="AR115" i="3"/>
  <c r="AO56" i="3"/>
  <c r="AD111" i="8"/>
  <c r="AD109" i="8"/>
  <c r="AJ183" i="3"/>
  <c r="AJ189" i="3"/>
  <c r="AV165" i="3"/>
  <c r="AV170" i="3"/>
  <c r="AL76" i="3"/>
  <c r="AN55" i="3"/>
  <c r="AN64" i="3"/>
  <c r="V127" i="3"/>
  <c r="V128" i="3"/>
  <c r="V129" i="3"/>
  <c r="V130" i="3"/>
  <c r="V134" i="3"/>
  <c r="V136" i="3"/>
  <c r="V137" i="3"/>
  <c r="AK206" i="3"/>
  <c r="AJ208" i="3"/>
  <c r="AO192" i="3"/>
  <c r="AO196" i="3"/>
  <c r="AO204" i="3"/>
  <c r="P109" i="8"/>
  <c r="P112" i="8"/>
  <c r="AO180" i="3"/>
  <c r="AO48" i="3"/>
  <c r="AU215" i="3"/>
  <c r="Q110" i="8"/>
  <c r="AU200" i="3"/>
  <c r="AT202" i="3"/>
  <c r="X4" i="2"/>
  <c r="Y4" i="3"/>
  <c r="AM64" i="3"/>
  <c r="AM55" i="3"/>
  <c r="AI209" i="3"/>
  <c r="X141" i="3"/>
  <c r="U2" i="3"/>
  <c r="BI3" i="3"/>
  <c r="R91" i="8"/>
  <c r="O89" i="8"/>
  <c r="X91" i="3"/>
  <c r="X93" i="3"/>
  <c r="AM50" i="3"/>
  <c r="AN50" i="3"/>
  <c r="AN66" i="3"/>
  <c r="AN68" i="3"/>
  <c r="AN67" i="3"/>
  <c r="AP46" i="3"/>
  <c r="AQ7" i="3"/>
  <c r="AJ6" i="3"/>
  <c r="R108" i="8"/>
  <c r="W117" i="3"/>
  <c r="W118" i="3"/>
  <c r="W119" i="3"/>
  <c r="W120" i="3"/>
  <c r="W133" i="3"/>
  <c r="AM76" i="3"/>
  <c r="AV200" i="3"/>
  <c r="AV202" i="3"/>
  <c r="AU202" i="3"/>
  <c r="AO150" i="3"/>
  <c r="AQ46" i="3"/>
  <c r="AQ192" i="3"/>
  <c r="Q109" i="8"/>
  <c r="Q112" i="8"/>
  <c r="AL206" i="3"/>
  <c r="AK208" i="3"/>
  <c r="R110" i="8"/>
  <c r="Y141" i="3"/>
  <c r="Y93" i="3"/>
  <c r="Y91" i="3"/>
  <c r="S91" i="8"/>
  <c r="AK183" i="3"/>
  <c r="AK189" i="3"/>
  <c r="AE111" i="8"/>
  <c r="AE109" i="8"/>
  <c r="AJ209" i="3"/>
  <c r="AK175" i="3"/>
  <c r="AO55" i="3"/>
  <c r="AO64" i="3"/>
  <c r="AR113" i="3"/>
  <c r="AS20" i="3"/>
  <c r="AS21" i="3"/>
  <c r="AS22" i="3"/>
  <c r="AS52" i="3"/>
  <c r="AS113" i="3"/>
  <c r="AS114" i="3"/>
  <c r="AS115" i="3"/>
  <c r="AP56" i="3"/>
  <c r="AP192" i="3"/>
  <c r="AP196" i="3"/>
  <c r="AP204" i="3"/>
  <c r="AV215" i="3"/>
  <c r="W127" i="3"/>
  <c r="W128" i="3"/>
  <c r="W129" i="3"/>
  <c r="W130" i="3"/>
  <c r="W134" i="3"/>
  <c r="AN76" i="3"/>
  <c r="Z4" i="3"/>
  <c r="Y4" i="2"/>
  <c r="AP180" i="3"/>
  <c r="AP48" i="3"/>
  <c r="AO50" i="3"/>
  <c r="AO66" i="3"/>
  <c r="AO67" i="3"/>
  <c r="AO68" i="3"/>
  <c r="AK6" i="3"/>
  <c r="AR7" i="3"/>
  <c r="S108" i="8"/>
  <c r="W136" i="3"/>
  <c r="W137" i="3"/>
  <c r="AK209" i="3"/>
  <c r="BN20" i="3"/>
  <c r="AR193" i="3"/>
  <c r="R109" i="8"/>
  <c r="R112" i="8"/>
  <c r="AQ180" i="3"/>
  <c r="AQ48" i="3"/>
  <c r="AT20" i="3"/>
  <c r="AT21" i="3"/>
  <c r="AT22" i="3"/>
  <c r="AT52" i="3"/>
  <c r="AT113" i="3"/>
  <c r="AT114" i="3"/>
  <c r="AT115" i="3"/>
  <c r="AQ56" i="3"/>
  <c r="AP50" i="3"/>
  <c r="AP66" i="3"/>
  <c r="AP67" i="3"/>
  <c r="AP68" i="3"/>
  <c r="AM175" i="3"/>
  <c r="AF111" i="8"/>
  <c r="AF109" i="8"/>
  <c r="AL183" i="3"/>
  <c r="AL189" i="3"/>
  <c r="AM206" i="3"/>
  <c r="AL208" i="3"/>
  <c r="AP64" i="3"/>
  <c r="AP55" i="3"/>
  <c r="S110" i="8"/>
  <c r="AP150" i="3"/>
  <c r="X127" i="3"/>
  <c r="X128" i="3"/>
  <c r="X129" i="3"/>
  <c r="X130" i="3"/>
  <c r="X134" i="3"/>
  <c r="X117" i="3"/>
  <c r="X118" i="3"/>
  <c r="X119" i="3"/>
  <c r="X120" i="3"/>
  <c r="X133" i="3"/>
  <c r="AR46" i="3"/>
  <c r="Z4" i="2"/>
  <c r="AA4" i="3"/>
  <c r="Z91" i="3"/>
  <c r="Z141" i="3"/>
  <c r="T91" i="8"/>
  <c r="Z93" i="3"/>
  <c r="AR124" i="3"/>
  <c r="AR125" i="3"/>
  <c r="AO76" i="3"/>
  <c r="AL175" i="3"/>
  <c r="AQ196" i="3"/>
  <c r="AQ204" i="3"/>
  <c r="AL6" i="3"/>
  <c r="AS7" i="3"/>
  <c r="T108" i="8"/>
  <c r="X136" i="3"/>
  <c r="X137" i="3"/>
  <c r="AS148" i="3"/>
  <c r="AS193" i="3"/>
  <c r="AA141" i="3"/>
  <c r="AA93" i="3"/>
  <c r="AA91" i="3"/>
  <c r="U91" i="8"/>
  <c r="AN206" i="3"/>
  <c r="AM208" i="3"/>
  <c r="AB4" i="3"/>
  <c r="W2" i="2"/>
  <c r="AA4" i="2"/>
  <c r="S109" i="8"/>
  <c r="S112" i="8"/>
  <c r="Z127" i="3"/>
  <c r="Z128" i="3"/>
  <c r="Z129" i="3"/>
  <c r="Z130" i="3"/>
  <c r="Z134" i="3"/>
  <c r="AL209" i="3"/>
  <c r="Y127" i="3"/>
  <c r="Y128" i="3"/>
  <c r="Y129" i="3"/>
  <c r="Y130" i="3"/>
  <c r="Y134" i="3"/>
  <c r="AQ150" i="3"/>
  <c r="AQ64" i="3"/>
  <c r="AQ55" i="3"/>
  <c r="Y117" i="3"/>
  <c r="Y118" i="3"/>
  <c r="Y119" i="3"/>
  <c r="Y120" i="3"/>
  <c r="Y133" i="3"/>
  <c r="AS192" i="3"/>
  <c r="AS46" i="3"/>
  <c r="BO20" i="3"/>
  <c r="AR192" i="3"/>
  <c r="AR196" i="3"/>
  <c r="AR204" i="3"/>
  <c r="BN21" i="3"/>
  <c r="AN175" i="3"/>
  <c r="AG111" i="8"/>
  <c r="AG109" i="8"/>
  <c r="AM183" i="3"/>
  <c r="AM189" i="3"/>
  <c r="T110" i="8"/>
  <c r="AR180" i="3"/>
  <c r="AR48" i="3"/>
  <c r="AR123" i="3"/>
  <c r="AS54" i="3"/>
  <c r="AS74" i="3"/>
  <c r="AS123" i="3"/>
  <c r="AS124" i="3"/>
  <c r="AS125" i="3"/>
  <c r="AP76" i="3"/>
  <c r="AQ66" i="3"/>
  <c r="AQ50" i="3"/>
  <c r="AQ67" i="3"/>
  <c r="AQ68" i="3"/>
  <c r="AM6" i="3"/>
  <c r="AT7" i="3"/>
  <c r="U108" i="8"/>
  <c r="AM209" i="3"/>
  <c r="AR150" i="3"/>
  <c r="AS56" i="3"/>
  <c r="Y136" i="3"/>
  <c r="Y137" i="3"/>
  <c r="AT148" i="3"/>
  <c r="AT193" i="3"/>
  <c r="Z117" i="3"/>
  <c r="Z118" i="3"/>
  <c r="Z119" i="3"/>
  <c r="Z120" i="3"/>
  <c r="Z133" i="3"/>
  <c r="Z136" i="3"/>
  <c r="Z137" i="3"/>
  <c r="AB4" i="2"/>
  <c r="AT46" i="3"/>
  <c r="AT192" i="3"/>
  <c r="AU20" i="3"/>
  <c r="AS180" i="3"/>
  <c r="AS150" i="3"/>
  <c r="AS48" i="3"/>
  <c r="Y2" i="3"/>
  <c r="BJ3" i="3"/>
  <c r="V91" i="8"/>
  <c r="AB91" i="3"/>
  <c r="AB141" i="3"/>
  <c r="AO175" i="3"/>
  <c r="AN183" i="3"/>
  <c r="AN189" i="3"/>
  <c r="AS196" i="3"/>
  <c r="AS204" i="3"/>
  <c r="AT54" i="3"/>
  <c r="AT74" i="3"/>
  <c r="AT123" i="3"/>
  <c r="AT124" i="3"/>
  <c r="AT125" i="3"/>
  <c r="AQ76" i="3"/>
  <c r="AR66" i="3"/>
  <c r="AR68" i="3"/>
  <c r="AR67" i="3"/>
  <c r="AR50" i="3"/>
  <c r="AU21" i="3"/>
  <c r="AU22" i="3"/>
  <c r="AU52" i="3"/>
  <c r="AU113" i="3"/>
  <c r="AU114" i="3"/>
  <c r="AU115" i="3"/>
  <c r="AR56" i="3"/>
  <c r="BO21" i="3"/>
  <c r="AO206" i="3"/>
  <c r="AN208" i="3"/>
  <c r="U110" i="8"/>
  <c r="T109" i="8"/>
  <c r="T112" i="8"/>
  <c r="AN6" i="3"/>
  <c r="AU7" i="3"/>
  <c r="AB93" i="3"/>
  <c r="AC93" i="3"/>
  <c r="V108" i="8"/>
  <c r="AV114" i="3"/>
  <c r="AV115" i="3"/>
  <c r="AN209" i="3"/>
  <c r="AU148" i="3"/>
  <c r="AU193" i="3"/>
  <c r="AS66" i="3"/>
  <c r="AS67" i="3"/>
  <c r="AS68" i="3"/>
  <c r="AR64" i="3"/>
  <c r="AR55" i="3"/>
  <c r="AA117" i="3"/>
  <c r="AA118" i="3"/>
  <c r="AA119" i="3"/>
  <c r="AA120" i="3"/>
  <c r="AA133" i="3"/>
  <c r="AU46" i="3"/>
  <c r="AU192" i="3"/>
  <c r="AV20" i="3"/>
  <c r="AB117" i="3"/>
  <c r="AB118" i="3"/>
  <c r="AB119" i="3"/>
  <c r="AB120" i="3"/>
  <c r="AB133" i="3"/>
  <c r="U109" i="8"/>
  <c r="U112" i="8"/>
  <c r="AB127" i="3"/>
  <c r="AB128" i="3"/>
  <c r="AB129" i="3"/>
  <c r="AB130" i="3"/>
  <c r="AB134" i="3"/>
  <c r="S89" i="8"/>
  <c r="B91" i="8"/>
  <c r="AT196" i="3"/>
  <c r="AT204" i="3"/>
  <c r="AO183" i="3"/>
  <c r="AO189" i="3"/>
  <c r="AP175" i="3"/>
  <c r="V110" i="8"/>
  <c r="AT180" i="3"/>
  <c r="AT48" i="3"/>
  <c r="AP206" i="3"/>
  <c r="AO208" i="3"/>
  <c r="W91" i="8"/>
  <c r="W108" i="8"/>
  <c r="W113" i="8"/>
  <c r="AA127" i="3"/>
  <c r="AA128" i="3"/>
  <c r="AA129" i="3"/>
  <c r="AA130" i="3"/>
  <c r="AA134" i="3"/>
  <c r="AC4" i="2"/>
  <c r="AD4" i="3"/>
  <c r="AO6" i="3"/>
  <c r="AV7" i="3"/>
  <c r="AS55" i="3"/>
  <c r="AT56" i="3"/>
  <c r="AS50" i="3"/>
  <c r="AS64" i="3"/>
  <c r="AB136" i="3"/>
  <c r="AV148" i="3"/>
  <c r="AV193" i="3"/>
  <c r="AS76" i="3"/>
  <c r="AV124" i="3"/>
  <c r="AV125" i="3"/>
  <c r="AA136" i="3"/>
  <c r="AA137" i="3"/>
  <c r="AU180" i="3"/>
  <c r="AU150" i="3"/>
  <c r="AU48" i="3"/>
  <c r="V109" i="8"/>
  <c r="AO209" i="3"/>
  <c r="AP183" i="3"/>
  <c r="AP189" i="3"/>
  <c r="AQ206" i="3"/>
  <c r="AP208" i="3"/>
  <c r="AV46" i="3"/>
  <c r="AV21" i="3"/>
  <c r="AV192" i="3"/>
  <c r="AS83" i="3"/>
  <c r="AS85" i="3"/>
  <c r="AS144" i="3"/>
  <c r="AS152" i="3"/>
  <c r="AS174" i="3"/>
  <c r="AU54" i="3"/>
  <c r="AU74" i="3"/>
  <c r="AU123" i="3"/>
  <c r="AU124" i="3"/>
  <c r="AU125" i="3"/>
  <c r="AR76" i="3"/>
  <c r="AS75" i="3"/>
  <c r="AR75" i="3"/>
  <c r="AT64" i="3"/>
  <c r="AT55" i="3"/>
  <c r="AD90" i="3"/>
  <c r="X91" i="8"/>
  <c r="AD141" i="3"/>
  <c r="AD92" i="3"/>
  <c r="AT50" i="3"/>
  <c r="AT66" i="3"/>
  <c r="AT68" i="3"/>
  <c r="AT67" i="3"/>
  <c r="AD4" i="2"/>
  <c r="AE4" i="3"/>
  <c r="AU196" i="3"/>
  <c r="AU204" i="3"/>
  <c r="AT150" i="3"/>
  <c r="AP6" i="3"/>
  <c r="AC137" i="3"/>
  <c r="AU56" i="3"/>
  <c r="AR175" i="3"/>
  <c r="AB137" i="3"/>
  <c r="AV48" i="3"/>
  <c r="AV180" i="3"/>
  <c r="AV150" i="3"/>
  <c r="AQ183" i="3"/>
  <c r="AQ189" i="3"/>
  <c r="AU50" i="3"/>
  <c r="AU66" i="3"/>
  <c r="AU68" i="3"/>
  <c r="AU67" i="3"/>
  <c r="AT76" i="3"/>
  <c r="AT83" i="3"/>
  <c r="AT85" i="3"/>
  <c r="AT144" i="3"/>
  <c r="AT152" i="3"/>
  <c r="AT174" i="3"/>
  <c r="AP209" i="3"/>
  <c r="V112" i="8"/>
  <c r="AQ208" i="3"/>
  <c r="AE141" i="3"/>
  <c r="Y91" i="8"/>
  <c r="AE90" i="3"/>
  <c r="AE92" i="3"/>
  <c r="AQ175" i="3"/>
  <c r="AV22" i="3"/>
  <c r="AV52" i="3"/>
  <c r="AU64" i="3"/>
  <c r="AU55" i="3"/>
  <c r="AF4" i="3"/>
  <c r="AC2" i="3"/>
  <c r="AE4" i="2"/>
  <c r="AA2" i="2"/>
  <c r="AT75" i="3"/>
  <c r="AV196" i="3"/>
  <c r="AV204" i="3"/>
  <c r="W110" i="8"/>
  <c r="AQ6" i="3"/>
  <c r="AR206" i="3"/>
  <c r="AS206" i="3"/>
  <c r="AF4" i="2"/>
  <c r="AG4" i="3"/>
  <c r="AV54" i="3"/>
  <c r="AV50" i="3"/>
  <c r="AV56" i="3"/>
  <c r="AV113" i="3"/>
  <c r="AR211" i="3"/>
  <c r="AR109" i="3"/>
  <c r="AS178" i="3"/>
  <c r="AR183" i="3"/>
  <c r="AR189" i="3"/>
  <c r="AQ209" i="3"/>
  <c r="AR208" i="3"/>
  <c r="AV66" i="3"/>
  <c r="AV68" i="3"/>
  <c r="AV67" i="3"/>
  <c r="BK3" i="3"/>
  <c r="Z91" i="8"/>
  <c r="W89" i="8"/>
  <c r="AF92" i="3"/>
  <c r="AF90" i="3"/>
  <c r="AF141" i="3"/>
  <c r="W109" i="8"/>
  <c r="AU76" i="3"/>
  <c r="AU83" i="3"/>
  <c r="AU85" i="3"/>
  <c r="AU144" i="3"/>
  <c r="AU152" i="3"/>
  <c r="AU174" i="3"/>
  <c r="AU75" i="3"/>
  <c r="AR6" i="3"/>
  <c r="W112" i="8"/>
  <c r="B112" i="8"/>
  <c r="B109" i="8"/>
  <c r="X108" i="8"/>
  <c r="X113" i="8"/>
  <c r="X110" i="8"/>
  <c r="AT206" i="3"/>
  <c r="AS208" i="3"/>
  <c r="AV64" i="3"/>
  <c r="AV74" i="3"/>
  <c r="AV55" i="3"/>
  <c r="AS211" i="3"/>
  <c r="AS109" i="3"/>
  <c r="AT178" i="3"/>
  <c r="AT175" i="3"/>
  <c r="AS183" i="3"/>
  <c r="AS189" i="3"/>
  <c r="AR209" i="3"/>
  <c r="AA91" i="8"/>
  <c r="AG90" i="3"/>
  <c r="AG92" i="3"/>
  <c r="AG141" i="3"/>
  <c r="AS175" i="3"/>
  <c r="AG4" i="2"/>
  <c r="AH4" i="3"/>
  <c r="AS6" i="3"/>
  <c r="AS209" i="3"/>
  <c r="AH4" i="2"/>
  <c r="AI4" i="3"/>
  <c r="AT211" i="3"/>
  <c r="AT109" i="3"/>
  <c r="AU178" i="3"/>
  <c r="AU175" i="3"/>
  <c r="AT183" i="3"/>
  <c r="AT189" i="3"/>
  <c r="AH90" i="3"/>
  <c r="AH92" i="3"/>
  <c r="AH141" i="3"/>
  <c r="AB91" i="8"/>
  <c r="AV83" i="3"/>
  <c r="AV85" i="3"/>
  <c r="AV144" i="3"/>
  <c r="AV152" i="3"/>
  <c r="AV174" i="3"/>
  <c r="AV76" i="3"/>
  <c r="AV123" i="3"/>
  <c r="AV75" i="3"/>
  <c r="AU206" i="3"/>
  <c r="AT208" i="3"/>
  <c r="AT6" i="3"/>
  <c r="AT209" i="3"/>
  <c r="AV178" i="3"/>
  <c r="AV175" i="3"/>
  <c r="AU183" i="3"/>
  <c r="AU189" i="3"/>
  <c r="AU211" i="3"/>
  <c r="AU109" i="3"/>
  <c r="AV206" i="3"/>
  <c r="AV208" i="3"/>
  <c r="AU208" i="3"/>
  <c r="AI92" i="3"/>
  <c r="AI90" i="3"/>
  <c r="AI141" i="3"/>
  <c r="AC91" i="8"/>
  <c r="AJ4" i="3"/>
  <c r="AE2" i="2"/>
  <c r="AI4" i="2"/>
  <c r="AU6" i="3"/>
  <c r="AJ4" i="2"/>
  <c r="AK4" i="3"/>
  <c r="Y110" i="8"/>
  <c r="Y108" i="8"/>
  <c r="Y113" i="8"/>
  <c r="AU209" i="3"/>
  <c r="AJ92" i="3"/>
  <c r="AJ90" i="3"/>
  <c r="AJ141" i="3"/>
  <c r="AG2" i="3"/>
  <c r="BL3" i="3"/>
  <c r="AD91" i="8"/>
  <c r="AA89" i="8"/>
  <c r="AV183" i="3"/>
  <c r="AV189" i="3"/>
  <c r="AV209" i="3"/>
  <c r="AV211" i="3"/>
  <c r="AV109" i="3"/>
  <c r="AV6" i="3"/>
  <c r="AE91" i="8"/>
  <c r="AK92" i="3"/>
  <c r="AK90" i="3"/>
  <c r="AK141" i="3"/>
  <c r="AK4" i="2"/>
  <c r="AL4" i="3"/>
  <c r="AF91" i="8"/>
  <c r="AL92" i="3"/>
  <c r="AL90" i="3"/>
  <c r="AL141" i="3"/>
  <c r="AL4" i="2"/>
  <c r="AM4" i="3"/>
  <c r="AM90" i="3"/>
  <c r="AM92" i="3"/>
  <c r="AM141" i="3"/>
  <c r="AG91" i="8"/>
  <c r="AM4" i="2"/>
  <c r="AI2" i="2"/>
  <c r="AM2" i="2"/>
  <c r="AQ2" i="2"/>
  <c r="AU2" i="2"/>
  <c r="AN4" i="3"/>
  <c r="AN4" i="2"/>
  <c r="AO4" i="3"/>
  <c r="AK2" i="3"/>
  <c r="BM3" i="3"/>
  <c r="AH91" i="8"/>
  <c r="AE89" i="8"/>
  <c r="AN92" i="3"/>
  <c r="AN90" i="3"/>
  <c r="AN141" i="3"/>
  <c r="Z110" i="8"/>
  <c r="Z108" i="8"/>
  <c r="Z113" i="8"/>
  <c r="AO90" i="3"/>
  <c r="AO92" i="3"/>
  <c r="AO141" i="3"/>
  <c r="AP4" i="3"/>
  <c r="AO4" i="2"/>
  <c r="AP4" i="2"/>
  <c r="AQ4" i="3"/>
  <c r="AP141" i="3"/>
  <c r="AP90" i="3"/>
  <c r="AP92" i="3"/>
  <c r="AA108" i="8"/>
  <c r="AA113" i="8"/>
  <c r="AQ141" i="3"/>
  <c r="AQ92" i="3"/>
  <c r="AQ90" i="3"/>
  <c r="AQ91" i="3"/>
  <c r="AR4" i="3"/>
  <c r="AQ4" i="2"/>
  <c r="AA110" i="8"/>
  <c r="AR4" i="2"/>
  <c r="AS4" i="3"/>
  <c r="AR141" i="3"/>
  <c r="AO2" i="3"/>
  <c r="BN3" i="3"/>
  <c r="AR90" i="3"/>
  <c r="AR92" i="3"/>
  <c r="AR91" i="3"/>
  <c r="AT4" i="3"/>
  <c r="AS4" i="2"/>
  <c r="AS141" i="3"/>
  <c r="AS92" i="3"/>
  <c r="AS90" i="3"/>
  <c r="AS91" i="3"/>
  <c r="AU4" i="3"/>
  <c r="AT4" i="2"/>
  <c r="AT91" i="3"/>
  <c r="AT90" i="3"/>
  <c r="AT141" i="3"/>
  <c r="AT92" i="3"/>
  <c r="AV4" i="3"/>
  <c r="AU4" i="2"/>
  <c r="AV4" i="2"/>
  <c r="AW4" i="2"/>
  <c r="AX4" i="2"/>
  <c r="AB110" i="8"/>
  <c r="AB108" i="8"/>
  <c r="AB113" i="8"/>
  <c r="AU91" i="3"/>
  <c r="AU141" i="3"/>
  <c r="AU90" i="3"/>
  <c r="AU92" i="3"/>
  <c r="V8" i="8"/>
  <c r="W8" i="8"/>
  <c r="X8" i="8"/>
  <c r="V25" i="8"/>
  <c r="W25" i="8"/>
  <c r="X25" i="8"/>
  <c r="V10" i="8"/>
  <c r="W10" i="8"/>
  <c r="X10" i="8"/>
  <c r="V21" i="8"/>
  <c r="W21" i="8"/>
  <c r="X21" i="8"/>
  <c r="V24" i="8"/>
  <c r="W24" i="8"/>
  <c r="X24" i="8"/>
  <c r="V20" i="8"/>
  <c r="W20" i="8"/>
  <c r="X20" i="8"/>
  <c r="V19" i="8"/>
  <c r="W19" i="8"/>
  <c r="X19" i="8"/>
  <c r="V7" i="8"/>
  <c r="W7" i="8"/>
  <c r="X7" i="8"/>
  <c r="V12" i="8"/>
  <c r="W12" i="8"/>
  <c r="X12" i="8"/>
  <c r="V15" i="8"/>
  <c r="W15" i="8"/>
  <c r="X15" i="8"/>
  <c r="V26" i="8"/>
  <c r="W26" i="8"/>
  <c r="X26" i="8"/>
  <c r="V23" i="8"/>
  <c r="W23" i="8"/>
  <c r="X23" i="8"/>
  <c r="V13" i="8"/>
  <c r="W13" i="8"/>
  <c r="X13" i="8"/>
  <c r="V18" i="8"/>
  <c r="W18" i="8"/>
  <c r="X18" i="8"/>
  <c r="V16" i="8"/>
  <c r="W16" i="8"/>
  <c r="X16" i="8"/>
  <c r="V17" i="8"/>
  <c r="W17" i="8"/>
  <c r="X17" i="8"/>
  <c r="V9" i="8"/>
  <c r="W9" i="8"/>
  <c r="X9" i="8"/>
  <c r="V6" i="8"/>
  <c r="W6" i="8"/>
  <c r="X6" i="8"/>
  <c r="V11" i="8"/>
  <c r="W11" i="8"/>
  <c r="X11" i="8"/>
  <c r="V5" i="8"/>
  <c r="W5" i="8"/>
  <c r="X5" i="8"/>
  <c r="V22" i="8"/>
  <c r="W22" i="8"/>
  <c r="X22" i="8"/>
  <c r="V14" i="8"/>
  <c r="W14" i="8"/>
  <c r="X14" i="8"/>
  <c r="AV92" i="3"/>
  <c r="AV141" i="3"/>
  <c r="AS2" i="3"/>
  <c r="AV91" i="3"/>
  <c r="AV90" i="3"/>
  <c r="V4" i="8"/>
  <c r="W4" i="8"/>
  <c r="X4" i="8"/>
  <c r="AC110" i="8"/>
  <c r="AC108" i="8"/>
  <c r="AC113" i="8"/>
  <c r="AD110" i="8"/>
  <c r="AD108" i="8"/>
  <c r="AD113" i="8"/>
  <c r="AE110" i="8"/>
  <c r="AE108" i="8"/>
  <c r="AE113" i="8"/>
  <c r="AF110" i="8"/>
  <c r="AF108" i="8"/>
  <c r="AF113" i="8"/>
  <c r="AG110" i="8"/>
  <c r="AG108" i="8"/>
  <c r="AG113" i="8"/>
  <c r="AH110" i="8"/>
  <c r="AH113" i="8"/>
  <c r="AQ137" i="3"/>
  <c r="AQ108" i="3"/>
  <c r="AQ110" i="3"/>
  <c r="AQ97" i="3"/>
  <c r="AQ96" i="3"/>
  <c r="AR117" i="3"/>
  <c r="AR118" i="3"/>
  <c r="AR119" i="3"/>
  <c r="AR120" i="3"/>
  <c r="AR133" i="3"/>
  <c r="AR127" i="3"/>
  <c r="AR128" i="3"/>
  <c r="AR129" i="3"/>
  <c r="AR130" i="3"/>
  <c r="AR134" i="3"/>
  <c r="AR136" i="3"/>
  <c r="AR137" i="3"/>
  <c r="AR108" i="3"/>
  <c r="AR110" i="3"/>
  <c r="AS106" i="3"/>
  <c r="AR97" i="3"/>
  <c r="AR96" i="3"/>
  <c r="AS117" i="3"/>
  <c r="AS118" i="3"/>
  <c r="AS119" i="3"/>
  <c r="AS120" i="3"/>
  <c r="AS133" i="3"/>
  <c r="AS127" i="3"/>
  <c r="AS128" i="3"/>
  <c r="AS129" i="3"/>
  <c r="AS130" i="3"/>
  <c r="AS134" i="3"/>
  <c r="AS136" i="3"/>
  <c r="AS137" i="3"/>
  <c r="AS108" i="3"/>
  <c r="AS110" i="3"/>
  <c r="AT106" i="3"/>
  <c r="AS96" i="3"/>
  <c r="AS97" i="3"/>
  <c r="AT127" i="3"/>
  <c r="AT128" i="3"/>
  <c r="AT129" i="3"/>
  <c r="AT130" i="3"/>
  <c r="AT134" i="3"/>
  <c r="AT117" i="3"/>
  <c r="AT118" i="3"/>
  <c r="AT119" i="3"/>
  <c r="AT120" i="3"/>
  <c r="AT133" i="3"/>
  <c r="AT136" i="3"/>
  <c r="AT137" i="3"/>
  <c r="AT108" i="3"/>
  <c r="AT110" i="3"/>
  <c r="AU106" i="3"/>
  <c r="AT96" i="3"/>
  <c r="AT97" i="3"/>
  <c r="AU117" i="3"/>
  <c r="AU118" i="3"/>
  <c r="AU119" i="3"/>
  <c r="AU120" i="3"/>
  <c r="AU133" i="3"/>
  <c r="AU127" i="3"/>
  <c r="AU128" i="3"/>
  <c r="AU129" i="3"/>
  <c r="AU130" i="3"/>
  <c r="AU134" i="3"/>
  <c r="AU136" i="3"/>
  <c r="AU137" i="3"/>
  <c r="AU108" i="3"/>
  <c r="AU110" i="3"/>
  <c r="AV106" i="3"/>
  <c r="AU97" i="3"/>
  <c r="AV127" i="3"/>
  <c r="AV128" i="3"/>
  <c r="AV129" i="3"/>
  <c r="AV130" i="3"/>
  <c r="AV134" i="3"/>
  <c r="AU96" i="3"/>
  <c r="AV117" i="3"/>
  <c r="AV118" i="3"/>
  <c r="AV119" i="3"/>
  <c r="AV120" i="3"/>
  <c r="AV133" i="3"/>
  <c r="AV136" i="3"/>
  <c r="AV137" i="3"/>
  <c r="AV108" i="3"/>
  <c r="AV110" i="3"/>
  <c r="AV97" i="3"/>
  <c r="AV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blQuotes" description="Connection to the 'tblQuotes' query in the workbook." type="5" refreshedVersion="6" background="1" saveData="1">
    <dbPr connection="Provider=Microsoft.Mashup.OleDb.1;Data Source=$Workbook$;Location=tblQuotes;Extended Properties=&quot;&quot;" command="SELECT * FROM [tblQuotes]"/>
  </connection>
  <connection id="2" xr16:uid="{00000000-0015-0000-FFFF-FFFF01000000}" keepAlive="1" name="Query - tblStocksNew" description="Connection to the 'tblStocksNew' query in the workbook." type="5" refreshedVersion="6" background="1" saveData="1">
    <dbPr connection="Provider=Microsoft.Mashup.OleDb.1;Data Source=$Workbook$;Location=tblStocksNew;Extended Properties=&quot;&quot;" command="SELECT * FROM [tblStocksNew]"/>
  </connection>
</connections>
</file>

<file path=xl/sharedStrings.xml><?xml version="1.0" encoding="utf-8"?>
<sst xmlns="http://schemas.openxmlformats.org/spreadsheetml/2006/main" count="371" uniqueCount="235">
  <si>
    <t>Cash</t>
  </si>
  <si>
    <t>FD Shares</t>
  </si>
  <si>
    <t>Net Income</t>
  </si>
  <si>
    <t>G&amp;A</t>
  </si>
  <si>
    <t>R&amp;D</t>
  </si>
  <si>
    <t>GROSS PROFIT</t>
  </si>
  <si>
    <t>COST OF SALES</t>
  </si>
  <si>
    <t>REVENUE</t>
  </si>
  <si>
    <t>Growth Rate</t>
  </si>
  <si>
    <t>Target Price</t>
  </si>
  <si>
    <t>Origin Price</t>
  </si>
  <si>
    <t>Reconciliation Adjustments</t>
  </si>
  <si>
    <t>BALANCE SHEET</t>
  </si>
  <si>
    <t>Total Assets</t>
  </si>
  <si>
    <t>Deferred Rev.</t>
  </si>
  <si>
    <t>Investments</t>
  </si>
  <si>
    <t>CASH FLOW</t>
  </si>
  <si>
    <t>Selling</t>
  </si>
  <si>
    <t>LT Deferred Rev</t>
  </si>
  <si>
    <t>Total Revenue</t>
  </si>
  <si>
    <t>Adjusted EBITDA</t>
  </si>
  <si>
    <t>OVERHEAD</t>
  </si>
  <si>
    <t>SEASONALITY</t>
  </si>
  <si>
    <t>TTM Revenue</t>
  </si>
  <si>
    <t>TTM EDITDA</t>
  </si>
  <si>
    <t>Other Current</t>
  </si>
  <si>
    <t>Other Assets</t>
  </si>
  <si>
    <t>Current Liabilities</t>
  </si>
  <si>
    <t>Other LT Liabilities</t>
  </si>
  <si>
    <t>Operating Income</t>
  </si>
  <si>
    <t>Other</t>
  </si>
  <si>
    <t>Basic EPS</t>
  </si>
  <si>
    <t>FD EPS</t>
  </si>
  <si>
    <t xml:space="preserve">  R&amp;D</t>
  </si>
  <si>
    <t>Total Non GAAP Adjustments</t>
  </si>
  <si>
    <t>Total Liabilities</t>
  </si>
  <si>
    <t>Equity</t>
  </si>
  <si>
    <t>Deferred Revenue</t>
  </si>
  <si>
    <t>LT Liabilities</t>
  </si>
  <si>
    <t>Total Current Assets</t>
  </si>
  <si>
    <t>Long Term Investments</t>
  </si>
  <si>
    <t>GROWTH RATES</t>
  </si>
  <si>
    <t>Q1</t>
  </si>
  <si>
    <t>Q2</t>
  </si>
  <si>
    <t>Q3</t>
  </si>
  <si>
    <t>Q4</t>
  </si>
  <si>
    <t>Non GAAP EBITDA</t>
  </si>
  <si>
    <t>Amortization</t>
  </si>
  <si>
    <t>EBITDA</t>
  </si>
  <si>
    <t>EBITDA Margin</t>
  </si>
  <si>
    <t>Operating activites</t>
  </si>
  <si>
    <t>Net loss for the period</t>
  </si>
  <si>
    <t>Depreciation of PPE</t>
  </si>
  <si>
    <t>Amortization of intangible assets</t>
  </si>
  <si>
    <t>Investing activities</t>
  </si>
  <si>
    <t>Interest received</t>
  </si>
  <si>
    <t>Financing activities</t>
  </si>
  <si>
    <t>Proceeds from exercise of share options</t>
  </si>
  <si>
    <t>Interest and other finance costs paid</t>
  </si>
  <si>
    <t>Effect of foreign exchange on cash balances</t>
  </si>
  <si>
    <t>Net increase (decrease) in cash and cash equivalents</t>
  </si>
  <si>
    <t>Cash and cash equivalents beginning of period</t>
  </si>
  <si>
    <t>Cash and cash equivalents end of period</t>
  </si>
  <si>
    <t>Trade accounts receivable</t>
  </si>
  <si>
    <t>PPE</t>
  </si>
  <si>
    <t>Intangible assets</t>
  </si>
  <si>
    <t>Trade and other payables</t>
  </si>
  <si>
    <t>Accrued non-current liabilities</t>
  </si>
  <si>
    <t>Issued capital</t>
  </si>
  <si>
    <t>Contributed surplus</t>
  </si>
  <si>
    <t>Deficit</t>
  </si>
  <si>
    <t>Net Cash</t>
  </si>
  <si>
    <t>Check</t>
  </si>
  <si>
    <t>Net proceeds from issue of share capital (repurchase)</t>
  </si>
  <si>
    <t>Dividends per Share</t>
  </si>
  <si>
    <t>Warrants</t>
  </si>
  <si>
    <t>Warrant Ex. Price</t>
  </si>
  <si>
    <t>Options</t>
  </si>
  <si>
    <t>PRICE AT</t>
  </si>
  <si>
    <t>Total Liabilities &amp; Equity</t>
  </si>
  <si>
    <t>Days Sales Outstanding</t>
  </si>
  <si>
    <t>Days Payables Outstanding</t>
  </si>
  <si>
    <t>PPE Depreciation</t>
  </si>
  <si>
    <t>Non Cash Items not already deducted</t>
  </si>
  <si>
    <t>Intangible Amort</t>
  </si>
  <si>
    <t>CHECK against EBITDA from P&amp;L</t>
  </si>
  <si>
    <t>Actual EBITDA Multiple</t>
  </si>
  <si>
    <t>Target Date</t>
  </si>
  <si>
    <t>Total Cost of Sales</t>
  </si>
  <si>
    <t>Inc. (Dec.) in Cash from operations</t>
  </si>
  <si>
    <t>Inc. (Dec.) in Cash from investing activities</t>
  </si>
  <si>
    <t>Inc. (Dec.) in Cash from financing activities</t>
  </si>
  <si>
    <t xml:space="preserve">   Cash balance check</t>
  </si>
  <si>
    <t>Depreciation</t>
  </si>
  <si>
    <t>Stock based compensation</t>
  </si>
  <si>
    <t>Revenue</t>
  </si>
  <si>
    <t>Actual</t>
  </si>
  <si>
    <t>Forecast</t>
  </si>
  <si>
    <t>TTM Recurring Revenue</t>
  </si>
  <si>
    <t>Total Overhead</t>
  </si>
  <si>
    <t>R&amp;D as a % of Total Revenue</t>
  </si>
  <si>
    <t>G&amp;A as a % of Total Revenue</t>
  </si>
  <si>
    <t xml:space="preserve">  G&amp;A</t>
  </si>
  <si>
    <t>Working capital changes</t>
  </si>
  <si>
    <t>Acquisitions</t>
  </si>
  <si>
    <t>Capital asset (additions)/disposals</t>
  </si>
  <si>
    <t>Net proceeds from issue of debt</t>
  </si>
  <si>
    <t>Bank indebtedness</t>
  </si>
  <si>
    <t>Current portion of long term debt</t>
  </si>
  <si>
    <t>Long term debt</t>
  </si>
  <si>
    <t>Dividends paid</t>
  </si>
  <si>
    <t>Inc. (Dec.) in Cash from Financing activities</t>
  </si>
  <si>
    <t>Finance income/cost</t>
  </si>
  <si>
    <t>Stock Compensation</t>
  </si>
  <si>
    <t>Taxes</t>
  </si>
  <si>
    <t>CHECK against Net Income from P&amp;L</t>
  </si>
  <si>
    <t>Tax Rate</t>
  </si>
  <si>
    <t>Options Outstanding</t>
  </si>
  <si>
    <t xml:space="preserve">  Average Exercise Price</t>
  </si>
  <si>
    <t>Warrants Outstanding</t>
  </si>
  <si>
    <t>Dividend rate per share</t>
  </si>
  <si>
    <t>Max Price (CAD)</t>
  </si>
  <si>
    <t>Row Count</t>
  </si>
  <si>
    <t xml:space="preserve">  Cost of Sales</t>
  </si>
  <si>
    <t xml:space="preserve">  Selling</t>
  </si>
  <si>
    <t>Depreciation/Amortization</t>
  </si>
  <si>
    <t>Intangible asset (additions)/disposals</t>
  </si>
  <si>
    <t>Subscription</t>
  </si>
  <si>
    <t>Services</t>
  </si>
  <si>
    <t>Product</t>
  </si>
  <si>
    <t>Shares Outstanding (per B/S)</t>
  </si>
  <si>
    <t>Fcst Columns</t>
  </si>
  <si>
    <t>Total Columns</t>
  </si>
  <si>
    <t>Other income (loss)</t>
  </si>
  <si>
    <t>Foreign exchange gain/(loss)</t>
  </si>
  <si>
    <t>Goodwill</t>
  </si>
  <si>
    <t>(Purchase) Redemption of investments</t>
  </si>
  <si>
    <t>Exclude</t>
  </si>
  <si>
    <t>Merchant Solutions</t>
  </si>
  <si>
    <t>Merch as % of Subscription</t>
  </si>
  <si>
    <t>Exch Rate</t>
  </si>
  <si>
    <t>Licensing</t>
  </si>
  <si>
    <t>TTM Recurring COS</t>
  </si>
  <si>
    <t>Recurring Gross Margin</t>
  </si>
  <si>
    <t>TTM Selling</t>
  </si>
  <si>
    <t xml:space="preserve">Cost of New Rec. Gross </t>
  </si>
  <si>
    <t>Enterprise Value</t>
  </si>
  <si>
    <t>CURRENT</t>
  </si>
  <si>
    <t>Overhead</t>
  </si>
  <si>
    <t>New RGM</t>
  </si>
  <si>
    <t>Growth rates RGM</t>
  </si>
  <si>
    <t>RGM</t>
  </si>
  <si>
    <t>Margin</t>
  </si>
  <si>
    <t>RGM Growth</t>
  </si>
  <si>
    <t>Multiple (Actual/Proj.)</t>
  </si>
  <si>
    <t>Share Price (Actual/Proj.)</t>
  </si>
  <si>
    <t>Decay</t>
  </si>
  <si>
    <t>1Q13</t>
  </si>
  <si>
    <t>Guidance</t>
  </si>
  <si>
    <t>NG Op. Loss</t>
  </si>
  <si>
    <t>Actual RGM Multiple</t>
  </si>
  <si>
    <t>Overhead as a % RGM</t>
  </si>
  <si>
    <t>Annualized Return</t>
  </si>
  <si>
    <t>Gross Margin per Share</t>
  </si>
  <si>
    <t>Annualized</t>
  </si>
  <si>
    <t>Comprehensive loss</t>
  </si>
  <si>
    <t>Customer Acquistion Cost</t>
  </si>
  <si>
    <t>Sequential Sub. Rev. Increase</t>
  </si>
  <si>
    <t>% Growth in Seq. Sub. Rev.</t>
  </si>
  <si>
    <t>Recurring</t>
  </si>
  <si>
    <t>Non Recurring</t>
  </si>
  <si>
    <t>Gross Margin</t>
  </si>
  <si>
    <t>% Total Margin</t>
  </si>
  <si>
    <t>% Recurring Gross Margin</t>
  </si>
  <si>
    <t>Selling as a % of Total Revenue</t>
  </si>
  <si>
    <t>OPERATING INCOME</t>
  </si>
  <si>
    <t>RGM Multiple</t>
  </si>
  <si>
    <t>Const.</t>
  </si>
  <si>
    <t>Mult.</t>
  </si>
  <si>
    <t>Max</t>
  </si>
  <si>
    <t>Fcst Date</t>
  </si>
  <si>
    <t>Days Deferred Revenue Outstanding</t>
  </si>
  <si>
    <t>Total Gross Margin</t>
  </si>
  <si>
    <t>TTM RGM</t>
  </si>
  <si>
    <t>TTM RGM Growth</t>
  </si>
  <si>
    <t>Expected RGM from Acquisitions</t>
  </si>
  <si>
    <t>RGM Acquisition Deflator</t>
  </si>
  <si>
    <t>Net RGM Growth</t>
  </si>
  <si>
    <t>TTM EBITDA</t>
  </si>
  <si>
    <t>TTM EBITDA Growth</t>
  </si>
  <si>
    <t>Expected EBITDA from Acquisitions</t>
  </si>
  <si>
    <t>EBITDA Acquisition Deflator</t>
  </si>
  <si>
    <t>Net EBITDA Growth</t>
  </si>
  <si>
    <t>EBITDA Multiple</t>
  </si>
  <si>
    <t>HISTORICAL VALUATION</t>
  </si>
  <si>
    <t>MODEL VALUATION</t>
  </si>
  <si>
    <t>BASIC SHARES</t>
  </si>
  <si>
    <t>Max.</t>
  </si>
  <si>
    <t>Min.</t>
  </si>
  <si>
    <t>Ticker</t>
  </si>
  <si>
    <t>Non Recurring Gross Margin</t>
  </si>
  <si>
    <t>GAAP Net  Income</t>
  </si>
  <si>
    <t>Option Ex. Price</t>
  </si>
  <si>
    <t>Row:</t>
  </si>
  <si>
    <t>Depreciation when not broken down</t>
  </si>
  <si>
    <t>Std Dev</t>
  </si>
  <si>
    <t>QuotesID</t>
  </si>
  <si>
    <t>StockID</t>
  </si>
  <si>
    <t>QuoteDate</t>
  </si>
  <si>
    <t>Open</t>
  </si>
  <si>
    <t>Last</t>
  </si>
  <si>
    <t>High</t>
  </si>
  <si>
    <t>Low</t>
  </si>
  <si>
    <t>VWAP</t>
  </si>
  <si>
    <t>Volume</t>
  </si>
  <si>
    <t>AAPL</t>
  </si>
  <si>
    <t>CompanyName</t>
  </si>
  <si>
    <t>Exchange</t>
  </si>
  <si>
    <t>TickerLong</t>
  </si>
  <si>
    <t>Apple</t>
  </si>
  <si>
    <t>NASD</t>
  </si>
  <si>
    <t>AAPL:NASD</t>
  </si>
  <si>
    <t>AMZN</t>
  </si>
  <si>
    <t>Amazon</t>
  </si>
  <si>
    <t>AMZN:NASD</t>
  </si>
  <si>
    <t>SHOP</t>
  </si>
  <si>
    <t>Shopify</t>
  </si>
  <si>
    <t>TSX</t>
  </si>
  <si>
    <t>SHOP:TSX</t>
  </si>
  <si>
    <t>GOOG</t>
  </si>
  <si>
    <t>Alphabet</t>
  </si>
  <si>
    <t>GOOG:NASD</t>
  </si>
  <si>
    <t>AQN</t>
  </si>
  <si>
    <t>Algonquin Power &amp; Utilities Corp</t>
  </si>
  <si>
    <t>AQN:TSX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</si>
</sst>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??_-;_-@_-"/>
    <numFmt numFmtId="169" formatCode="_(* #,##0_);_(* \(#,##0\);_(* &quot;-&quot;??_);_(@_)"/>
    <numFmt numFmtId="170" formatCode="_-* #,##0.000_-;\-* #,##0.000_-;_-* &quot;-&quot;??_-;_-@_-"/>
    <numFmt numFmtId="171" formatCode="0.0%"/>
    <numFmt numFmtId="172" formatCode="&quot;Q&quot;#"/>
    <numFmt numFmtId="173" formatCode="_(* #,##0.0_);_(* \(#,##0.0\);_(* &quot;-&quot;??_);_(@_)"/>
    <numFmt numFmtId="174" formatCode="0.000000%"/>
    <numFmt numFmtId="175" formatCode="_(* &quot;$&quot;\ #,##0.00_);_(* &quot;$&quot;\ \(#,##0.00\);_(* \ &quot;-&quot;??_);_(@_)"/>
    <numFmt numFmtId="176" formatCode="_-* #,##0.0000_-;\-* #,##0.0000_-;_-* &quot;-&quot;??_-;_-@_-"/>
    <numFmt numFmtId="177" formatCode="_-* #,##0.0000000_-;\-* #,##0.0000000_-;_-* &quot;-&quot;??_-;_-@_-"/>
    <numFmt numFmtId="178" formatCode="_(* #,##0.000_);_(* \(#,##0.000\);_(* &quot;-&quot;??_);_(@_)"/>
    <numFmt numFmtId="179" formatCode="_(* #,##0.0000000_);_(* \(#,##0.0000000\);_(* &quot;-&quot;??_);_(@_)"/>
    <numFmt numFmtId="180" formatCode="_(* #,##0.0000_);_(* \(#,##0.0000\);_(* &quot;-&quot;??_);_(@_)"/>
    <numFmt numFmtId="181" formatCode="_-* #,##0.0_-;\-* #,##0.0_-;_-* &quot;-&quot;??_-;_-@_-"/>
  </numFmts>
  <fonts count="3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8"/>
      <color theme="1"/>
      <name val="Tahoma"/>
      <family val="2"/>
    </font>
    <font>
      <sz val="8"/>
      <color rgb="FFFF0000"/>
      <name val="Tahoma"/>
      <family val="2"/>
    </font>
    <font>
      <b/>
      <sz val="8"/>
      <color theme="1"/>
      <name val="Tahoma"/>
      <family val="2"/>
    </font>
    <font>
      <u val="singleAccounting"/>
      <sz val="8"/>
      <color theme="1"/>
      <name val="Tahoma"/>
      <family val="2"/>
    </font>
    <font>
      <b/>
      <sz val="18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sz val="8"/>
      <color theme="8" tint="-0.499984740745262"/>
      <name val="Tahoma"/>
      <family val="2"/>
    </font>
    <font>
      <u val="singleAccounting"/>
      <sz val="8"/>
      <color theme="8" tint="-0.499984740745262"/>
      <name val="Tahoma"/>
      <family val="2"/>
    </font>
    <font>
      <u val="doubleAccounting"/>
      <sz val="8"/>
      <color theme="1"/>
      <name val="Tahoma"/>
      <family val="2"/>
    </font>
    <font>
      <b/>
      <sz val="8"/>
      <color theme="8" tint="-0.499984740745262"/>
      <name val="Tahoma"/>
      <family val="2"/>
    </font>
    <font>
      <i/>
      <sz val="8"/>
      <color theme="1"/>
      <name val="Tahoma"/>
      <family val="2"/>
    </font>
    <font>
      <sz val="10"/>
      <name val="Arial"/>
      <family val="2"/>
    </font>
    <font>
      <sz val="8"/>
      <name val="Tahoma"/>
      <family val="2"/>
    </font>
    <font>
      <u val="singleAccounting"/>
      <sz val="8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Tahoma"/>
      <family val="2"/>
    </font>
    <font>
      <sz val="11"/>
      <color theme="1"/>
      <name val="Tahoma"/>
      <family val="2"/>
    </font>
    <font>
      <sz val="9"/>
      <color theme="1"/>
      <name val="Calibri"/>
      <family val="2"/>
      <scheme val="minor"/>
    </font>
    <font>
      <sz val="8"/>
      <color rgb="FF215967"/>
      <name val="Tahoma"/>
      <family val="2"/>
    </font>
    <font>
      <b/>
      <u val="singleAccounting"/>
      <sz val="8"/>
      <color theme="1"/>
      <name val="Tahoma"/>
      <family val="2"/>
    </font>
    <font>
      <b/>
      <sz val="8"/>
      <name val="Tahoma"/>
      <family val="2"/>
    </font>
    <font>
      <b/>
      <sz val="8"/>
      <color theme="1"/>
      <name val="Calibri"/>
      <family val="2"/>
      <scheme val="minor"/>
    </font>
    <font>
      <b/>
      <sz val="14"/>
      <color theme="1"/>
      <name val="Tahoma"/>
      <family val="2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ont="0" applyFill="0" applyBorder="0" applyAlignment="0" applyProtection="0"/>
    <xf numFmtId="0" fontId="28" fillId="7" borderId="16" applyNumberFormat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</cellStyleXfs>
  <cellXfs count="558">
    <xf numFmtId="0" fontId="0" fillId="0" borderId="0" xfId="0"/>
    <xf numFmtId="0" fontId="4" fillId="0" borderId="0" xfId="4" applyFont="1"/>
    <xf numFmtId="0" fontId="4" fillId="0" borderId="0" xfId="0" applyFont="1"/>
    <xf numFmtId="168" fontId="4" fillId="0" borderId="0" xfId="1" applyNumberFormat="1" applyFont="1"/>
    <xf numFmtId="168" fontId="7" fillId="0" borderId="0" xfId="1" applyNumberFormat="1" applyFont="1"/>
    <xf numFmtId="9" fontId="4" fillId="0" borderId="0" xfId="3" applyFont="1"/>
    <xf numFmtId="0" fontId="6" fillId="0" borderId="0" xfId="0" applyFont="1"/>
    <xf numFmtId="0" fontId="7" fillId="0" borderId="0" xfId="0" applyFont="1"/>
    <xf numFmtId="15" fontId="4" fillId="0" borderId="0" xfId="0" applyNumberFormat="1" applyFont="1"/>
    <xf numFmtId="169" fontId="4" fillId="0" borderId="0" xfId="4" applyNumberFormat="1" applyFont="1"/>
    <xf numFmtId="0" fontId="3" fillId="0" borderId="0" xfId="0" applyFont="1"/>
    <xf numFmtId="0" fontId="8" fillId="0" borderId="0" xfId="0" applyFont="1"/>
    <xf numFmtId="168" fontId="3" fillId="0" borderId="0" xfId="1" applyNumberFormat="1" applyFont="1"/>
    <xf numFmtId="168" fontId="4" fillId="0" borderId="1" xfId="1" applyNumberFormat="1" applyFont="1" applyBorder="1"/>
    <xf numFmtId="9" fontId="4" fillId="0" borderId="1" xfId="3" applyFont="1" applyBorder="1"/>
    <xf numFmtId="168" fontId="6" fillId="0" borderId="1" xfId="1" applyNumberFormat="1" applyFont="1" applyBorder="1"/>
    <xf numFmtId="0" fontId="9" fillId="0" borderId="0" xfId="0" applyFont="1"/>
    <xf numFmtId="168" fontId="4" fillId="0" borderId="0" xfId="1" applyNumberFormat="1" applyFont="1" applyBorder="1"/>
    <xf numFmtId="169" fontId="7" fillId="0" borderId="1" xfId="1" applyNumberFormat="1" applyFont="1" applyBorder="1"/>
    <xf numFmtId="169" fontId="7" fillId="0" borderId="0" xfId="1" applyNumberFormat="1" applyFont="1" applyBorder="1"/>
    <xf numFmtId="169" fontId="7" fillId="0" borderId="2" xfId="1" applyNumberFormat="1" applyFont="1" applyBorder="1"/>
    <xf numFmtId="169" fontId="4" fillId="0" borderId="1" xfId="1" applyNumberFormat="1" applyFont="1" applyBorder="1"/>
    <xf numFmtId="169" fontId="4" fillId="0" borderId="1" xfId="3" applyNumberFormat="1" applyFont="1" applyBorder="1"/>
    <xf numFmtId="169" fontId="12" fillId="0" borderId="1" xfId="1" applyNumberFormat="1" applyFont="1" applyBorder="1"/>
    <xf numFmtId="169" fontId="6" fillId="0" borderId="1" xfId="1" applyNumberFormat="1" applyFont="1" applyBorder="1"/>
    <xf numFmtId="169" fontId="0" fillId="0" borderId="0" xfId="0" applyNumberFormat="1"/>
    <xf numFmtId="166" fontId="4" fillId="0" borderId="1" xfId="2" applyNumberFormat="1" applyFont="1" applyBorder="1"/>
    <xf numFmtId="169" fontId="13" fillId="0" borderId="1" xfId="1" applyNumberFormat="1" applyFont="1" applyBorder="1"/>
    <xf numFmtId="168" fontId="4" fillId="0" borderId="2" xfId="1" applyNumberFormat="1" applyFont="1" applyBorder="1"/>
    <xf numFmtId="9" fontId="4" fillId="0" borderId="0" xfId="3" applyFont="1" applyBorder="1"/>
    <xf numFmtId="9" fontId="4" fillId="0" borderId="2" xfId="3" applyFont="1" applyBorder="1"/>
    <xf numFmtId="168" fontId="6" fillId="0" borderId="0" xfId="1" applyNumberFormat="1" applyFont="1" applyBorder="1"/>
    <xf numFmtId="168" fontId="6" fillId="0" borderId="2" xfId="1" applyNumberFormat="1" applyFont="1" applyBorder="1"/>
    <xf numFmtId="15" fontId="4" fillId="0" borderId="1" xfId="0" applyNumberFormat="1" applyFont="1" applyBorder="1" applyAlignment="1">
      <alignment horizontal="center"/>
    </xf>
    <xf numFmtId="15" fontId="4" fillId="0" borderId="0" xfId="0" applyNumberFormat="1" applyFont="1" applyBorder="1" applyAlignment="1">
      <alignment horizontal="center"/>
    </xf>
    <xf numFmtId="15" fontId="4" fillId="0" borderId="2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72" fontId="6" fillId="0" borderId="1" xfId="0" applyNumberFormat="1" applyFont="1" applyBorder="1" applyAlignment="1">
      <alignment horizontal="center"/>
    </xf>
    <xf numFmtId="172" fontId="6" fillId="0" borderId="0" xfId="0" applyNumberFormat="1" applyFont="1" applyBorder="1" applyAlignment="1">
      <alignment horizontal="center"/>
    </xf>
    <xf numFmtId="172" fontId="6" fillId="0" borderId="2" xfId="0" applyNumberFormat="1" applyFont="1" applyBorder="1" applyAlignment="1">
      <alignment horizontal="center"/>
    </xf>
    <xf numFmtId="172" fontId="6" fillId="0" borderId="0" xfId="0" applyNumberFormat="1" applyFont="1" applyFill="1" applyBorder="1" applyAlignment="1">
      <alignment horizontal="center"/>
    </xf>
    <xf numFmtId="169" fontId="12" fillId="0" borderId="0" xfId="1" applyNumberFormat="1" applyFont="1" applyBorder="1"/>
    <xf numFmtId="169" fontId="12" fillId="0" borderId="2" xfId="1" applyNumberFormat="1" applyFont="1" applyBorder="1"/>
    <xf numFmtId="169" fontId="4" fillId="0" borderId="0" xfId="1" applyNumberFormat="1" applyFont="1" applyBorder="1"/>
    <xf numFmtId="169" fontId="4" fillId="0" borderId="2" xfId="1" applyNumberFormat="1" applyFont="1" applyBorder="1"/>
    <xf numFmtId="169" fontId="4" fillId="0" borderId="0" xfId="3" applyNumberFormat="1" applyFont="1" applyBorder="1"/>
    <xf numFmtId="169" fontId="4" fillId="0" borderId="2" xfId="3" applyNumberFormat="1" applyFont="1" applyBorder="1"/>
    <xf numFmtId="169" fontId="6" fillId="0" borderId="0" xfId="1" applyNumberFormat="1" applyFont="1" applyBorder="1"/>
    <xf numFmtId="169" fontId="6" fillId="0" borderId="2" xfId="1" applyNumberFormat="1" applyFont="1" applyBorder="1"/>
    <xf numFmtId="166" fontId="4" fillId="0" borderId="0" xfId="2" applyNumberFormat="1" applyFont="1" applyBorder="1"/>
    <xf numFmtId="166" fontId="4" fillId="0" borderId="2" xfId="2" applyNumberFormat="1" applyFont="1" applyBorder="1"/>
    <xf numFmtId="169" fontId="4" fillId="0" borderId="5" xfId="1" applyNumberFormat="1" applyFont="1" applyBorder="1"/>
    <xf numFmtId="169" fontId="4" fillId="0" borderId="6" xfId="1" applyNumberFormat="1" applyFont="1" applyBorder="1"/>
    <xf numFmtId="169" fontId="4" fillId="0" borderId="7" xfId="1" applyNumberFormat="1" applyFont="1" applyBorder="1"/>
    <xf numFmtId="169" fontId="13" fillId="0" borderId="0" xfId="1" applyNumberFormat="1" applyFont="1" applyBorder="1"/>
    <xf numFmtId="169" fontId="13" fillId="0" borderId="2" xfId="1" applyNumberFormat="1" applyFont="1" applyBorder="1"/>
    <xf numFmtId="0" fontId="6" fillId="0" borderId="0" xfId="0" applyNumberFormat="1" applyFont="1" applyFill="1" applyBorder="1" applyAlignment="1">
      <alignment horizontal="right"/>
    </xf>
    <xf numFmtId="171" fontId="4" fillId="2" borderId="0" xfId="3" applyNumberFormat="1" applyFont="1" applyFill="1"/>
    <xf numFmtId="10" fontId="4" fillId="0" borderId="0" xfId="3" applyNumberFormat="1" applyFont="1"/>
    <xf numFmtId="171" fontId="4" fillId="0" borderId="0" xfId="3" applyNumberFormat="1" applyFont="1" applyBorder="1"/>
    <xf numFmtId="9" fontId="4" fillId="0" borderId="0" xfId="3" applyFont="1" applyFill="1" applyBorder="1"/>
    <xf numFmtId="9" fontId="4" fillId="0" borderId="1" xfId="3" applyFont="1" applyFill="1" applyBorder="1"/>
    <xf numFmtId="9" fontId="4" fillId="0" borderId="2" xfId="3" applyFont="1" applyFill="1" applyBorder="1"/>
    <xf numFmtId="15" fontId="4" fillId="2" borderId="1" xfId="0" applyNumberFormat="1" applyFont="1" applyFill="1" applyBorder="1" applyAlignment="1">
      <alignment horizontal="center"/>
    </xf>
    <xf numFmtId="9" fontId="4" fillId="0" borderId="0" xfId="3" applyNumberFormat="1" applyFont="1" applyFill="1" applyBorder="1"/>
    <xf numFmtId="9" fontId="4" fillId="0" borderId="1" xfId="3" applyNumberFormat="1" applyFont="1" applyFill="1" applyBorder="1"/>
    <xf numFmtId="9" fontId="4" fillId="0" borderId="2" xfId="3" applyNumberFormat="1" applyFont="1" applyFill="1" applyBorder="1"/>
    <xf numFmtId="0" fontId="4" fillId="0" borderId="0" xfId="0" applyFont="1" applyAlignment="1">
      <alignment horizontal="center"/>
    </xf>
    <xf numFmtId="9" fontId="4" fillId="5" borderId="0" xfId="3" applyFont="1" applyFill="1"/>
    <xf numFmtId="169" fontId="17" fillId="3" borderId="1" xfId="1" applyNumberFormat="1" applyFont="1" applyFill="1" applyBorder="1"/>
    <xf numFmtId="169" fontId="17" fillId="3" borderId="0" xfId="1" applyNumberFormat="1" applyFont="1" applyFill="1" applyBorder="1"/>
    <xf numFmtId="169" fontId="17" fillId="3" borderId="2" xfId="1" applyNumberFormat="1" applyFont="1" applyFill="1" applyBorder="1"/>
    <xf numFmtId="169" fontId="18" fillId="3" borderId="1" xfId="1" applyNumberFormat="1" applyFont="1" applyFill="1" applyBorder="1"/>
    <xf numFmtId="169" fontId="18" fillId="3" borderId="0" xfId="1" applyNumberFormat="1" applyFont="1" applyFill="1" applyBorder="1"/>
    <xf numFmtId="169" fontId="18" fillId="3" borderId="2" xfId="1" applyNumberFormat="1" applyFont="1" applyFill="1" applyBorder="1"/>
    <xf numFmtId="0" fontId="19" fillId="0" borderId="0" xfId="0" applyFont="1"/>
    <xf numFmtId="9" fontId="17" fillId="3" borderId="0" xfId="3" applyFont="1" applyFill="1" applyBorder="1"/>
    <xf numFmtId="9" fontId="17" fillId="3" borderId="1" xfId="3" applyFont="1" applyFill="1" applyBorder="1"/>
    <xf numFmtId="9" fontId="17" fillId="3" borderId="2" xfId="3" applyFont="1" applyFill="1" applyBorder="1"/>
    <xf numFmtId="171" fontId="4" fillId="0" borderId="1" xfId="3" applyNumberFormat="1" applyFont="1" applyFill="1" applyBorder="1"/>
    <xf numFmtId="171" fontId="4" fillId="0" borderId="0" xfId="3" applyNumberFormat="1" applyFont="1" applyFill="1" applyBorder="1"/>
    <xf numFmtId="171" fontId="4" fillId="0" borderId="2" xfId="3" applyNumberFormat="1" applyFont="1" applyFill="1" applyBorder="1"/>
    <xf numFmtId="168" fontId="1" fillId="0" borderId="1" xfId="1" applyNumberFormat="1" applyFont="1" applyBorder="1"/>
    <xf numFmtId="0" fontId="1" fillId="0" borderId="0" xfId="0" applyFont="1"/>
    <xf numFmtId="169" fontId="1" fillId="0" borderId="0" xfId="1" applyNumberFormat="1" applyFont="1" applyBorder="1"/>
    <xf numFmtId="0" fontId="1" fillId="0" borderId="0" xfId="0" applyFont="1" applyAlignment="1">
      <alignment horizontal="left" indent="1"/>
    </xf>
    <xf numFmtId="169" fontId="1" fillId="0" borderId="1" xfId="1" applyNumberFormat="1" applyFont="1" applyBorder="1"/>
    <xf numFmtId="0" fontId="11" fillId="0" borderId="0" xfId="0" applyFont="1"/>
    <xf numFmtId="169" fontId="5" fillId="0" borderId="0" xfId="1" applyNumberFormat="1" applyFont="1" applyBorder="1" applyAlignment="1">
      <alignment horizontal="center"/>
    </xf>
    <xf numFmtId="169" fontId="5" fillId="0" borderId="1" xfId="1" applyNumberFormat="1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0" fillId="0" borderId="0" xfId="0" applyBorder="1"/>
    <xf numFmtId="175" fontId="6" fillId="0" borderId="0" xfId="0" applyNumberFormat="1" applyFont="1"/>
    <xf numFmtId="175" fontId="1" fillId="0" borderId="0" xfId="0" applyNumberFormat="1" applyFont="1"/>
    <xf numFmtId="169" fontId="1" fillId="0" borderId="0" xfId="0" applyNumberFormat="1" applyFont="1"/>
    <xf numFmtId="173" fontId="1" fillId="0" borderId="0" xfId="0" applyNumberFormat="1" applyFont="1"/>
    <xf numFmtId="9" fontId="1" fillId="0" borderId="0" xfId="3" applyFont="1"/>
    <xf numFmtId="172" fontId="6" fillId="2" borderId="1" xfId="0" applyNumberFormat="1" applyFont="1" applyFill="1" applyBorder="1" applyAlignment="1">
      <alignment horizontal="center"/>
    </xf>
    <xf numFmtId="172" fontId="6" fillId="2" borderId="0" xfId="0" applyNumberFormat="1" applyFont="1" applyFill="1" applyBorder="1" applyAlignment="1">
      <alignment horizontal="center"/>
    </xf>
    <xf numFmtId="172" fontId="6" fillId="2" borderId="2" xfId="0" applyNumberFormat="1" applyFont="1" applyFill="1" applyBorder="1" applyAlignment="1">
      <alignment horizontal="center"/>
    </xf>
    <xf numFmtId="15" fontId="4" fillId="2" borderId="0" xfId="0" applyNumberFormat="1" applyFont="1" applyFill="1" applyBorder="1" applyAlignment="1">
      <alignment horizontal="center"/>
    </xf>
    <xf numFmtId="15" fontId="4" fillId="2" borderId="2" xfId="0" applyNumberFormat="1" applyFont="1" applyFill="1" applyBorder="1" applyAlignment="1">
      <alignment horizontal="center"/>
    </xf>
    <xf numFmtId="168" fontId="4" fillId="2" borderId="1" xfId="1" applyNumberFormat="1" applyFont="1" applyFill="1" applyBorder="1"/>
    <xf numFmtId="168" fontId="4" fillId="2" borderId="0" xfId="1" applyNumberFormat="1" applyFont="1" applyFill="1" applyBorder="1"/>
    <xf numFmtId="168" fontId="4" fillId="2" borderId="2" xfId="1" applyNumberFormat="1" applyFont="1" applyFill="1" applyBorder="1"/>
    <xf numFmtId="168" fontId="7" fillId="2" borderId="1" xfId="1" applyNumberFormat="1" applyFont="1" applyFill="1" applyBorder="1"/>
    <xf numFmtId="168" fontId="7" fillId="2" borderId="0" xfId="1" applyNumberFormat="1" applyFont="1" applyFill="1" applyBorder="1"/>
    <xf numFmtId="168" fontId="6" fillId="2" borderId="1" xfId="1" applyNumberFormat="1" applyFont="1" applyFill="1" applyBorder="1"/>
    <xf numFmtId="168" fontId="6" fillId="2" borderId="0" xfId="1" applyNumberFormat="1" applyFont="1" applyFill="1" applyBorder="1"/>
    <xf numFmtId="9" fontId="4" fillId="2" borderId="1" xfId="3" applyFont="1" applyFill="1" applyBorder="1"/>
    <xf numFmtId="9" fontId="4" fillId="2" borderId="0" xfId="3" applyFont="1" applyFill="1" applyBorder="1"/>
    <xf numFmtId="171" fontId="4" fillId="2" borderId="1" xfId="3" applyNumberFormat="1" applyFont="1" applyFill="1" applyBorder="1"/>
    <xf numFmtId="171" fontId="4" fillId="2" borderId="0" xfId="3" applyNumberFormat="1" applyFont="1" applyFill="1" applyBorder="1"/>
    <xf numFmtId="168" fontId="4" fillId="2" borderId="1" xfId="0" applyNumberFormat="1" applyFont="1" applyFill="1" applyBorder="1"/>
    <xf numFmtId="168" fontId="4" fillId="2" borderId="0" xfId="0" applyNumberFormat="1" applyFont="1" applyFill="1" applyBorder="1"/>
    <xf numFmtId="0" fontId="3" fillId="0" borderId="0" xfId="0" applyFont="1" applyFill="1"/>
    <xf numFmtId="172" fontId="6" fillId="2" borderId="3" xfId="0" applyNumberFormat="1" applyFont="1" applyFill="1" applyBorder="1" applyAlignment="1">
      <alignment horizontal="center"/>
    </xf>
    <xf numFmtId="172" fontId="6" fillId="2" borderId="4" xfId="0" applyNumberFormat="1" applyFont="1" applyFill="1" applyBorder="1" applyAlignment="1">
      <alignment horizontal="center"/>
    </xf>
    <xf numFmtId="172" fontId="6" fillId="2" borderId="11" xfId="0" applyNumberFormat="1" applyFont="1" applyFill="1" applyBorder="1" applyAlignment="1">
      <alignment horizontal="center"/>
    </xf>
    <xf numFmtId="172" fontId="6" fillId="0" borderId="4" xfId="0" applyNumberFormat="1" applyFont="1" applyFill="1" applyBorder="1" applyAlignment="1">
      <alignment horizontal="center"/>
    </xf>
    <xf numFmtId="172" fontId="6" fillId="0" borderId="11" xfId="0" applyNumberFormat="1" applyFont="1" applyFill="1" applyBorder="1" applyAlignment="1">
      <alignment horizontal="center"/>
    </xf>
    <xf numFmtId="172" fontId="6" fillId="0" borderId="3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0" borderId="1" xfId="0" applyFont="1" applyBorder="1"/>
    <xf numFmtId="168" fontId="1" fillId="0" borderId="0" xfId="1" applyNumberFormat="1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165" fontId="1" fillId="0" borderId="1" xfId="1" applyNumberFormat="1" applyFont="1" applyBorder="1"/>
    <xf numFmtId="0" fontId="1" fillId="0" borderId="0" xfId="0" applyFont="1" applyFill="1"/>
    <xf numFmtId="168" fontId="1" fillId="0" borderId="0" xfId="1" applyNumberFormat="1" applyFont="1" applyFill="1"/>
    <xf numFmtId="15" fontId="1" fillId="2" borderId="1" xfId="0" applyNumberFormat="1" applyFont="1" applyFill="1" applyBorder="1" applyAlignment="1">
      <alignment horizontal="center"/>
    </xf>
    <xf numFmtId="15" fontId="1" fillId="2" borderId="0" xfId="0" applyNumberFormat="1" applyFont="1" applyFill="1" applyBorder="1" applyAlignment="1">
      <alignment horizontal="center"/>
    </xf>
    <xf numFmtId="15" fontId="1" fillId="2" borderId="2" xfId="0" applyNumberFormat="1" applyFont="1" applyFill="1" applyBorder="1" applyAlignment="1">
      <alignment horizontal="center"/>
    </xf>
    <xf numFmtId="15" fontId="1" fillId="0" borderId="0" xfId="0" applyNumberFormat="1" applyFont="1" applyFill="1" applyBorder="1" applyAlignment="1">
      <alignment horizontal="center"/>
    </xf>
    <xf numFmtId="15" fontId="1" fillId="0" borderId="2" xfId="0" applyNumberFormat="1" applyFont="1" applyFill="1" applyBorder="1" applyAlignment="1">
      <alignment horizontal="center"/>
    </xf>
    <xf numFmtId="15" fontId="1" fillId="0" borderId="1" xfId="0" applyNumberFormat="1" applyFont="1" applyFill="1" applyBorder="1" applyAlignment="1">
      <alignment horizontal="center"/>
    </xf>
    <xf numFmtId="0" fontId="1" fillId="2" borderId="0" xfId="0" applyFont="1" applyFill="1" applyBorder="1"/>
    <xf numFmtId="0" fontId="1" fillId="2" borderId="2" xfId="0" applyFont="1" applyFill="1" applyBorder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1" xfId="0" applyFont="1" applyFill="1" applyBorder="1"/>
    <xf numFmtId="168" fontId="1" fillId="0" borderId="1" xfId="1" applyNumberFormat="1" applyFont="1" applyFill="1" applyBorder="1"/>
    <xf numFmtId="168" fontId="1" fillId="0" borderId="0" xfId="1" applyNumberFormat="1" applyFont="1" applyFill="1" applyBorder="1"/>
    <xf numFmtId="165" fontId="1" fillId="2" borderId="1" xfId="0" applyNumberFormat="1" applyFont="1" applyFill="1" applyBorder="1"/>
    <xf numFmtId="165" fontId="1" fillId="2" borderId="0" xfId="0" applyNumberFormat="1" applyFont="1" applyFill="1" applyBorder="1"/>
    <xf numFmtId="165" fontId="1" fillId="2" borderId="2" xfId="0" applyNumberFormat="1" applyFont="1" applyFill="1" applyBorder="1"/>
    <xf numFmtId="169" fontId="1" fillId="0" borderId="0" xfId="0" applyNumberFormat="1" applyFont="1" applyFill="1" applyBorder="1"/>
    <xf numFmtId="169" fontId="1" fillId="0" borderId="2" xfId="0" applyNumberFormat="1" applyFont="1" applyFill="1" applyBorder="1"/>
    <xf numFmtId="169" fontId="1" fillId="0" borderId="1" xfId="0" applyNumberFormat="1" applyFont="1" applyFill="1" applyBorder="1"/>
    <xf numFmtId="169" fontId="1" fillId="0" borderId="1" xfId="1" applyNumberFormat="1" applyFont="1" applyFill="1" applyBorder="1"/>
    <xf numFmtId="169" fontId="1" fillId="0" borderId="0" xfId="1" applyNumberFormat="1" applyFont="1" applyFill="1" applyBorder="1"/>
    <xf numFmtId="165" fontId="1" fillId="0" borderId="0" xfId="0" applyNumberFormat="1" applyFont="1" applyBorder="1"/>
    <xf numFmtId="165" fontId="1" fillId="0" borderId="2" xfId="0" applyNumberFormat="1" applyFont="1" applyBorder="1"/>
    <xf numFmtId="165" fontId="1" fillId="0" borderId="0" xfId="1" applyNumberFormat="1" applyFont="1" applyBorder="1"/>
    <xf numFmtId="0" fontId="1" fillId="2" borderId="5" xfId="0" applyFont="1" applyFill="1" applyBorder="1"/>
    <xf numFmtId="0" fontId="1" fillId="2" borderId="6" xfId="0" applyFont="1" applyFill="1" applyBorder="1"/>
    <xf numFmtId="168" fontId="4" fillId="0" borderId="0" xfId="0" applyNumberFormat="1" applyFont="1" applyFill="1"/>
    <xf numFmtId="170" fontId="4" fillId="0" borderId="0" xfId="0" applyNumberFormat="1" applyFont="1" applyFill="1"/>
    <xf numFmtId="9" fontId="4" fillId="0" borderId="0" xfId="3" applyFont="1" applyFill="1"/>
    <xf numFmtId="44" fontId="0" fillId="0" borderId="0" xfId="2" applyFont="1"/>
    <xf numFmtId="168" fontId="0" fillId="0" borderId="0" xfId="1" applyNumberFormat="1" applyFont="1"/>
    <xf numFmtId="171" fontId="1" fillId="2" borderId="1" xfId="3" applyNumberFormat="1" applyFont="1" applyFill="1" applyBorder="1"/>
    <xf numFmtId="44" fontId="1" fillId="2" borderId="1" xfId="2" applyFont="1" applyFill="1" applyBorder="1"/>
    <xf numFmtId="44" fontId="1" fillId="0" borderId="0" xfId="2" applyFont="1"/>
    <xf numFmtId="44" fontId="1" fillId="0" borderId="1" xfId="2" applyFont="1" applyBorder="1"/>
    <xf numFmtId="169" fontId="1" fillId="2" borderId="1" xfId="0" applyNumberFormat="1" applyFont="1" applyFill="1" applyBorder="1"/>
    <xf numFmtId="169" fontId="1" fillId="0" borderId="1" xfId="0" applyNumberFormat="1" applyFont="1" applyBorder="1"/>
    <xf numFmtId="169" fontId="3" fillId="0" borderId="0" xfId="0" applyNumberFormat="1" applyFont="1"/>
    <xf numFmtId="44" fontId="3" fillId="0" borderId="0" xfId="2" applyFont="1"/>
    <xf numFmtId="175" fontId="1" fillId="0" borderId="0" xfId="2" applyNumberFormat="1" applyFont="1"/>
    <xf numFmtId="175" fontId="3" fillId="0" borderId="0" xfId="2" applyNumberFormat="1" applyFont="1"/>
    <xf numFmtId="168" fontId="7" fillId="2" borderId="2" xfId="1" applyNumberFormat="1" applyFont="1" applyFill="1" applyBorder="1"/>
    <xf numFmtId="168" fontId="6" fillId="2" borderId="2" xfId="1" applyNumberFormat="1" applyFont="1" applyFill="1" applyBorder="1"/>
    <xf numFmtId="9" fontId="4" fillId="2" borderId="2" xfId="3" applyFont="1" applyFill="1" applyBorder="1"/>
    <xf numFmtId="169" fontId="11" fillId="0" borderId="1" xfId="1" applyNumberFormat="1" applyFont="1" applyFill="1" applyBorder="1"/>
    <xf numFmtId="169" fontId="11" fillId="0" borderId="0" xfId="1" applyNumberFormat="1" applyFont="1" applyFill="1" applyBorder="1"/>
    <xf numFmtId="169" fontId="11" fillId="0" borderId="2" xfId="1" applyNumberFormat="1" applyFont="1" applyFill="1" applyBorder="1"/>
    <xf numFmtId="171" fontId="4" fillId="2" borderId="2" xfId="3" applyNumberFormat="1" applyFont="1" applyFill="1" applyBorder="1"/>
    <xf numFmtId="168" fontId="4" fillId="2" borderId="2" xfId="0" applyNumberFormat="1" applyFont="1" applyFill="1" applyBorder="1"/>
    <xf numFmtId="165" fontId="4" fillId="0" borderId="0" xfId="0" applyNumberFormat="1" applyFont="1"/>
    <xf numFmtId="165" fontId="3" fillId="0" borderId="0" xfId="0" applyNumberFormat="1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8" fontId="4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175" fontId="6" fillId="0" borderId="0" xfId="1" applyNumberFormat="1" applyFont="1" applyAlignment="1">
      <alignment vertical="center"/>
    </xf>
    <xf numFmtId="175" fontId="1" fillId="0" borderId="0" xfId="1" applyNumberFormat="1" applyFont="1" applyAlignment="1">
      <alignment horizontal="right" vertical="center"/>
    </xf>
    <xf numFmtId="169" fontId="1" fillId="0" borderId="0" xfId="1" applyNumberFormat="1" applyFont="1" applyAlignment="1">
      <alignment vertical="center"/>
    </xf>
    <xf numFmtId="0" fontId="19" fillId="0" borderId="0" xfId="0" applyFont="1" applyAlignment="1">
      <alignment vertical="center"/>
    </xf>
    <xf numFmtId="173" fontId="1" fillId="0" borderId="0" xfId="1" applyNumberFormat="1" applyFont="1" applyAlignment="1">
      <alignment vertical="center"/>
    </xf>
    <xf numFmtId="175" fontId="1" fillId="0" borderId="0" xfId="2" applyNumberFormat="1" applyFont="1" applyAlignment="1">
      <alignment vertical="center"/>
    </xf>
    <xf numFmtId="171" fontId="1" fillId="2" borderId="0" xfId="3" applyNumberFormat="1" applyFont="1" applyFill="1" applyBorder="1"/>
    <xf numFmtId="171" fontId="1" fillId="2" borderId="2" xfId="3" applyNumberFormat="1" applyFont="1" applyFill="1" applyBorder="1"/>
    <xf numFmtId="171" fontId="1" fillId="0" borderId="1" xfId="3" applyNumberFormat="1" applyFont="1" applyFill="1" applyBorder="1"/>
    <xf numFmtId="171" fontId="1" fillId="0" borderId="0" xfId="3" applyNumberFormat="1" applyFont="1" applyFill="1" applyBorder="1"/>
    <xf numFmtId="171" fontId="1" fillId="0" borderId="2" xfId="3" applyNumberFormat="1" applyFont="1" applyFill="1" applyBorder="1"/>
    <xf numFmtId="43" fontId="20" fillId="0" borderId="0" xfId="1" applyFont="1"/>
    <xf numFmtId="165" fontId="3" fillId="0" borderId="0" xfId="0" applyNumberFormat="1" applyFont="1" applyAlignment="1">
      <alignment vertical="center"/>
    </xf>
    <xf numFmtId="169" fontId="3" fillId="0" borderId="0" xfId="0" applyNumberFormat="1" applyFont="1" applyAlignment="1">
      <alignment vertical="center"/>
    </xf>
    <xf numFmtId="44" fontId="3" fillId="0" borderId="0" xfId="2" applyFont="1" applyAlignment="1">
      <alignment vertical="center"/>
    </xf>
    <xf numFmtId="175" fontId="3" fillId="0" borderId="0" xfId="2" applyNumberFormat="1" applyFont="1" applyAlignment="1">
      <alignment vertical="center"/>
    </xf>
    <xf numFmtId="171" fontId="4" fillId="5" borderId="0" xfId="3" applyNumberFormat="1" applyFont="1" applyFill="1"/>
    <xf numFmtId="0" fontId="7" fillId="0" borderId="0" xfId="0" applyFont="1" applyFill="1"/>
    <xf numFmtId="169" fontId="12" fillId="0" borderId="1" xfId="1" applyNumberFormat="1" applyFont="1" applyFill="1" applyBorder="1"/>
    <xf numFmtId="169" fontId="12" fillId="0" borderId="0" xfId="1" applyNumberFormat="1" applyFont="1" applyFill="1" applyBorder="1"/>
    <xf numFmtId="169" fontId="12" fillId="0" borderId="2" xfId="1" applyNumberFormat="1" applyFont="1" applyFill="1" applyBorder="1"/>
    <xf numFmtId="0" fontId="0" fillId="0" borderId="0" xfId="0" applyFill="1"/>
    <xf numFmtId="15" fontId="4" fillId="5" borderId="1" xfId="0" applyNumberFormat="1" applyFont="1" applyFill="1" applyBorder="1" applyAlignment="1">
      <alignment horizontal="center"/>
    </xf>
    <xf numFmtId="169" fontId="11" fillId="5" borderId="1" xfId="1" applyNumberFormat="1" applyFont="1" applyFill="1" applyBorder="1"/>
    <xf numFmtId="169" fontId="11" fillId="5" borderId="0" xfId="1" applyNumberFormat="1" applyFont="1" applyFill="1" applyBorder="1"/>
    <xf numFmtId="169" fontId="11" fillId="5" borderId="2" xfId="1" applyNumberFormat="1" applyFont="1" applyFill="1" applyBorder="1"/>
    <xf numFmtId="169" fontId="12" fillId="5" borderId="1" xfId="1" applyNumberFormat="1" applyFont="1" applyFill="1" applyBorder="1"/>
    <xf numFmtId="169" fontId="12" fillId="5" borderId="0" xfId="1" applyNumberFormat="1" applyFont="1" applyFill="1" applyBorder="1"/>
    <xf numFmtId="169" fontId="12" fillId="5" borderId="2" xfId="1" applyNumberFormat="1" applyFont="1" applyFill="1" applyBorder="1"/>
    <xf numFmtId="169" fontId="14" fillId="5" borderId="1" xfId="1" applyNumberFormat="1" applyFont="1" applyFill="1" applyBorder="1"/>
    <xf numFmtId="169" fontId="14" fillId="5" borderId="0" xfId="1" applyNumberFormat="1" applyFont="1" applyFill="1" applyBorder="1"/>
    <xf numFmtId="169" fontId="14" fillId="5" borderId="2" xfId="1" applyNumberFormat="1" applyFont="1" applyFill="1" applyBorder="1"/>
    <xf numFmtId="44" fontId="11" fillId="5" borderId="1" xfId="2" applyFont="1" applyFill="1" applyBorder="1"/>
    <xf numFmtId="44" fontId="11" fillId="5" borderId="0" xfId="2" applyFont="1" applyFill="1" applyBorder="1"/>
    <xf numFmtId="44" fontId="11" fillId="5" borderId="2" xfId="2" applyFont="1" applyFill="1" applyBorder="1"/>
    <xf numFmtId="173" fontId="12" fillId="5" borderId="1" xfId="1" applyNumberFormat="1" applyFont="1" applyFill="1" applyBorder="1"/>
    <xf numFmtId="173" fontId="12" fillId="5" borderId="0" xfId="1" applyNumberFormat="1" applyFont="1" applyFill="1" applyBorder="1"/>
    <xf numFmtId="173" fontId="12" fillId="5" borderId="2" xfId="1" applyNumberFormat="1" applyFont="1" applyFill="1" applyBorder="1"/>
    <xf numFmtId="169" fontId="4" fillId="5" borderId="1" xfId="1" applyNumberFormat="1" applyFont="1" applyFill="1" applyBorder="1"/>
    <xf numFmtId="169" fontId="4" fillId="5" borderId="0" xfId="1" applyNumberFormat="1" applyFont="1" applyFill="1" applyBorder="1"/>
    <xf numFmtId="169" fontId="4" fillId="5" borderId="2" xfId="1" applyNumberFormat="1" applyFont="1" applyFill="1" applyBorder="1"/>
    <xf numFmtId="169" fontId="1" fillId="5" borderId="0" xfId="1" applyNumberFormat="1" applyFont="1" applyFill="1" applyBorder="1"/>
    <xf numFmtId="0" fontId="4" fillId="0" borderId="0" xfId="0" applyFont="1" applyFill="1"/>
    <xf numFmtId="8" fontId="1" fillId="0" borderId="0" xfId="1" applyNumberFormat="1" applyFont="1" applyAlignment="1">
      <alignment vertical="center"/>
    </xf>
    <xf numFmtId="169" fontId="4" fillId="2" borderId="5" xfId="1" applyNumberFormat="1" applyFont="1" applyFill="1" applyBorder="1"/>
    <xf numFmtId="169" fontId="4" fillId="2" borderId="6" xfId="1" applyNumberFormat="1" applyFont="1" applyFill="1" applyBorder="1"/>
    <xf numFmtId="169" fontId="4" fillId="2" borderId="7" xfId="1" applyNumberFormat="1" applyFont="1" applyFill="1" applyBorder="1"/>
    <xf numFmtId="169" fontId="7" fillId="2" borderId="1" xfId="0" applyNumberFormat="1" applyFont="1" applyFill="1" applyBorder="1"/>
    <xf numFmtId="169" fontId="1" fillId="2" borderId="5" xfId="0" applyNumberFormat="1" applyFont="1" applyFill="1" applyBorder="1"/>
    <xf numFmtId="169" fontId="1" fillId="2" borderId="0" xfId="0" applyNumberFormat="1" applyFont="1" applyFill="1" applyBorder="1"/>
    <xf numFmtId="169" fontId="1" fillId="2" borderId="2" xfId="0" applyNumberFormat="1" applyFont="1" applyFill="1" applyBorder="1"/>
    <xf numFmtId="169" fontId="7" fillId="2" borderId="0" xfId="0" applyNumberFormat="1" applyFont="1" applyFill="1" applyBorder="1"/>
    <xf numFmtId="169" fontId="7" fillId="2" borderId="2" xfId="0" applyNumberFormat="1" applyFont="1" applyFill="1" applyBorder="1"/>
    <xf numFmtId="169" fontId="1" fillId="2" borderId="6" xfId="0" applyNumberFormat="1" applyFont="1" applyFill="1" applyBorder="1"/>
    <xf numFmtId="169" fontId="1" fillId="2" borderId="7" xfId="0" applyNumberFormat="1" applyFont="1" applyFill="1" applyBorder="1"/>
    <xf numFmtId="44" fontId="6" fillId="2" borderId="0" xfId="2" applyFont="1" applyFill="1" applyBorder="1"/>
    <xf numFmtId="44" fontId="6" fillId="2" borderId="6" xfId="2" applyFont="1" applyFill="1" applyBorder="1"/>
    <xf numFmtId="168" fontId="1" fillId="0" borderId="0" xfId="1" applyNumberFormat="1" applyFont="1" applyBorder="1"/>
    <xf numFmtId="0" fontId="1" fillId="0" borderId="2" xfId="0" applyFont="1" applyBorder="1"/>
    <xf numFmtId="44" fontId="6" fillId="0" borderId="0" xfId="2" applyFont="1" applyBorder="1"/>
    <xf numFmtId="44" fontId="6" fillId="0" borderId="2" xfId="2" applyFont="1" applyBorder="1"/>
    <xf numFmtId="44" fontId="6" fillId="0" borderId="6" xfId="2" applyFont="1" applyBorder="1"/>
    <xf numFmtId="44" fontId="6" fillId="0" borderId="7" xfId="2" applyFont="1" applyBorder="1"/>
    <xf numFmtId="44" fontId="6" fillId="0" borderId="1" xfId="2" applyFont="1" applyBorder="1"/>
    <xf numFmtId="44" fontId="6" fillId="0" borderId="5" xfId="2" applyFont="1" applyBorder="1"/>
    <xf numFmtId="173" fontId="1" fillId="0" borderId="1" xfId="0" applyNumberFormat="1" applyFont="1" applyBorder="1"/>
    <xf numFmtId="173" fontId="1" fillId="0" borderId="0" xfId="0" applyNumberFormat="1" applyFont="1" applyBorder="1"/>
    <xf numFmtId="169" fontId="1" fillId="0" borderId="0" xfId="0" applyNumberFormat="1" applyFont="1" applyBorder="1"/>
    <xf numFmtId="169" fontId="1" fillId="0" borderId="2" xfId="0" applyNumberFormat="1" applyFont="1" applyBorder="1"/>
    <xf numFmtId="169" fontId="1" fillId="0" borderId="5" xfId="0" applyNumberFormat="1" applyFont="1" applyBorder="1"/>
    <xf numFmtId="169" fontId="1" fillId="0" borderId="6" xfId="0" applyNumberFormat="1" applyFont="1" applyBorder="1"/>
    <xf numFmtId="169" fontId="1" fillId="0" borderId="7" xfId="0" applyNumberFormat="1" applyFont="1" applyBorder="1"/>
    <xf numFmtId="169" fontId="1" fillId="0" borderId="5" xfId="1" applyNumberFormat="1" applyFont="1" applyBorder="1"/>
    <xf numFmtId="169" fontId="1" fillId="0" borderId="6" xfId="1" applyNumberFormat="1" applyFont="1" applyBorder="1"/>
    <xf numFmtId="169" fontId="1" fillId="0" borderId="4" xfId="0" applyNumberFormat="1" applyFont="1" applyBorder="1"/>
    <xf numFmtId="169" fontId="1" fillId="0" borderId="3" xfId="0" applyNumberFormat="1" applyFont="1" applyBorder="1"/>
    <xf numFmtId="169" fontId="1" fillId="0" borderId="4" xfId="1" applyNumberFormat="1" applyFont="1" applyBorder="1"/>
    <xf numFmtId="169" fontId="1" fillId="2" borderId="3" xfId="0" applyNumberFormat="1" applyFont="1" applyFill="1" applyBorder="1"/>
    <xf numFmtId="169" fontId="1" fillId="2" borderId="4" xfId="0" applyNumberFormat="1" applyFont="1" applyFill="1" applyBorder="1"/>
    <xf numFmtId="169" fontId="1" fillId="2" borderId="11" xfId="0" applyNumberFormat="1" applyFont="1" applyFill="1" applyBorder="1"/>
    <xf numFmtId="169" fontId="1" fillId="0" borderId="11" xfId="0" applyNumberFormat="1" applyFont="1" applyBorder="1"/>
    <xf numFmtId="169" fontId="1" fillId="0" borderId="3" xfId="1" applyNumberFormat="1" applyFont="1" applyBorder="1"/>
    <xf numFmtId="169" fontId="7" fillId="0" borderId="1" xfId="0" applyNumberFormat="1" applyFont="1" applyBorder="1"/>
    <xf numFmtId="169" fontId="7" fillId="0" borderId="0" xfId="0" applyNumberFormat="1" applyFont="1" applyBorder="1"/>
    <xf numFmtId="169" fontId="7" fillId="0" borderId="2" xfId="0" applyNumberFormat="1" applyFont="1" applyBorder="1"/>
    <xf numFmtId="169" fontId="4" fillId="2" borderId="1" xfId="1" applyNumberFormat="1" applyFont="1" applyFill="1" applyBorder="1"/>
    <xf numFmtId="169" fontId="4" fillId="2" borderId="0" xfId="1" applyNumberFormat="1" applyFont="1" applyFill="1" applyBorder="1"/>
    <xf numFmtId="169" fontId="4" fillId="2" borderId="2" xfId="1" applyNumberFormat="1" applyFont="1" applyFill="1" applyBorder="1"/>
    <xf numFmtId="169" fontId="4" fillId="2" borderId="1" xfId="3" applyNumberFormat="1" applyFont="1" applyFill="1" applyBorder="1"/>
    <xf numFmtId="169" fontId="4" fillId="2" borderId="0" xfId="3" applyNumberFormat="1" applyFont="1" applyFill="1" applyBorder="1"/>
    <xf numFmtId="169" fontId="4" fillId="0" borderId="1" xfId="0" applyNumberFormat="1" applyFont="1" applyBorder="1"/>
    <xf numFmtId="169" fontId="4" fillId="0" borderId="0" xfId="0" applyNumberFormat="1" applyFont="1" applyBorder="1"/>
    <xf numFmtId="169" fontId="4" fillId="0" borderId="2" xfId="0" applyNumberFormat="1" applyFont="1" applyBorder="1"/>
    <xf numFmtId="169" fontId="17" fillId="0" borderId="1" xfId="1" applyNumberFormat="1" applyFont="1" applyFill="1" applyBorder="1"/>
    <xf numFmtId="169" fontId="17" fillId="0" borderId="0" xfId="1" applyNumberFormat="1" applyFont="1" applyFill="1" applyBorder="1"/>
    <xf numFmtId="169" fontId="17" fillId="0" borderId="2" xfId="1" applyNumberFormat="1" applyFont="1" applyFill="1" applyBorder="1"/>
    <xf numFmtId="169" fontId="7" fillId="2" borderId="1" xfId="1" applyNumberFormat="1" applyFont="1" applyFill="1" applyBorder="1"/>
    <xf numFmtId="169" fontId="7" fillId="2" borderId="0" xfId="1" applyNumberFormat="1" applyFont="1" applyFill="1" applyBorder="1"/>
    <xf numFmtId="169" fontId="7" fillId="2" borderId="2" xfId="1" applyNumberFormat="1" applyFont="1" applyFill="1" applyBorder="1"/>
    <xf numFmtId="169" fontId="7" fillId="2" borderId="1" xfId="3" applyNumberFormat="1" applyFont="1" applyFill="1" applyBorder="1"/>
    <xf numFmtId="169" fontId="7" fillId="2" borderId="0" xfId="3" applyNumberFormat="1" applyFont="1" applyFill="1" applyBorder="1"/>
    <xf numFmtId="171" fontId="4" fillId="0" borderId="0" xfId="3" applyNumberFormat="1" applyFont="1" applyFill="1"/>
    <xf numFmtId="173" fontId="4" fillId="2" borderId="0" xfId="0" applyNumberFormat="1" applyFont="1" applyFill="1"/>
    <xf numFmtId="44" fontId="1" fillId="2" borderId="0" xfId="2" applyFont="1" applyFill="1" applyBorder="1"/>
    <xf numFmtId="44" fontId="1" fillId="0" borderId="0" xfId="2" applyFont="1" applyBorder="1"/>
    <xf numFmtId="44" fontId="1" fillId="0" borderId="2" xfId="2" applyFont="1" applyBorder="1"/>
    <xf numFmtId="44" fontId="7" fillId="2" borderId="1" xfId="2" applyFont="1" applyFill="1" applyBorder="1"/>
    <xf numFmtId="44" fontId="7" fillId="2" borderId="0" xfId="2" applyFont="1" applyFill="1" applyBorder="1"/>
    <xf numFmtId="44" fontId="7" fillId="0" borderId="1" xfId="2" applyFont="1" applyBorder="1"/>
    <xf numFmtId="44" fontId="7" fillId="0" borderId="0" xfId="2" applyFont="1" applyBorder="1"/>
    <xf numFmtId="173" fontId="1" fillId="2" borderId="0" xfId="0" applyNumberFormat="1" applyFont="1" applyFill="1" applyBorder="1"/>
    <xf numFmtId="173" fontId="1" fillId="2" borderId="1" xfId="0" applyNumberFormat="1" applyFont="1" applyFill="1" applyBorder="1"/>
    <xf numFmtId="175" fontId="1" fillId="0" borderId="0" xfId="1" applyNumberFormat="1" applyFont="1" applyAlignment="1">
      <alignment vertical="center"/>
    </xf>
    <xf numFmtId="9" fontId="1" fillId="2" borderId="2" xfId="3" applyFont="1" applyFill="1" applyBorder="1"/>
    <xf numFmtId="9" fontId="1" fillId="2" borderId="1" xfId="3" applyFont="1" applyFill="1" applyBorder="1"/>
    <xf numFmtId="9" fontId="1" fillId="2" borderId="0" xfId="3" applyFont="1" applyFill="1" applyBorder="1"/>
    <xf numFmtId="44" fontId="6" fillId="2" borderId="1" xfId="2" applyFont="1" applyFill="1" applyBorder="1"/>
    <xf numFmtId="44" fontId="6" fillId="2" borderId="5" xfId="2" applyFont="1" applyFill="1" applyBorder="1"/>
    <xf numFmtId="0" fontId="0" fillId="0" borderId="0" xfId="0" applyFont="1"/>
    <xf numFmtId="0" fontId="6" fillId="0" borderId="0" xfId="0" applyNumberFormat="1" applyFont="1"/>
    <xf numFmtId="169" fontId="11" fillId="5" borderId="0" xfId="1" applyNumberFormat="1" applyFont="1" applyFill="1"/>
    <xf numFmtId="169" fontId="7" fillId="0" borderId="0" xfId="1" applyNumberFormat="1" applyFont="1"/>
    <xf numFmtId="169" fontId="11" fillId="0" borderId="0" xfId="1" applyNumberFormat="1" applyFont="1" applyFill="1"/>
    <xf numFmtId="169" fontId="14" fillId="5" borderId="0" xfId="1" applyNumberFormat="1" applyFont="1" applyFill="1"/>
    <xf numFmtId="169" fontId="4" fillId="0" borderId="0" xfId="1" applyNumberFormat="1" applyFont="1"/>
    <xf numFmtId="169" fontId="13" fillId="0" borderId="0" xfId="1" applyNumberFormat="1" applyFont="1"/>
    <xf numFmtId="169" fontId="6" fillId="2" borderId="1" xfId="1" applyNumberFormat="1" applyFont="1" applyFill="1" applyBorder="1"/>
    <xf numFmtId="169" fontId="6" fillId="2" borderId="0" xfId="1" applyNumberFormat="1" applyFont="1" applyFill="1" applyBorder="1"/>
    <xf numFmtId="169" fontId="6" fillId="2" borderId="2" xfId="1" applyNumberFormat="1" applyFont="1" applyFill="1" applyBorder="1"/>
    <xf numFmtId="44" fontId="1" fillId="2" borderId="3" xfId="2" applyFont="1" applyFill="1" applyBorder="1"/>
    <xf numFmtId="44" fontId="1" fillId="2" borderId="4" xfId="2" applyFont="1" applyFill="1" applyBorder="1"/>
    <xf numFmtId="44" fontId="1" fillId="0" borderId="3" xfId="2" applyFont="1" applyBorder="1"/>
    <xf numFmtId="44" fontId="1" fillId="0" borderId="4" xfId="2" applyFont="1" applyBorder="1"/>
    <xf numFmtId="44" fontId="1" fillId="0" borderId="11" xfId="2" applyFont="1" applyBorder="1"/>
    <xf numFmtId="9" fontId="1" fillId="0" borderId="1" xfId="3" applyFont="1" applyBorder="1"/>
    <xf numFmtId="9" fontId="1" fillId="0" borderId="0" xfId="3" applyFont="1" applyBorder="1"/>
    <xf numFmtId="9" fontId="1" fillId="0" borderId="2" xfId="3" applyFont="1" applyBorder="1"/>
    <xf numFmtId="43" fontId="1" fillId="0" borderId="0" xfId="1" applyFont="1"/>
    <xf numFmtId="10" fontId="1" fillId="0" borderId="0" xfId="3" applyNumberFormat="1" applyFont="1"/>
    <xf numFmtId="171" fontId="1" fillId="2" borderId="0" xfId="3" applyNumberFormat="1" applyFont="1" applyFill="1"/>
    <xf numFmtId="0" fontId="6" fillId="0" borderId="3" xfId="0" applyNumberFormat="1" applyFont="1" applyBorder="1" applyAlignment="1">
      <alignment horizontal="centerContinuous"/>
    </xf>
    <xf numFmtId="0" fontId="6" fillId="0" borderId="4" xfId="0" applyNumberFormat="1" applyFont="1" applyBorder="1" applyAlignment="1">
      <alignment horizontal="centerContinuous"/>
    </xf>
    <xf numFmtId="0" fontId="6" fillId="0" borderId="11" xfId="0" applyNumberFormat="1" applyFont="1" applyBorder="1" applyAlignment="1">
      <alignment horizontal="centerContinuous"/>
    </xf>
    <xf numFmtId="169" fontId="5" fillId="2" borderId="1" xfId="3" applyNumberFormat="1" applyFont="1" applyFill="1" applyBorder="1"/>
    <xf numFmtId="168" fontId="4" fillId="0" borderId="0" xfId="1" applyNumberFormat="1" applyFont="1" applyFill="1" applyBorder="1"/>
    <xf numFmtId="168" fontId="4" fillId="0" borderId="2" xfId="1" applyNumberFormat="1" applyFont="1" applyFill="1" applyBorder="1"/>
    <xf numFmtId="168" fontId="4" fillId="0" borderId="1" xfId="1" applyNumberFormat="1" applyFont="1" applyFill="1" applyBorder="1"/>
    <xf numFmtId="43" fontId="4" fillId="2" borderId="0" xfId="1" applyFont="1" applyFill="1" applyBorder="1"/>
    <xf numFmtId="0" fontId="21" fillId="0" borderId="0" xfId="0" applyFont="1"/>
    <xf numFmtId="0" fontId="22" fillId="0" borderId="0" xfId="0" applyFont="1"/>
    <xf numFmtId="168" fontId="1" fillId="0" borderId="2" xfId="1" applyNumberFormat="1" applyFont="1" applyBorder="1"/>
    <xf numFmtId="168" fontId="1" fillId="2" borderId="0" xfId="1" applyNumberFormat="1" applyFont="1" applyFill="1" applyBorder="1"/>
    <xf numFmtId="168" fontId="1" fillId="2" borderId="2" xfId="1" applyNumberFormat="1" applyFont="1" applyFill="1" applyBorder="1"/>
    <xf numFmtId="168" fontId="1" fillId="2" borderId="1" xfId="1" applyNumberFormat="1" applyFont="1" applyFill="1" applyBorder="1"/>
    <xf numFmtId="9" fontId="1" fillId="0" borderId="5" xfId="3" applyFont="1" applyBorder="1"/>
    <xf numFmtId="0" fontId="1" fillId="0" borderId="5" xfId="0" applyFont="1" applyBorder="1"/>
    <xf numFmtId="0" fontId="1" fillId="0" borderId="6" xfId="0" applyFont="1" applyBorder="1"/>
    <xf numFmtId="44" fontId="1" fillId="0" borderId="7" xfId="2" applyFont="1" applyBorder="1"/>
    <xf numFmtId="9" fontId="1" fillId="0" borderId="6" xfId="3" applyFont="1" applyBorder="1"/>
    <xf numFmtId="9" fontId="1" fillId="0" borderId="7" xfId="3" applyFont="1" applyBorder="1"/>
    <xf numFmtId="9" fontId="1" fillId="2" borderId="6" xfId="3" applyFont="1" applyFill="1" applyBorder="1"/>
    <xf numFmtId="9" fontId="1" fillId="2" borderId="7" xfId="3" applyFont="1" applyFill="1" applyBorder="1"/>
    <xf numFmtId="9" fontId="1" fillId="2" borderId="5" xfId="3" applyFont="1" applyFill="1" applyBorder="1"/>
    <xf numFmtId="44" fontId="1" fillId="2" borderId="2" xfId="2" applyFont="1" applyFill="1" applyBorder="1"/>
    <xf numFmtId="0" fontId="1" fillId="0" borderId="7" xfId="0" applyFont="1" applyBorder="1"/>
    <xf numFmtId="0" fontId="1" fillId="0" borderId="12" xfId="0" applyFont="1" applyBorder="1" applyAlignment="1">
      <alignment horizontal="center"/>
    </xf>
    <xf numFmtId="15" fontId="1" fillId="2" borderId="13" xfId="0" applyNumberFormat="1" applyFont="1" applyFill="1" applyBorder="1" applyAlignment="1">
      <alignment horizontal="center"/>
    </xf>
    <xf numFmtId="169" fontId="14" fillId="0" borderId="13" xfId="1" applyNumberFormat="1" applyFont="1" applyFill="1" applyBorder="1" applyAlignment="1">
      <alignment horizontal="center"/>
    </xf>
    <xf numFmtId="168" fontId="1" fillId="0" borderId="13" xfId="1" applyNumberFormat="1" applyFont="1" applyBorder="1"/>
    <xf numFmtId="0" fontId="1" fillId="0" borderId="13" xfId="0" applyFont="1" applyBorder="1"/>
    <xf numFmtId="9" fontId="1" fillId="0" borderId="13" xfId="3" applyFont="1" applyBorder="1"/>
    <xf numFmtId="44" fontId="1" fillId="0" borderId="13" xfId="2" applyFont="1" applyBorder="1"/>
    <xf numFmtId="43" fontId="6" fillId="0" borderId="0" xfId="1" applyFont="1"/>
    <xf numFmtId="4" fontId="6" fillId="0" borderId="0" xfId="0" applyNumberFormat="1" applyFont="1" applyAlignment="1">
      <alignment horizontal="center"/>
    </xf>
    <xf numFmtId="43" fontId="1" fillId="2" borderId="1" xfId="1" applyFont="1" applyFill="1" applyBorder="1"/>
    <xf numFmtId="43" fontId="1" fillId="2" borderId="0" xfId="1" applyFont="1" applyFill="1" applyBorder="1"/>
    <xf numFmtId="171" fontId="6" fillId="0" borderId="0" xfId="3" applyNumberFormat="1" applyFont="1"/>
    <xf numFmtId="9" fontId="0" fillId="0" borderId="0" xfId="3" applyFont="1"/>
    <xf numFmtId="44" fontId="1" fillId="0" borderId="1" xfId="0" applyNumberFormat="1" applyFont="1" applyBorder="1"/>
    <xf numFmtId="44" fontId="6" fillId="2" borderId="2" xfId="2" applyFont="1" applyFill="1" applyBorder="1"/>
    <xf numFmtId="168" fontId="7" fillId="0" borderId="13" xfId="1" applyNumberFormat="1" applyFont="1" applyBorder="1"/>
    <xf numFmtId="0" fontId="7" fillId="0" borderId="1" xfId="0" applyFont="1" applyBorder="1"/>
    <xf numFmtId="0" fontId="7" fillId="0" borderId="0" xfId="0" applyFont="1" applyBorder="1"/>
    <xf numFmtId="168" fontId="7" fillId="0" borderId="2" xfId="1" applyNumberFormat="1" applyFont="1" applyBorder="1"/>
    <xf numFmtId="168" fontId="7" fillId="0" borderId="1" xfId="1" applyNumberFormat="1" applyFont="1" applyBorder="1"/>
    <xf numFmtId="168" fontId="7" fillId="0" borderId="0" xfId="1" applyNumberFormat="1" applyFont="1" applyBorder="1"/>
    <xf numFmtId="9" fontId="6" fillId="0" borderId="2" xfId="3" applyFont="1" applyBorder="1"/>
    <xf numFmtId="9" fontId="6" fillId="0" borderId="1" xfId="3" applyFont="1" applyBorder="1"/>
    <xf numFmtId="9" fontId="6" fillId="0" borderId="0" xfId="3" applyFont="1" applyBorder="1"/>
    <xf numFmtId="9" fontId="6" fillId="2" borderId="2" xfId="3" applyFont="1" applyFill="1" applyBorder="1"/>
    <xf numFmtId="9" fontId="6" fillId="2" borderId="1" xfId="3" applyFont="1" applyFill="1" applyBorder="1"/>
    <xf numFmtId="9" fontId="6" fillId="2" borderId="0" xfId="3" applyFont="1" applyFill="1" applyBorder="1"/>
    <xf numFmtId="168" fontId="17" fillId="3" borderId="2" xfId="1" applyNumberFormat="1" applyFont="1" applyFill="1" applyBorder="1"/>
    <xf numFmtId="168" fontId="17" fillId="3" borderId="0" xfId="1" applyNumberFormat="1" applyFont="1" applyFill="1" applyBorder="1"/>
    <xf numFmtId="177" fontId="4" fillId="0" borderId="0" xfId="0" applyNumberFormat="1" applyFont="1"/>
    <xf numFmtId="171" fontId="1" fillId="0" borderId="0" xfId="3" applyNumberFormat="1" applyFont="1"/>
    <xf numFmtId="176" fontId="6" fillId="0" borderId="0" xfId="1" applyNumberFormat="1" applyFont="1"/>
    <xf numFmtId="178" fontId="4" fillId="2" borderId="0" xfId="0" applyNumberFormat="1" applyFont="1" applyFill="1"/>
    <xf numFmtId="178" fontId="4" fillId="0" borderId="0" xfId="0" applyNumberFormat="1" applyFont="1" applyFill="1"/>
    <xf numFmtId="178" fontId="3" fillId="0" borderId="0" xfId="0" applyNumberFormat="1" applyFont="1"/>
    <xf numFmtId="179" fontId="4" fillId="0" borderId="0" xfId="0" applyNumberFormat="1" applyFont="1"/>
    <xf numFmtId="171" fontId="1" fillId="0" borderId="0" xfId="3" applyNumberFormat="1" applyFont="1" applyAlignment="1">
      <alignment horizontal="right"/>
    </xf>
    <xf numFmtId="9" fontId="1" fillId="0" borderId="3" xfId="3" applyFont="1" applyBorder="1"/>
    <xf numFmtId="0" fontId="1" fillId="0" borderId="3" xfId="0" applyFont="1" applyBorder="1"/>
    <xf numFmtId="0" fontId="1" fillId="0" borderId="4" xfId="0" applyFont="1" applyBorder="1"/>
    <xf numFmtId="9" fontId="1" fillId="0" borderId="4" xfId="3" applyFont="1" applyBorder="1"/>
    <xf numFmtId="9" fontId="1" fillId="0" borderId="11" xfId="3" applyFont="1" applyBorder="1"/>
    <xf numFmtId="9" fontId="1" fillId="2" borderId="3" xfId="3" applyFont="1" applyFill="1" applyBorder="1"/>
    <xf numFmtId="9" fontId="1" fillId="2" borderId="4" xfId="3" applyFont="1" applyFill="1" applyBorder="1"/>
    <xf numFmtId="9" fontId="1" fillId="2" borderId="11" xfId="3" applyFont="1" applyFill="1" applyBorder="1"/>
    <xf numFmtId="9" fontId="6" fillId="2" borderId="6" xfId="3" applyFont="1" applyFill="1" applyBorder="1"/>
    <xf numFmtId="9" fontId="6" fillId="2" borderId="7" xfId="3" applyFont="1" applyFill="1" applyBorder="1"/>
    <xf numFmtId="9" fontId="6" fillId="2" borderId="5" xfId="3" applyFont="1" applyFill="1" applyBorder="1"/>
    <xf numFmtId="168" fontId="1" fillId="0" borderId="14" xfId="1" applyNumberFormat="1" applyFont="1" applyBorder="1"/>
    <xf numFmtId="168" fontId="1" fillId="0" borderId="6" xfId="1" applyNumberFormat="1" applyFont="1" applyBorder="1"/>
    <xf numFmtId="168" fontId="1" fillId="0" borderId="7" xfId="1" applyNumberFormat="1" applyFont="1" applyBorder="1"/>
    <xf numFmtId="168" fontId="1" fillId="0" borderId="5" xfId="1" applyNumberFormat="1" applyFont="1" applyBorder="1"/>
    <xf numFmtId="43" fontId="1" fillId="0" borderId="7" xfId="1" applyFont="1" applyBorder="1"/>
    <xf numFmtId="43" fontId="1" fillId="0" borderId="5" xfId="1" applyFont="1" applyBorder="1"/>
    <xf numFmtId="43" fontId="1" fillId="0" borderId="6" xfId="1" applyFont="1" applyBorder="1"/>
    <xf numFmtId="169" fontId="23" fillId="5" borderId="0" xfId="1" applyNumberFormat="1" applyFont="1" applyFill="1" applyBorder="1"/>
    <xf numFmtId="180" fontId="4" fillId="0" borderId="0" xfId="1" applyNumberFormat="1" applyFont="1" applyBorder="1"/>
    <xf numFmtId="178" fontId="1" fillId="0" borderId="0" xfId="0" applyNumberFormat="1" applyFont="1" applyFill="1"/>
    <xf numFmtId="9" fontId="1" fillId="0" borderId="0" xfId="3" applyFont="1" applyFill="1"/>
    <xf numFmtId="171" fontId="1" fillId="0" borderId="0" xfId="3" applyNumberFormat="1" applyFont="1" applyBorder="1"/>
    <xf numFmtId="178" fontId="1" fillId="5" borderId="0" xfId="3" applyNumberFormat="1" applyFont="1" applyFill="1"/>
    <xf numFmtId="171" fontId="1" fillId="5" borderId="0" xfId="3" applyNumberFormat="1" applyFont="1" applyFill="1"/>
    <xf numFmtId="43" fontId="4" fillId="2" borderId="1" xfId="1" applyFont="1" applyFill="1" applyBorder="1"/>
    <xf numFmtId="43" fontId="17" fillId="3" borderId="0" xfId="1" applyFont="1" applyFill="1" applyBorder="1"/>
    <xf numFmtId="43" fontId="17" fillId="3" borderId="2" xfId="1" applyFont="1" applyFill="1" applyBorder="1"/>
    <xf numFmtId="43" fontId="17" fillId="3" borderId="0" xfId="1" applyNumberFormat="1" applyFont="1" applyFill="1" applyBorder="1"/>
    <xf numFmtId="43" fontId="17" fillId="3" borderId="2" xfId="1" applyNumberFormat="1" applyFont="1" applyFill="1" applyBorder="1"/>
    <xf numFmtId="168" fontId="7" fillId="2" borderId="1" xfId="3" applyNumberFormat="1" applyFont="1" applyFill="1" applyBorder="1"/>
    <xf numFmtId="168" fontId="7" fillId="0" borderId="1" xfId="1" applyNumberFormat="1" applyFont="1" applyFill="1" applyBorder="1"/>
    <xf numFmtId="168" fontId="7" fillId="0" borderId="0" xfId="1" applyNumberFormat="1" applyFont="1" applyFill="1" applyBorder="1"/>
    <xf numFmtId="168" fontId="7" fillId="0" borderId="2" xfId="1" applyNumberFormat="1" applyFont="1" applyFill="1" applyBorder="1"/>
    <xf numFmtId="168" fontId="6" fillId="2" borderId="1" xfId="3" applyNumberFormat="1" applyFont="1" applyFill="1" applyBorder="1"/>
    <xf numFmtId="168" fontId="24" fillId="2" borderId="1" xfId="1" applyNumberFormat="1" applyFont="1" applyFill="1" applyBorder="1"/>
    <xf numFmtId="168" fontId="24" fillId="2" borderId="0" xfId="1" applyNumberFormat="1" applyFont="1" applyFill="1" applyBorder="1"/>
    <xf numFmtId="168" fontId="24" fillId="0" borderId="1" xfId="1" applyNumberFormat="1" applyFont="1" applyBorder="1"/>
    <xf numFmtId="168" fontId="24" fillId="0" borderId="0" xfId="1" applyNumberFormat="1" applyFont="1" applyBorder="1"/>
    <xf numFmtId="168" fontId="24" fillId="0" borderId="2" xfId="1" applyNumberFormat="1" applyFont="1" applyBorder="1"/>
    <xf numFmtId="168" fontId="6" fillId="0" borderId="1" xfId="1" applyNumberFormat="1" applyFont="1" applyFill="1" applyBorder="1"/>
    <xf numFmtId="168" fontId="6" fillId="0" borderId="0" xfId="1" applyNumberFormat="1" applyFont="1" applyFill="1" applyBorder="1"/>
    <xf numFmtId="168" fontId="6" fillId="0" borderId="2" xfId="1" applyNumberFormat="1" applyFont="1" applyFill="1" applyBorder="1"/>
    <xf numFmtId="171" fontId="4" fillId="0" borderId="1" xfId="3" applyNumberFormat="1" applyFont="1" applyBorder="1"/>
    <xf numFmtId="171" fontId="4" fillId="0" borderId="2" xfId="3" applyNumberFormat="1" applyFont="1" applyBorder="1"/>
    <xf numFmtId="0" fontId="10" fillId="0" borderId="0" xfId="0" applyFont="1"/>
    <xf numFmtId="169" fontId="25" fillId="0" borderId="1" xfId="1" applyNumberFormat="1" applyFont="1" applyFill="1" applyBorder="1"/>
    <xf numFmtId="169" fontId="25" fillId="0" borderId="0" xfId="1" applyNumberFormat="1" applyFont="1" applyFill="1" applyBorder="1"/>
    <xf numFmtId="169" fontId="25" fillId="0" borderId="2" xfId="1" applyNumberFormat="1" applyFont="1" applyFill="1" applyBorder="1"/>
    <xf numFmtId="169" fontId="6" fillId="0" borderId="0" xfId="1" applyNumberFormat="1" applyFont="1" applyAlignment="1">
      <alignment vertical="center"/>
    </xf>
    <xf numFmtId="169" fontId="1" fillId="2" borderId="0" xfId="1" applyNumberFormat="1" applyFont="1" applyFill="1" applyBorder="1"/>
    <xf numFmtId="169" fontId="1" fillId="2" borderId="1" xfId="1" applyNumberFormat="1" applyFont="1" applyFill="1" applyBorder="1"/>
    <xf numFmtId="169" fontId="1" fillId="0" borderId="2" xfId="1" applyNumberFormat="1" applyFont="1" applyBorder="1"/>
    <xf numFmtId="171" fontId="17" fillId="3" borderId="0" xfId="3" applyNumberFormat="1" applyFont="1" applyFill="1" applyBorder="1"/>
    <xf numFmtId="171" fontId="17" fillId="3" borderId="2" xfId="3" applyNumberFormat="1" applyFont="1" applyFill="1" applyBorder="1"/>
    <xf numFmtId="169" fontId="6" fillId="2" borderId="1" xfId="3" applyNumberFormat="1" applyFont="1" applyFill="1" applyBorder="1"/>
    <xf numFmtId="169" fontId="6" fillId="2" borderId="0" xfId="3" applyNumberFormat="1" applyFont="1" applyFill="1" applyBorder="1"/>
    <xf numFmtId="169" fontId="6" fillId="0" borderId="1" xfId="3" applyNumberFormat="1" applyFont="1" applyBorder="1"/>
    <xf numFmtId="169" fontId="6" fillId="0" borderId="0" xfId="3" applyNumberFormat="1" applyFont="1" applyBorder="1"/>
    <xf numFmtId="169" fontId="6" fillId="0" borderId="2" xfId="3" applyNumberFormat="1" applyFont="1" applyBorder="1"/>
    <xf numFmtId="165" fontId="1" fillId="0" borderId="0" xfId="0" applyNumberFormat="1" applyFont="1" applyAlignment="1">
      <alignment vertical="center"/>
    </xf>
    <xf numFmtId="169" fontId="6" fillId="0" borderId="0" xfId="0" applyNumberFormat="1" applyFont="1"/>
    <xf numFmtId="169" fontId="6" fillId="2" borderId="1" xfId="0" applyNumberFormat="1" applyFont="1" applyFill="1" applyBorder="1"/>
    <xf numFmtId="169" fontId="6" fillId="2" borderId="0" xfId="0" applyNumberFormat="1" applyFont="1" applyFill="1" applyBorder="1"/>
    <xf numFmtId="169" fontId="6" fillId="2" borderId="2" xfId="0" applyNumberFormat="1" applyFont="1" applyFill="1" applyBorder="1"/>
    <xf numFmtId="169" fontId="6" fillId="0" borderId="1" xfId="0" applyNumberFormat="1" applyFont="1" applyFill="1" applyBorder="1"/>
    <xf numFmtId="169" fontId="6" fillId="0" borderId="0" xfId="0" applyNumberFormat="1" applyFont="1" applyFill="1" applyBorder="1"/>
    <xf numFmtId="169" fontId="6" fillId="0" borderId="2" xfId="0" applyNumberFormat="1" applyFont="1" applyFill="1" applyBorder="1"/>
    <xf numFmtId="169" fontId="6" fillId="0" borderId="1" xfId="1" applyNumberFormat="1" applyFont="1" applyFill="1" applyBorder="1"/>
    <xf numFmtId="169" fontId="6" fillId="0" borderId="0" xfId="1" applyNumberFormat="1" applyFont="1" applyFill="1" applyBorder="1"/>
    <xf numFmtId="169" fontId="6" fillId="0" borderId="1" xfId="0" applyNumberFormat="1" applyFont="1" applyBorder="1"/>
    <xf numFmtId="169" fontId="10" fillId="0" borderId="0" xfId="0" applyNumberFormat="1" applyFont="1"/>
    <xf numFmtId="169" fontId="10" fillId="0" borderId="0" xfId="0" applyNumberFormat="1" applyFont="1" applyAlignment="1">
      <alignment vertical="center"/>
    </xf>
    <xf numFmtId="0" fontId="26" fillId="0" borderId="0" xfId="0" applyFont="1"/>
    <xf numFmtId="175" fontId="1" fillId="0" borderId="0" xfId="1" applyNumberFormat="1" applyFont="1" applyAlignment="1">
      <alignment horizontal="left" vertical="center"/>
    </xf>
    <xf numFmtId="43" fontId="1" fillId="2" borderId="5" xfId="1" applyFont="1" applyFill="1" applyBorder="1"/>
    <xf numFmtId="43" fontId="1" fillId="2" borderId="6" xfId="1" applyFont="1" applyFill="1" applyBorder="1"/>
    <xf numFmtId="43" fontId="1" fillId="2" borderId="7" xfId="1" applyFont="1" applyFill="1" applyBorder="1"/>
    <xf numFmtId="43" fontId="3" fillId="0" borderId="0" xfId="1" applyFont="1"/>
    <xf numFmtId="43" fontId="3" fillId="0" borderId="0" xfId="1" applyFont="1" applyAlignment="1">
      <alignment vertical="center"/>
    </xf>
    <xf numFmtId="43" fontId="19" fillId="0" borderId="0" xfId="1" applyFont="1"/>
    <xf numFmtId="169" fontId="1" fillId="0" borderId="0" xfId="0" applyNumberFormat="1" applyFont="1" applyFill="1"/>
    <xf numFmtId="181" fontId="6" fillId="0" borderId="0" xfId="1" applyNumberFormat="1" applyFont="1"/>
    <xf numFmtId="8" fontId="6" fillId="0" borderId="0" xfId="1" applyNumberFormat="1" applyFont="1" applyAlignment="1">
      <alignment vertical="center"/>
    </xf>
    <xf numFmtId="169" fontId="4" fillId="0" borderId="0" xfId="1" applyNumberFormat="1" applyFont="1" applyFill="1" applyBorder="1"/>
    <xf numFmtId="44" fontId="1" fillId="0" borderId="0" xfId="2" applyFont="1" applyAlignment="1">
      <alignment horizontal="left" vertical="center"/>
    </xf>
    <xf numFmtId="181" fontId="1" fillId="2" borderId="0" xfId="1" applyNumberFormat="1" applyFont="1" applyFill="1" applyBorder="1"/>
    <xf numFmtId="0" fontId="0" fillId="2" borderId="4" xfId="0" applyFill="1" applyBorder="1"/>
    <xf numFmtId="169" fontId="1" fillId="2" borderId="4" xfId="1" applyNumberFormat="1" applyFont="1" applyFill="1" applyBorder="1"/>
    <xf numFmtId="0" fontId="0" fillId="2" borderId="0" xfId="0" applyFill="1" applyBorder="1"/>
    <xf numFmtId="0" fontId="0" fillId="2" borderId="6" xfId="0" applyFill="1" applyBorder="1"/>
    <xf numFmtId="169" fontId="1" fillId="2" borderId="6" xfId="1" applyNumberFormat="1" applyFont="1" applyFill="1" applyBorder="1"/>
    <xf numFmtId="181" fontId="1" fillId="2" borderId="6" xfId="1" applyNumberFormat="1" applyFont="1" applyFill="1" applyBorder="1"/>
    <xf numFmtId="169" fontId="1" fillId="2" borderId="11" xfId="1" applyNumberFormat="1" applyFont="1" applyFill="1" applyBorder="1"/>
    <xf numFmtId="169" fontId="1" fillId="2" borderId="2" xfId="1" applyNumberFormat="1" applyFont="1" applyFill="1" applyBorder="1"/>
    <xf numFmtId="181" fontId="1" fillId="2" borderId="2" xfId="1" applyNumberFormat="1" applyFont="1" applyFill="1" applyBorder="1"/>
    <xf numFmtId="181" fontId="1" fillId="2" borderId="7" xfId="1" applyNumberFormat="1" applyFont="1" applyFill="1" applyBorder="1"/>
    <xf numFmtId="44" fontId="6" fillId="0" borderId="0" xfId="2" applyFont="1" applyFill="1" applyBorder="1"/>
    <xf numFmtId="0" fontId="6" fillId="4" borderId="3" xfId="4" applyFont="1" applyFill="1" applyBorder="1" applyAlignment="1">
      <alignment horizontal="right"/>
    </xf>
    <xf numFmtId="0" fontId="6" fillId="4" borderId="4" xfId="4" applyFont="1" applyFill="1" applyBorder="1" applyAlignment="1">
      <alignment horizontal="right"/>
    </xf>
    <xf numFmtId="0" fontId="6" fillId="4" borderId="11" xfId="4" applyFont="1" applyFill="1" applyBorder="1" applyAlignment="1">
      <alignment horizontal="right"/>
    </xf>
    <xf numFmtId="0" fontId="1" fillId="4" borderId="1" xfId="4" applyFont="1" applyFill="1" applyBorder="1"/>
    <xf numFmtId="0" fontId="1" fillId="4" borderId="0" xfId="4" applyFont="1" applyFill="1" applyBorder="1"/>
    <xf numFmtId="0" fontId="1" fillId="4" borderId="2" xfId="4" applyFont="1" applyFill="1" applyBorder="1"/>
    <xf numFmtId="44" fontId="1" fillId="3" borderId="0" xfId="2" applyFont="1" applyFill="1" applyBorder="1"/>
    <xf numFmtId="174" fontId="1" fillId="3" borderId="0" xfId="7" applyNumberFormat="1" applyFont="1" applyFill="1" applyBorder="1"/>
    <xf numFmtId="171" fontId="1" fillId="3" borderId="2" xfId="3" applyNumberFormat="1" applyFont="1" applyFill="1" applyBorder="1"/>
    <xf numFmtId="171" fontId="5" fillId="5" borderId="0" xfId="3" applyNumberFormat="1" applyFont="1" applyFill="1"/>
    <xf numFmtId="171" fontId="15" fillId="2" borderId="0" xfId="3" applyNumberFormat="1" applyFont="1" applyFill="1"/>
    <xf numFmtId="168" fontId="1" fillId="2" borderId="5" xfId="1" applyNumberFormat="1" applyFont="1" applyFill="1" applyBorder="1"/>
    <xf numFmtId="168" fontId="1" fillId="2" borderId="6" xfId="1" applyNumberFormat="1" applyFont="1" applyFill="1" applyBorder="1"/>
    <xf numFmtId="168" fontId="1" fillId="2" borderId="7" xfId="1" applyNumberFormat="1" applyFont="1" applyFill="1" applyBorder="1"/>
    <xf numFmtId="44" fontId="6" fillId="2" borderId="3" xfId="2" applyFont="1" applyFill="1" applyBorder="1"/>
    <xf numFmtId="44" fontId="6" fillId="2" borderId="4" xfId="2" applyFont="1" applyFill="1" applyBorder="1"/>
    <xf numFmtId="44" fontId="6" fillId="0" borderId="3" xfId="2" applyFont="1" applyBorder="1"/>
    <xf numFmtId="44" fontId="6" fillId="0" borderId="4" xfId="2" applyFont="1" applyBorder="1"/>
    <xf numFmtId="44" fontId="6" fillId="0" borderId="11" xfId="2" applyFont="1" applyBorder="1"/>
    <xf numFmtId="176" fontId="0" fillId="0" borderId="0" xfId="1" applyNumberFormat="1" applyFont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9" fontId="1" fillId="0" borderId="13" xfId="1" applyNumberFormat="1" applyFont="1" applyBorder="1"/>
    <xf numFmtId="167" fontId="1" fillId="0" borderId="13" xfId="1" applyNumberFormat="1" applyFont="1" applyBorder="1"/>
    <xf numFmtId="167" fontId="1" fillId="0" borderId="1" xfId="0" applyNumberFormat="1" applyFont="1" applyBorder="1"/>
    <xf numFmtId="167" fontId="1" fillId="0" borderId="0" xfId="0" applyNumberFormat="1" applyFont="1" applyBorder="1"/>
    <xf numFmtId="167" fontId="1" fillId="0" borderId="2" xfId="0" applyNumberFormat="1" applyFont="1" applyBorder="1"/>
    <xf numFmtId="167" fontId="1" fillId="0" borderId="0" xfId="1" applyNumberFormat="1" applyFont="1" applyBorder="1"/>
    <xf numFmtId="167" fontId="1" fillId="0" borderId="2" xfId="1" applyNumberFormat="1" applyFont="1" applyBorder="1"/>
    <xf numFmtId="167" fontId="1" fillId="0" borderId="1" xfId="1" applyNumberFormat="1" applyFont="1" applyBorder="1"/>
    <xf numFmtId="167" fontId="6" fillId="2" borderId="1" xfId="1" applyNumberFormat="1" applyFont="1" applyFill="1" applyBorder="1"/>
    <xf numFmtId="167" fontId="6" fillId="2" borderId="0" xfId="1" applyNumberFormat="1" applyFont="1" applyFill="1" applyBorder="1"/>
    <xf numFmtId="167" fontId="6" fillId="2" borderId="2" xfId="1" applyNumberFormat="1" applyFont="1" applyFill="1" applyBorder="1"/>
    <xf numFmtId="167" fontId="1" fillId="2" borderId="0" xfId="0" applyNumberFormat="1" applyFont="1" applyFill="1"/>
    <xf numFmtId="168" fontId="6" fillId="0" borderId="0" xfId="1" applyNumberFormat="1" applyFont="1" applyFill="1" applyAlignment="1">
      <alignment horizontal="center"/>
    </xf>
    <xf numFmtId="43" fontId="27" fillId="0" borderId="0" xfId="1" applyFont="1" applyFill="1" applyBorder="1" applyAlignment="1">
      <alignment horizontal="left"/>
    </xf>
    <xf numFmtId="43" fontId="20" fillId="0" borderId="0" xfId="1" applyFont="1" applyFill="1" applyBorder="1" applyAlignment="1">
      <alignment horizontal="left"/>
    </xf>
    <xf numFmtId="169" fontId="17" fillId="0" borderId="1" xfId="1" applyNumberFormat="1" applyFont="1" applyBorder="1"/>
    <xf numFmtId="168" fontId="1" fillId="0" borderId="2" xfId="1" applyNumberFormat="1" applyFont="1" applyFill="1" applyBorder="1"/>
    <xf numFmtId="0" fontId="10" fillId="6" borderId="15" xfId="1" applyNumberFormat="1" applyFont="1" applyFill="1" applyBorder="1" applyAlignment="1">
      <alignment horizontal="center"/>
    </xf>
    <xf numFmtId="178" fontId="4" fillId="0" borderId="0" xfId="3" applyNumberFormat="1" applyFont="1" applyFill="1"/>
    <xf numFmtId="178" fontId="4" fillId="5" borderId="0" xfId="3" applyNumberFormat="1" applyFont="1" applyFill="1"/>
    <xf numFmtId="178" fontId="1" fillId="0" borderId="0" xfId="3" applyNumberFormat="1" applyFont="1" applyFill="1"/>
    <xf numFmtId="167" fontId="1" fillId="5" borderId="0" xfId="3" applyNumberFormat="1" applyFont="1" applyFill="1"/>
    <xf numFmtId="167" fontId="4" fillId="0" borderId="0" xfId="3" applyNumberFormat="1" applyFont="1" applyFill="1"/>
    <xf numFmtId="167" fontId="4" fillId="5" borderId="0" xfId="3" applyNumberFormat="1" applyFont="1" applyFill="1"/>
    <xf numFmtId="0" fontId="0" fillId="0" borderId="3" xfId="0" applyBorder="1"/>
    <xf numFmtId="0" fontId="0" fillId="0" borderId="1" xfId="0" applyBorder="1"/>
    <xf numFmtId="43" fontId="4" fillId="0" borderId="0" xfId="1" applyFont="1" applyBorder="1"/>
    <xf numFmtId="15" fontId="28" fillId="7" borderId="0" xfId="9" applyNumberFormat="1" applyBorder="1"/>
    <xf numFmtId="15" fontId="28" fillId="7" borderId="1" xfId="9" applyNumberFormat="1" applyBorder="1"/>
    <xf numFmtId="0" fontId="19" fillId="0" borderId="0" xfId="0" applyFont="1" applyBorder="1"/>
    <xf numFmtId="44" fontId="0" fillId="0" borderId="0" xfId="6" applyFont="1"/>
    <xf numFmtId="22" fontId="0" fillId="0" borderId="0" xfId="2" applyNumberFormat="1" applyFont="1"/>
    <xf numFmtId="0" fontId="0" fillId="0" borderId="0" xfId="0" applyNumberFormat="1"/>
    <xf numFmtId="0" fontId="0" fillId="0" borderId="0" xfId="2" applyNumberFormat="1" applyFont="1"/>
    <xf numFmtId="0" fontId="0" fillId="0" borderId="0" xfId="1" applyNumberFormat="1" applyFont="1"/>
    <xf numFmtId="0" fontId="29" fillId="8" borderId="0" xfId="10"/>
    <xf numFmtId="0" fontId="30" fillId="9" borderId="0" xfId="11"/>
    <xf numFmtId="0" fontId="28" fillId="7" borderId="16" xfId="9"/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</cellXfs>
  <cellStyles count="12">
    <cellStyle name="_x000a_386grabber=M" xfId="8" xr:uid="{00000000-0005-0000-0000-000000000000}"/>
    <cellStyle name="Accent1" xfId="11" builtinId="29"/>
    <cellStyle name="Comma" xfId="1" builtinId="3"/>
    <cellStyle name="Comma 2" xfId="5" xr:uid="{00000000-0005-0000-0000-000003000000}"/>
    <cellStyle name="Currency" xfId="2" builtinId="4"/>
    <cellStyle name="Currency 2" xfId="6" xr:uid="{00000000-0005-0000-0000-000005000000}"/>
    <cellStyle name="Good" xfId="10" builtinId="26"/>
    <cellStyle name="Input" xfId="9" builtinId="20"/>
    <cellStyle name="Normal" xfId="0" builtinId="0"/>
    <cellStyle name="Normal 2" xfId="4" xr:uid="{00000000-0005-0000-0000-000009000000}"/>
    <cellStyle name="Percent" xfId="3" builtinId="5"/>
    <cellStyle name="Percent 2" xfId="7" xr:uid="{00000000-0005-0000-0000-00000B000000}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colors>
    <mruColors>
      <color rgb="FF215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 /><Relationship Id="rId13" Type="http://schemas.openxmlformats.org/officeDocument/2006/relationships/customXml" Target="../customXml/item3.xml" /><Relationship Id="rId3" Type="http://schemas.openxmlformats.org/officeDocument/2006/relationships/worksheet" Target="worksheets/sheet3.xml" /><Relationship Id="rId7" Type="http://schemas.openxmlformats.org/officeDocument/2006/relationships/connections" Target="connections.xml" /><Relationship Id="rId12" Type="http://schemas.openxmlformats.org/officeDocument/2006/relationships/customXml" Target="../customXml/item2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theme" Target="theme/theme1.xml" /><Relationship Id="rId11" Type="http://schemas.openxmlformats.org/officeDocument/2006/relationships/customXml" Target="../customXml/item1.xml" /><Relationship Id="rId5" Type="http://schemas.openxmlformats.org/officeDocument/2006/relationships/worksheet" Target="worksheets/sheet5.xml" /><Relationship Id="rId15" Type="http://schemas.microsoft.com/office/2006/relationships/vbaProject" Target="vbaProject.bin" /><Relationship Id="rId10" Type="http://schemas.openxmlformats.org/officeDocument/2006/relationships/calcChain" Target="calcChain.xml" /><Relationship Id="rId4" Type="http://schemas.openxmlformats.org/officeDocument/2006/relationships/worksheet" Target="worksheets/sheet4.xml" /><Relationship Id="rId9" Type="http://schemas.openxmlformats.org/officeDocument/2006/relationships/sharedStrings" Target="sharedStrings.xml" /><Relationship Id="rId14" Type="http://schemas.openxmlformats.org/officeDocument/2006/relationships/customXml" Target="../customXml/item4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 /><Relationship Id="rId1" Type="http://schemas.microsoft.com/office/2011/relationships/chartStyle" Target="style3.xml" 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 /><Relationship Id="rId1" Type="http://schemas.microsoft.com/office/2011/relationships/chartStyle" Target="style4.xml" 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 /><Relationship Id="rId1" Type="http://schemas.microsoft.com/office/2011/relationships/chartStyle" Target="style5.xml" 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 /><Relationship Id="rId1" Type="http://schemas.microsoft.com/office/2011/relationships/chartStyle" Target="style6.xml" 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 /><Relationship Id="rId1" Type="http://schemas.microsoft.com/office/2011/relationships/chartStyle" Target="style7.xml" 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 /><Relationship Id="rId1" Type="http://schemas.microsoft.com/office/2011/relationships/chartStyle" Target="style8.xml" 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 /><Relationship Id="rId1" Type="http://schemas.microsoft.com/office/2011/relationships/chartStyle" Target="style9.xml" 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 /><Relationship Id="rId1" Type="http://schemas.microsoft.com/office/2011/relationships/chartStyle" Target="style10.xml" 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 /><Relationship Id="rId1" Type="http://schemas.microsoft.com/office/2011/relationships/chartStyle" Target="style11.xml" 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 /><Relationship Id="rId1" Type="http://schemas.microsoft.com/office/2011/relationships/chartStyle" Target="style12.xml" 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 /><Relationship Id="rId1" Type="http://schemas.microsoft.com/office/2011/relationships/chartStyle" Target="style13.xml" 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 /><Relationship Id="rId1" Type="http://schemas.microsoft.com/office/2011/relationships/chartStyle" Target="style14.xml" 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 /><Relationship Id="rId1" Type="http://schemas.microsoft.com/office/2011/relationships/chartStyle" Target="style15.xml" 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 /><Relationship Id="rId1" Type="http://schemas.microsoft.com/office/2011/relationships/chartStyle" Target="style16.xml" 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 /><Relationship Id="rId1" Type="http://schemas.microsoft.com/office/2011/relationships/chartStyle" Target="style17.xml" 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 /><Relationship Id="rId1" Type="http://schemas.microsoft.com/office/2011/relationships/chartStyle" Target="style18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Growth of Gross</a:t>
            </a:r>
            <a:r>
              <a:rPr lang="en-CA" baseline="0"/>
              <a:t> Recurring Margin</a:t>
            </a:r>
            <a:endParaRPr lang="en-CA"/>
          </a:p>
        </c:rich>
      </c:tx>
      <c:layout>
        <c:manualLayout>
          <c:xMode val="edge"/>
          <c:yMode val="edge"/>
          <c:x val="0.23269911213849934"/>
          <c:y val="1.6877637130801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68561602902167"/>
          <c:y val="0.1391092152771092"/>
          <c:w val="0.87578486777035691"/>
          <c:h val="0.6493708539597107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215-476B-B924-AF66FF42FFC0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215-476B-B924-AF66FF42FFC0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215-476B-B924-AF66FF42FFC0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215-476B-B924-AF66FF42FFC0}"/>
              </c:ext>
            </c:extLst>
          </c:dPt>
          <c:dLbls>
            <c:dLbl>
              <c:idx val="15"/>
              <c:layout>
                <c:manualLayout>
                  <c:x val="-2.6631158455392809E-2"/>
                  <c:y val="-3.7505854752523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D-4EE9-B8C5-B0C9F056CA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Summary!$C$89:$AD$90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Summary!$C$100:$AD$100</c:f>
              <c:numCache>
                <c:formatCode>General</c:formatCode>
                <c:ptCount val="24"/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15-476B-B924-AF66FF42F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0784"/>
        <c:axId val="-1584435680"/>
      </c:lineChart>
      <c:catAx>
        <c:axId val="-158443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5680"/>
        <c:crosses val="autoZero"/>
        <c:auto val="1"/>
        <c:lblAlgn val="ctr"/>
        <c:lblOffset val="100"/>
        <c:noMultiLvlLbl val="0"/>
      </c:catAx>
      <c:valAx>
        <c:axId val="-15844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7AB-4242-B5BC-603C8B2C1E93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7AB-4242-B5BC-603C8B2C1E93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7AB-4242-B5BC-603C8B2C1E93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7AB-4242-B5BC-603C8B2C1E93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7AB-4242-B5BC-603C8B2C1E93}"/>
              </c:ext>
            </c:extLst>
          </c:dPt>
          <c:dLbls>
            <c:dLbl>
              <c:idx val="15"/>
              <c:layout>
                <c:manualLayout>
                  <c:x val="-3.1914893617021406E-2"/>
                  <c:y val="3.3613445378151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5-4BF1-88A6-E777BBB947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Adjusted!$M$26:$AN$26</c:f>
              <c:numCache>
                <c:formatCode>_(* #,##0.00_);_(* \(#,##0.00\);_(*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AB-4242-B5BC-603C8B2C1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42208"/>
        <c:axId val="-1584432416"/>
      </c:lineChart>
      <c:catAx>
        <c:axId val="-158444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2416"/>
        <c:crosses val="autoZero"/>
        <c:auto val="1"/>
        <c:lblAlgn val="ctr"/>
        <c:lblOffset val="100"/>
        <c:noMultiLvlLbl val="0"/>
      </c:catAx>
      <c:valAx>
        <c:axId val="-15844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EV / Gross Rec.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FC2-44F8-A9EC-10DC8C3F2E8E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FC2-44F8-A9EC-10DC8C3F2E8E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FC2-44F8-A9EC-10DC8C3F2E8E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FC2-44F8-A9EC-10DC8C3F2E8E}"/>
              </c:ext>
            </c:extLst>
          </c:dPt>
          <c:dLbls>
            <c:dLbl>
              <c:idx val="1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C2-44F8-A9EC-10DC8C3F2E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Summary!$C$89:$Z$90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Summary!$C$112:$Z$112</c:f>
              <c:numCache>
                <c:formatCode>_(* #,##0.00_);_(* \(#,##0.00\);_(* "-"??_);_(@_)</c:formatCode>
                <c:ptCount val="20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C2-44F8-A9EC-10DC8C3F2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4592"/>
        <c:axId val="-1584440032"/>
      </c:lineChart>
      <c:catAx>
        <c:axId val="-15844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0032"/>
        <c:crosses val="autoZero"/>
        <c:auto val="1"/>
        <c:lblAlgn val="ctr"/>
        <c:lblOffset val="100"/>
        <c:noMultiLvlLbl val="0"/>
      </c:catAx>
      <c:valAx>
        <c:axId val="-15844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RGM Growth over Time</a:t>
            </a:r>
            <a:endParaRPr lang="en-CA"/>
          </a:p>
        </c:rich>
      </c:tx>
      <c:layout>
        <c:manualLayout>
          <c:xMode val="edge"/>
          <c:yMode val="edge"/>
          <c:x val="0.20469768981580008"/>
          <c:y val="1.612888814430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37-46B9-BA8A-06357B264B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Adjusted!$U$119:$AC$119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Adjusted!$U$96:$AC$96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9C-4CB1-9052-819999CB7ED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Summary!$H$160:$H$172</c:f>
              <c:numCache>
                <c:formatCode>#,##0.00</c:formatCode>
                <c:ptCount val="13"/>
                <c:pt idx="0">
                  <c:v>3.6843716665868116</c:v>
                </c:pt>
                <c:pt idx="1">
                  <c:v>4.0478666935190901</c:v>
                </c:pt>
                <c:pt idx="2">
                  <c:v>6.4794783138409455</c:v>
                </c:pt>
                <c:pt idx="3">
                  <c:v>7.8210592550965607</c:v>
                </c:pt>
                <c:pt idx="4">
                  <c:v>9.4404155564603549</c:v>
                </c:pt>
                <c:pt idx="5">
                  <c:v>11.395060818722611</c:v>
                </c:pt>
                <c:pt idx="6">
                  <c:v>13.754416877711364</c:v>
                </c:pt>
                <c:pt idx="7">
                  <c:v>16.602279413465983</c:v>
                </c:pt>
                <c:pt idx="8">
                  <c:v>20.039794065676169</c:v>
                </c:pt>
                <c:pt idx="9">
                  <c:v>24.189048756099151</c:v>
                </c:pt>
                <c:pt idx="10">
                  <c:v>29.197409804081211</c:v>
                </c:pt>
                <c:pt idx="11">
                  <c:v>35.242755838114817</c:v>
                </c:pt>
                <c:pt idx="12">
                  <c:v>42.539795392787312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9C-4CB1-9052-819999CB7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 History'!$A$2</c:f>
          <c:strCache>
            <c:ptCount val="1"/>
            <c:pt idx="0">
              <c:v>AQN</c:v>
            </c:pt>
          </c:strCache>
        </c:strRef>
      </c:tx>
      <c:layout>
        <c:manualLayout>
          <c:xMode val="edge"/>
          <c:yMode val="edge"/>
          <c:x val="0.44799491579281991"/>
          <c:y val="5.9863932751849314E-2"/>
        </c:manualLayout>
      </c:layout>
      <c:overlay val="1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36272668826665E-2"/>
          <c:y val="3.0210900108074725E-2"/>
          <c:w val="0.92610635300711341"/>
          <c:h val="0.748000751532956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'Price History'!$G$7689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dPt>
            <c:idx val="6007"/>
            <c:marker>
              <c:symbol val="diamond"/>
              <c:size val="7"/>
              <c:spPr>
                <a:solidFill>
                  <a:schemeClr val="accent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A3C-45EB-9833-B917FAFCCACE}"/>
              </c:ext>
            </c:extLst>
          </c:dPt>
          <c:xVal>
            <c:numRef>
              <c:f>'Price History'!$B$7690:$B$7690</c:f>
              <c:numCache>
                <c:formatCode>General</c:formatCode>
                <c:ptCount val="1"/>
              </c:numCache>
            </c:numRef>
          </c:xVal>
          <c:yVal>
            <c:numRef>
              <c:f>'Price History'!$G$7690:$G$7690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3C-45EB-9833-B917FAFCCACE}"/>
            </c:ext>
          </c:extLst>
        </c:ser>
        <c:ser>
          <c:idx val="4"/>
          <c:order val="1"/>
          <c:tx>
            <c:strRef>
              <c:f>'Price History'!$K$5</c:f>
              <c:strCache>
                <c:ptCount val="1"/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'Price History'!$B$7690:$B$7690</c:f>
              <c:numCache>
                <c:formatCode>General</c:formatCode>
                <c:ptCount val="1"/>
              </c:numCache>
            </c:numRef>
          </c:xVal>
          <c:yVal>
            <c:numRef>
              <c:f>'Price History'!$K$6:$K$6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3C-45EB-9833-B917FAFCCACE}"/>
            </c:ext>
          </c:extLst>
        </c:ser>
        <c:ser>
          <c:idx val="3"/>
          <c:order val="2"/>
          <c:tx>
            <c:v>Model Price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Adjusted!$E$4:$AR$4</c:f>
              <c:numCache>
                <c:formatCode>d\-mmm\-yy</c:formatCode>
                <c:ptCount val="40"/>
                <c:pt idx="0">
                  <c:v>40633</c:v>
                </c:pt>
                <c:pt idx="1">
                  <c:v>40724</c:v>
                </c:pt>
                <c:pt idx="2">
                  <c:v>40816</c:v>
                </c:pt>
                <c:pt idx="3">
                  <c:v>40908</c:v>
                </c:pt>
                <c:pt idx="4">
                  <c:v>40999</c:v>
                </c:pt>
                <c:pt idx="5">
                  <c:v>41090</c:v>
                </c:pt>
                <c:pt idx="6">
                  <c:v>41182</c:v>
                </c:pt>
                <c:pt idx="7">
                  <c:v>41274</c:v>
                </c:pt>
                <c:pt idx="8">
                  <c:v>41364</c:v>
                </c:pt>
                <c:pt idx="9">
                  <c:v>41455</c:v>
                </c:pt>
                <c:pt idx="10">
                  <c:v>41547</c:v>
                </c:pt>
                <c:pt idx="11">
                  <c:v>41639</c:v>
                </c:pt>
                <c:pt idx="12">
                  <c:v>41729</c:v>
                </c:pt>
                <c:pt idx="13">
                  <c:v>41820</c:v>
                </c:pt>
                <c:pt idx="14">
                  <c:v>41912</c:v>
                </c:pt>
                <c:pt idx="15">
                  <c:v>42004</c:v>
                </c:pt>
                <c:pt idx="16">
                  <c:v>42094</c:v>
                </c:pt>
                <c:pt idx="17">
                  <c:v>42185</c:v>
                </c:pt>
                <c:pt idx="18">
                  <c:v>42277</c:v>
                </c:pt>
                <c:pt idx="19">
                  <c:v>42369</c:v>
                </c:pt>
                <c:pt idx="20">
                  <c:v>42460</c:v>
                </c:pt>
                <c:pt idx="21">
                  <c:v>42551</c:v>
                </c:pt>
                <c:pt idx="22">
                  <c:v>42643</c:v>
                </c:pt>
                <c:pt idx="23">
                  <c:v>42735</c:v>
                </c:pt>
                <c:pt idx="24">
                  <c:v>42825</c:v>
                </c:pt>
                <c:pt idx="25">
                  <c:v>42916</c:v>
                </c:pt>
                <c:pt idx="26">
                  <c:v>43008</c:v>
                </c:pt>
                <c:pt idx="27">
                  <c:v>43100</c:v>
                </c:pt>
                <c:pt idx="28">
                  <c:v>43190</c:v>
                </c:pt>
                <c:pt idx="29">
                  <c:v>43281</c:v>
                </c:pt>
                <c:pt idx="30">
                  <c:v>43373</c:v>
                </c:pt>
                <c:pt idx="31">
                  <c:v>43465</c:v>
                </c:pt>
                <c:pt idx="32">
                  <c:v>43555</c:v>
                </c:pt>
                <c:pt idx="33">
                  <c:v>43646</c:v>
                </c:pt>
                <c:pt idx="34">
                  <c:v>43738</c:v>
                </c:pt>
                <c:pt idx="35">
                  <c:v>43830</c:v>
                </c:pt>
                <c:pt idx="36">
                  <c:v>43921</c:v>
                </c:pt>
                <c:pt idx="37">
                  <c:v>44012</c:v>
                </c:pt>
                <c:pt idx="38">
                  <c:v>44104</c:v>
                </c:pt>
                <c:pt idx="39">
                  <c:v>44196</c:v>
                </c:pt>
              </c:numCache>
            </c:numRef>
          </c:xVal>
          <c:yVal>
            <c:numRef>
              <c:f>Adjusted!$E$137:$AR$137</c:f>
              <c:numCache>
                <c:formatCode>General</c:formatCode>
                <c:ptCount val="40"/>
                <c:pt idx="7" formatCode="_(&quot;$&quot;* #,##0.00_);_(&quot;$&quot;* \(#,##0.00\);_(&quot;$&quot;* &quot;-&quot;??_);_(@_)">
                  <c:v>0</c:v>
                </c:pt>
                <c:pt idx="8" formatCode="_(&quot;$&quot;* #,##0.00_);_(&quot;$&quot;* \(#,##0.00\);_(&quot;$&quot;* &quot;-&quot;??_);_(@_)">
                  <c:v>0</c:v>
                </c:pt>
                <c:pt idx="9" formatCode="_(&quot;$&quot;* #,##0.00_);_(&quot;$&quot;* \(#,##0.00\);_(&quot;$&quot;* &quot;-&quot;??_);_(@_)">
                  <c:v>0</c:v>
                </c:pt>
                <c:pt idx="10" formatCode="_(&quot;$&quot;* #,##0.00_);_(&quot;$&quot;* \(#,##0.00\);_(&quot;$&quot;* &quot;-&quot;??_);_(@_)">
                  <c:v>0</c:v>
                </c:pt>
                <c:pt idx="11" formatCode="_(&quot;$&quot;* #,##0.00_);_(&quot;$&quot;* \(#,##0.00\);_(&quot;$&quot;* &quot;-&quot;??_);_(@_)">
                  <c:v>0</c:v>
                </c:pt>
                <c:pt idx="12" formatCode="_(&quot;$&quot;* #,##0.00_);_(&quot;$&quot;* \(#,##0.00\);_(&quot;$&quot;* &quot;-&quot;??_);_(@_)">
                  <c:v>0</c:v>
                </c:pt>
                <c:pt idx="13" formatCode="_(&quot;$&quot;* #,##0.00_);_(&quot;$&quot;* \(#,##0.00\);_(&quot;$&quot;* &quot;-&quot;??_);_(@_)">
                  <c:v>0</c:v>
                </c:pt>
                <c:pt idx="14" formatCode="_(&quot;$&quot;* #,##0.00_);_(&quot;$&quot;* \(#,##0.00\);_(&quot;$&quot;* &quot;-&quot;??_);_(@_)">
                  <c:v>0</c:v>
                </c:pt>
                <c:pt idx="15" formatCode="_(&quot;$&quot;* #,##0.00_);_(&quot;$&quot;* \(#,##0.00\);_(&quot;$&quot;* &quot;-&quot;??_);_(@_)">
                  <c:v>0</c:v>
                </c:pt>
                <c:pt idx="16" formatCode="_(&quot;$&quot;* #,##0.00_);_(&quot;$&quot;* \(#,##0.00\);_(&quot;$&quot;* &quot;-&quot;??_);_(@_)">
                  <c:v>0</c:v>
                </c:pt>
                <c:pt idx="17" formatCode="_(&quot;$&quot;* #,##0.00_);_(&quot;$&quot;* \(#,##0.00\);_(&quot;$&quot;* &quot;-&quot;??_);_(@_)">
                  <c:v>0</c:v>
                </c:pt>
                <c:pt idx="18" formatCode="_(&quot;$&quot;* #,##0.00_);_(&quot;$&quot;* \(#,##0.00\);_(&quot;$&quot;* &quot;-&quot;??_);_(@_)">
                  <c:v>0</c:v>
                </c:pt>
                <c:pt idx="19" formatCode="_(&quot;$&quot;* #,##0.00_);_(&quot;$&quot;* \(#,##0.00\);_(&quot;$&quot;* &quot;-&quot;??_);_(@_)">
                  <c:v>0</c:v>
                </c:pt>
                <c:pt idx="20" formatCode="_(&quot;$&quot;* #,##0.00_);_(&quot;$&quot;* \(#,##0.00\);_(&quot;$&quot;* &quot;-&quot;??_);_(@_)">
                  <c:v>0</c:v>
                </c:pt>
                <c:pt idx="21" formatCode="_(&quot;$&quot;* #,##0.00_);_(&quot;$&quot;* \(#,##0.00\);_(&quot;$&quot;* &quot;-&quot;??_);_(@_)">
                  <c:v>0</c:v>
                </c:pt>
                <c:pt idx="22" formatCode="_(&quot;$&quot;* #,##0.00_);_(&quot;$&quot;* \(#,##0.00\);_(&quot;$&quot;* &quot;-&quot;??_);_(@_)">
                  <c:v>0</c:v>
                </c:pt>
                <c:pt idx="23" formatCode="_(&quot;$&quot;* #,##0.00_);_(&quot;$&quot;* \(#,##0.00\);_(&quot;$&quot;* &quot;-&quot;??_);_(@_)">
                  <c:v>0</c:v>
                </c:pt>
                <c:pt idx="24" formatCode="_(&quot;$&quot;* #,##0.00_);_(&quot;$&quot;* \(#,##0.00\);_(&quot;$&quot;* &quot;-&quot;??_);_(@_)">
                  <c:v>0</c:v>
                </c:pt>
                <c:pt idx="25" formatCode="_(&quot;$&quot;* #,##0.00_);_(&quot;$&quot;* \(#,##0.00\);_(&quot;$&quot;* &quot;-&quot;??_);_(@_)">
                  <c:v>0</c:v>
                </c:pt>
                <c:pt idx="26" formatCode="_(&quot;$&quot;* #,##0.00_);_(&quot;$&quot;* \(#,##0.00\);_(&quot;$&quot;* &quot;-&quot;??_);_(@_)">
                  <c:v>0</c:v>
                </c:pt>
                <c:pt idx="27" formatCode="_(&quot;$&quot;* #,##0.00_);_(&quot;$&quot;* \(#,##0.00\);_(&quot;$&quot;* &quot;-&quot;??_);_(@_)">
                  <c:v>0</c:v>
                </c:pt>
                <c:pt idx="28" formatCode="_(&quot;$&quot;* #,##0.00_);_(&quot;$&quot;* \(#,##0.00\);_(&quot;$&quot;* &quot;-&quot;??_);_(@_)">
                  <c:v>0</c:v>
                </c:pt>
                <c:pt idx="29" formatCode="_(&quot;$&quot;* #,##0.00_);_(&quot;$&quot;* \(#,##0.00\);_(&quot;$&quot;* &quot;-&quot;??_);_(@_)">
                  <c:v>0</c:v>
                </c:pt>
                <c:pt idx="30" formatCode="_(&quot;$&quot;* #,##0.00_);_(&quot;$&quot;* \(#,##0.00\);_(&quot;$&quot;* &quot;-&quot;??_);_(@_)">
                  <c:v>0</c:v>
                </c:pt>
                <c:pt idx="31" formatCode="_(&quot;$&quot;* #,##0.00_);_(&quot;$&quot;* \(#,##0.00\);_(&quot;$&quot;* &quot;-&quot;??_);_(@_)">
                  <c:v>0</c:v>
                </c:pt>
                <c:pt idx="32" formatCode="_(&quot;$&quot;* #,##0.00_);_(&quot;$&quot;* \(#,##0.00\);_(&quot;$&quot;* &quot;-&quot;??_);_(@_)">
                  <c:v>0</c:v>
                </c:pt>
                <c:pt idx="33" formatCode="_(&quot;$&quot;* #,##0.00_);_(&quot;$&quot;* \(#,##0.00\);_(&quot;$&quot;* &quot;-&quot;??_);_(@_)">
                  <c:v>0</c:v>
                </c:pt>
                <c:pt idx="34" formatCode="_(&quot;$&quot;* #,##0.00_);_(&quot;$&quot;* \(#,##0.00\);_(&quot;$&quot;* &quot;-&quot;??_);_(@_)">
                  <c:v>0</c:v>
                </c:pt>
                <c:pt idx="35" formatCode="_(&quot;$&quot;* #,##0.00_);_(&quot;$&quot;* \(#,##0.00\);_(&quot;$&quot;* &quot;-&quot;??_);_(@_)">
                  <c:v>0</c:v>
                </c:pt>
                <c:pt idx="36" formatCode="_(&quot;$&quot;* #,##0.00_);_(&quot;$&quot;* \(#,##0.00\);_(&quot;$&quot;* &quot;-&quot;??_);_(@_)">
                  <c:v>0</c:v>
                </c:pt>
                <c:pt idx="37" formatCode="_(&quot;$&quot;* #,##0.00_);_(&quot;$&quot;* \(#,##0.00\);_(&quot;$&quot;* &quot;-&quot;??_);_(@_)">
                  <c:v>0</c:v>
                </c:pt>
                <c:pt idx="38" formatCode="_(&quot;$&quot;* #,##0.00_);_(&quot;$&quot;* \(#,##0.00\);_(&quot;$&quot;* &quot;-&quot;??_);_(@_)">
                  <c:v>0</c:v>
                </c:pt>
                <c:pt idx="39" formatCode="_(&quot;$&quot;* #,##0.00_);_(&quot;$&quot;* \(#,##0.00\);_(&quot;$&quot;* &quot;-&quot;??_);_(@_)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3C-45EB-9833-B917FAFCCACE}"/>
            </c:ext>
          </c:extLst>
        </c:ser>
        <c:ser>
          <c:idx val="2"/>
          <c:order val="3"/>
          <c:tx>
            <c:v>Targets</c:v>
          </c:tx>
          <c:spPr>
            <a:ln>
              <a:noFill/>
            </a:ln>
          </c:spPr>
          <c:marker>
            <c:symbol val="diamond"/>
            <c:size val="5"/>
            <c:spPr>
              <a:solidFill>
                <a:schemeClr val="accent2"/>
              </a:solidFill>
            </c:spPr>
          </c:marker>
          <c:xVal>
            <c:numRef>
              <c:f>Summary!$U$4:$U$17</c:f>
              <c:numCache>
                <c:formatCode>d\-mmm\-yy</c:formatCode>
                <c:ptCount val="14"/>
                <c:pt idx="0">
                  <c:v>43281</c:v>
                </c:pt>
              </c:numCache>
            </c:numRef>
          </c:xVal>
          <c:yVal>
            <c:numRef>
              <c:f>Summary!$V$4:$V$17</c:f>
              <c:numCache>
                <c:formatCode>_("$"* #,##0.00_);_("$"* \(#,##0.00\);_("$"*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3C-45EB-9833-B917FAFC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3275104"/>
        <c:axId val="-1688496784"/>
      </c:scatterChart>
      <c:valAx>
        <c:axId val="-1893275104"/>
        <c:scaling>
          <c:orientation val="minMax"/>
          <c:max val="44000"/>
          <c:min val="42000"/>
        </c:scaling>
        <c:delete val="0"/>
        <c:axPos val="b"/>
        <c:majorGridlines/>
        <c:numFmt formatCode="m/d/yyyy" sourceLinked="0"/>
        <c:majorTickMark val="out"/>
        <c:minorTickMark val="in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-1688496784"/>
        <c:crosses val="autoZero"/>
        <c:crossBetween val="midCat"/>
        <c:majorUnit val="90"/>
        <c:minorUnit val="30"/>
      </c:valAx>
      <c:valAx>
        <c:axId val="-1688496784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893275104"/>
        <c:crossesAt val="41973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>
      <a:solidFill>
        <a:schemeClr val="tx1"/>
      </a:solidFill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EBITDA Growth over Time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24-42D4-A326-E4F7158CE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Adjusted!$U$129:$AC$129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Adjusted!$U$97:$AC$97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4-42D4-A326-E4F7158CE9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Summary!$I$160:$I$172</c:f>
              <c:numCache>
                <c:formatCode>#,##0.00</c:formatCode>
                <c:ptCount val="13"/>
                <c:pt idx="0">
                  <c:v>12.182493960703473</c:v>
                </c:pt>
                <c:pt idx="1">
                  <c:v>13.599050851830924</c:v>
                </c:pt>
                <c:pt idx="2">
                  <c:v>23.570595929068126</c:v>
                </c:pt>
                <c:pt idx="3">
                  <c:v>29.370771113289432</c:v>
                </c:pt>
                <c:pt idx="4">
                  <c:v>36.598234443677988</c:v>
                </c:pt>
                <c:pt idx="5">
                  <c:v>45.604208320848748</c:v>
                </c:pt>
                <c:pt idx="6">
                  <c:v>56.826342805469025</c:v>
                </c:pt>
                <c:pt idx="7">
                  <c:v>70.809983454276548</c:v>
                </c:pt>
                <c:pt idx="8">
                  <c:v>88.23467267565151</c:v>
                </c:pt>
                <c:pt idx="9">
                  <c:v>109.94717245212352</c:v>
                </c:pt>
                <c:pt idx="10">
                  <c:v>137.00261318646898</c:v>
                </c:pt>
                <c:pt idx="11">
                  <c:v>170.71576832132297</c:v>
                </c:pt>
                <c:pt idx="12">
                  <c:v>212.72494644954682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24-42D4-A326-E4F7158CE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P&amp;L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Adjusted!$B$49</c:f>
              <c:strCache>
                <c:ptCount val="1"/>
                <c:pt idx="0">
                  <c:v>Total Cost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Adjusted!$Q$50:$AN$50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9-445E-AEDE-3A38BCFCFB21}"/>
            </c:ext>
          </c:extLst>
        </c:ser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Adjusted!$Q$59:$AN$59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9-445E-AEDE-3A38BCFCFB2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Adjusted!$Q$60:$AN$60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9-445E-AEDE-3A38BCFCFB2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Adjusted!$Q$61:$AN$61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9-445E-AEDE-3A38BCFCFB21}"/>
            </c:ext>
          </c:extLst>
        </c:ser>
        <c:ser>
          <c:idx val="4"/>
          <c:order val="4"/>
          <c:tx>
            <c:strRef>
              <c:f>Adjusted!$A$74</c:f>
              <c:strCache>
                <c:ptCount val="1"/>
                <c:pt idx="0">
                  <c:v>Adjusted EBITDA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Adjusted!$Q$74:$AN$74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9-445E-AEDE-3A38BCFCF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1273551"/>
        <c:axId val="1619242511"/>
      </c:barChart>
      <c:catAx>
        <c:axId val="83127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42511"/>
        <c:crosses val="autoZero"/>
        <c:auto val="1"/>
        <c:lblAlgn val="ctr"/>
        <c:lblOffset val="100"/>
        <c:noMultiLvlLbl val="0"/>
      </c:catAx>
      <c:valAx>
        <c:axId val="161924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27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Adjusted!$B$52</c:f>
              <c:strCache>
                <c:ptCount val="1"/>
                <c:pt idx="0">
                  <c:v>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29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Adjusted!$I$52:$AN$52</c:f>
              <c:numCache>
                <c:formatCode>_-* #,##0_-;\-* #,##0_-;_-* "-"??_-;_-@_-</c:formatCode>
                <c:ptCount val="32"/>
                <c:pt idx="0" formatCode="_(* #,##0_);_(* \(#,##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9-4400-9506-E2A31C5181B9}"/>
            </c:ext>
          </c:extLst>
        </c:ser>
        <c:ser>
          <c:idx val="1"/>
          <c:order val="1"/>
          <c:tx>
            <c:strRef>
              <c:f>Adjusted!$A$62</c:f>
              <c:strCache>
                <c:ptCount val="1"/>
                <c:pt idx="0">
                  <c:v>Total Overhead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29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Adjusted!$I$62:$AN$62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9-4400-9506-E2A31C51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Share Price and Valuation Forecasts</a:t>
            </a:r>
          </a:p>
        </c:rich>
      </c:tx>
      <c:layout>
        <c:manualLayout>
          <c:xMode val="edge"/>
          <c:yMode val="edge"/>
          <c:x val="0.27547296587926512"/>
          <c:y val="1.69984463966463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0.11592626904940956"/>
          <c:w val="0.81395660384080948"/>
          <c:h val="0.60910313062040178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 EBITDA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6-4732-9188-9B68654AF43A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6-4732-9188-9B68654AF43A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 RGM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F6-4732-9188-9B68654AF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GRM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2"/>
          <c:order val="2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A16-B23F-B1DC188F39B6}"/>
            </c:ext>
          </c:extLst>
        </c:ser>
        <c:ser>
          <c:idx val="3"/>
          <c:order val="3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1"/>
          <c:order val="0"/>
          <c:tx>
            <c:v>Net GRM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Adjusted!$Q$119:$AF$119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2-4A16-B23F-B1DC188F39B6}"/>
            </c:ext>
          </c:extLst>
        </c:ser>
        <c:ser>
          <c:idx val="0"/>
          <c:order val="1"/>
          <c:tx>
            <c:v>Gross GRM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Adjusted!$Q$115:$AF$115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EBITDA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3"/>
          <c:order val="2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5-47FC-A2B1-0A73A469455F}"/>
            </c:ext>
          </c:extLst>
        </c:ser>
        <c:ser>
          <c:idx val="2"/>
          <c:order val="3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0"/>
          <c:order val="0"/>
          <c:tx>
            <c:v>Gross EBITDA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Adjusted!$Q$125:$AF$125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85-47FC-A2B1-0A73A469455F}"/>
            </c:ext>
          </c:extLst>
        </c:ser>
        <c:ser>
          <c:idx val="1"/>
          <c:order val="1"/>
          <c:tx>
            <c:v>Net EBITDA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Adjusted!$Q$129:$AF$129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% GRM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% Selling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29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Adjusted!$M$66:$AN$66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86-822E-A895154D3E6E}"/>
            </c:ext>
          </c:extLst>
        </c:ser>
        <c:ser>
          <c:idx val="2"/>
          <c:order val="2"/>
          <c:tx>
            <c:v>% R&amp;D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Adjusted!$M$67:$AN$67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86-822E-A895154D3E6E}"/>
            </c:ext>
          </c:extLst>
        </c:ser>
        <c:ser>
          <c:idx val="3"/>
          <c:order val="3"/>
          <c:tx>
            <c:v>% G&amp;A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Adjusted!$M$68:$AN$68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v>% RGM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Adjusted!$M$56:$AN$56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  <c:pt idx="24" formatCode="0%">
                  <c:v>0</c:v>
                </c:pt>
                <c:pt idx="25" formatCode="0%">
                  <c:v>0</c:v>
                </c:pt>
                <c:pt idx="26" formatCode="0%">
                  <c:v>0</c:v>
                </c:pt>
                <c:pt idx="27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29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Adjusted!$M$59:$AN$59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0-4908-A12C-886314075E8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Adjusted!$M$60:$AN$60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B0-4908-A12C-886314075E8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Adjusted!$M$61:$AN$61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strRef>
              <c:f>Adjusted!$B$56</c:f>
              <c:strCache>
                <c:ptCount val="1"/>
                <c:pt idx="0">
                  <c:v>% 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Adjusted!$M$54:$AN$54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SHARE PRICE</a:t>
            </a:r>
          </a:p>
        </c:rich>
      </c:tx>
      <c:layout>
        <c:manualLayout>
          <c:xMode val="edge"/>
          <c:yMode val="edge"/>
          <c:x val="0.4209275424282372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8.6107258980687121E-2"/>
          <c:w val="0.81395660384080948"/>
          <c:h val="0.63892192580405049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 EBITDA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A-46B9-8CCB-0F09AFB1FF18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A-46B9-8CCB-0F09AFB1FF18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 RGM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A-46B9-8CCB-0F09AFB1F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142403656736953E-2"/>
          <c:y val="0.12304880307431967"/>
          <c:w val="0.88062282050532215"/>
          <c:h val="0.7445915061235354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54-49DC-9BAF-12F919415181}"/>
              </c:ext>
            </c:extLst>
          </c:dPt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39-4AFB-A91C-4DB6DEC13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Adjusted!$M$215:$AN$215</c:f>
              <c:numCache>
                <c:formatCode>_(* #,##0.00_);_(* \(#,##0.00\);_(* "-"??_);_(@_)</c:formatCode>
                <c:ptCount val="28"/>
                <c:pt idx="8" formatCode="_-* #,##0_-;\-* #,##0_-;_-* &quot;-&quot;??_-;_-@_-">
                  <c:v>0</c:v>
                </c:pt>
                <c:pt idx="9" formatCode="_-* #,##0_-;\-* #,##0_-;_-* &quot;-&quot;??_-;_-@_-">
                  <c:v>0</c:v>
                </c:pt>
                <c:pt idx="10" formatCode="_-* #,##0_-;\-* #,##0_-;_-* &quot;-&quot;??_-;_-@_-">
                  <c:v>0</c:v>
                </c:pt>
                <c:pt idx="11" formatCode="_-* #,##0_-;\-* #,##0_-;_-* &quot;-&quot;??_-;_-@_-">
                  <c:v>0</c:v>
                </c:pt>
                <c:pt idx="12" formatCode="_-* #,##0_-;\-* #,##0_-;_-* &quot;-&quot;??_-;_-@_-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54-49DC-9BAF-12F91941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9856"/>
        <c:axId val="-1574408224"/>
      </c:lineChart>
      <c:catAx>
        <c:axId val="-157440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8224"/>
        <c:crosses val="autoZero"/>
        <c:auto val="1"/>
        <c:lblAlgn val="ctr"/>
        <c:lblOffset val="100"/>
        <c:noMultiLvlLbl val="0"/>
      </c:catAx>
      <c:valAx>
        <c:axId val="-15744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Adjusted!$M$59:$AJ$59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Adjusted!$M$66:$AJ$66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4000"/>
        </c:scaling>
        <c:delete val="0"/>
        <c:axPos val="r"/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R&amp;D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Adjusted!$M$2:$AF$3</c:f>
              <c:multiLvlStrCache>
                <c:ptCount val="17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Adjusted!$M$60:$AJ$60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Adjusted!$M$67:$AJ$67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G&amp;A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Adjusted!$M$61:$AJ$61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Adjusted!$M$68:$AJ$68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Sequential</a:t>
            </a:r>
            <a:r>
              <a:rPr lang="en-CA" baseline="0"/>
              <a:t> Subscription Growth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Adjusted!$M$25:$AJ$25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1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Adjusted!$M$27:$AJ$27</c:f>
              <c:numCache>
                <c:formatCode>0%</c:formatCode>
                <c:ptCount val="24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Adjusted!$B$6</c:f>
          <c:strCache>
            <c:ptCount val="1"/>
            <c:pt idx="0">
              <c:v>Selling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Adjusted!$B$6</c:f>
              <c:strCache>
                <c:ptCount val="1"/>
                <c:pt idx="0">
                  <c:v>Selling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2"/>
            <c:marker>
              <c:symbol val="diamond"/>
              <c:size val="6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3B2-4A50-9E24-D6ED5F731F9C}"/>
              </c:ext>
            </c:extLst>
          </c:dPt>
          <c:cat>
            <c:multiLvlStrRef>
              <c:f>Adjusted!$Q$2:$AR$3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Adjusted!$Q$7:$AR$7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0-4CE4-8934-0E24CFFECF89}"/>
            </c:ext>
          </c:extLst>
        </c:ser>
        <c:ser>
          <c:idx val="1"/>
          <c:order val="1"/>
          <c:tx>
            <c:v>Trend 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380-4CE4-8934-0E24CFFECF89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F380-4CE4-8934-0E24CFFECF89}"/>
              </c:ext>
            </c:extLst>
          </c:dPt>
          <c:cat>
            <c:multiLvlStrRef>
              <c:f>Adjusted!$Q$2:$AR$3</c:f>
              <c:multiLvlStrCache>
                <c:ptCount val="2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Adjusted!$Q$6:$AR$6</c:f>
              <c:numCache>
                <c:formatCode>_-* #,##0_-;\-* #,##0_-;_-* "-"??_-;_-@_-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1.0573712634405641</c:v>
                </c:pt>
                <c:pt idx="13">
                  <c:v>1.1180339887498947</c:v>
                </c:pt>
                <c:pt idx="14">
                  <c:v>1.1821770112539696</c:v>
                </c:pt>
                <c:pt idx="15">
                  <c:v>1.2499999999999998</c:v>
                </c:pt>
                <c:pt idx="16">
                  <c:v>1.3170635932579369</c:v>
                </c:pt>
                <c:pt idx="17">
                  <c:v>1.387725206948407</c:v>
                </c:pt>
                <c:pt idx="18">
                  <c:v>1.4621778780144667</c:v>
                </c:pt>
                <c:pt idx="19">
                  <c:v>1.5406249999999995</c:v>
                </c:pt>
                <c:pt idx="20">
                  <c:v>1.6178953340645457</c:v>
                </c:pt>
                <c:pt idx="21">
                  <c:v>1.6990411761381445</c:v>
                </c:pt>
                <c:pt idx="22">
                  <c:v>1.7842569030474276</c:v>
                </c:pt>
                <c:pt idx="23">
                  <c:v>1.8737466406250001</c:v>
                </c:pt>
                <c:pt idx="24">
                  <c:v>1.9615739582923801</c:v>
                </c:pt>
                <c:pt idx="25">
                  <c:v>2.0535179679187512</c:v>
                </c:pt>
                <c:pt idx="26">
                  <c:v>2.1497716294297411</c:v>
                </c:pt>
                <c:pt idx="27">
                  <c:v>2.2505369472782997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80-4CE4-8934-0E24CFFEC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5084096"/>
        <c:axId val="345474416"/>
      </c:lineChart>
      <c:catAx>
        <c:axId val="6750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74416"/>
        <c:crosses val="autoZero"/>
        <c:auto val="1"/>
        <c:lblAlgn val="ctr"/>
        <c:lblOffset val="100"/>
        <c:noMultiLvlLbl val="0"/>
      </c:catAx>
      <c:valAx>
        <c:axId val="34547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History'!$F$4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'Price History'!$C$5:$C$4964</c:f>
              <c:numCache>
                <c:formatCode>m/d/yyyy\ h:mm</c:formatCode>
                <c:ptCount val="4960"/>
                <c:pt idx="0">
                  <c:v>41113</c:v>
                </c:pt>
                <c:pt idx="1">
                  <c:v>41114</c:v>
                </c:pt>
                <c:pt idx="2">
                  <c:v>41115</c:v>
                </c:pt>
                <c:pt idx="3">
                  <c:v>41116</c:v>
                </c:pt>
                <c:pt idx="4">
                  <c:v>41117</c:v>
                </c:pt>
                <c:pt idx="5">
                  <c:v>41120</c:v>
                </c:pt>
                <c:pt idx="6">
                  <c:v>41121</c:v>
                </c:pt>
                <c:pt idx="7">
                  <c:v>41122</c:v>
                </c:pt>
                <c:pt idx="8">
                  <c:v>41123</c:v>
                </c:pt>
                <c:pt idx="9">
                  <c:v>41124</c:v>
                </c:pt>
                <c:pt idx="10">
                  <c:v>41128</c:v>
                </c:pt>
                <c:pt idx="11">
                  <c:v>41129</c:v>
                </c:pt>
                <c:pt idx="12">
                  <c:v>41130</c:v>
                </c:pt>
                <c:pt idx="13">
                  <c:v>41131</c:v>
                </c:pt>
                <c:pt idx="14">
                  <c:v>41134</c:v>
                </c:pt>
                <c:pt idx="15">
                  <c:v>41135</c:v>
                </c:pt>
                <c:pt idx="16">
                  <c:v>41136</c:v>
                </c:pt>
                <c:pt idx="17">
                  <c:v>41137</c:v>
                </c:pt>
                <c:pt idx="18">
                  <c:v>41138</c:v>
                </c:pt>
                <c:pt idx="19">
                  <c:v>41141</c:v>
                </c:pt>
                <c:pt idx="20">
                  <c:v>41142</c:v>
                </c:pt>
                <c:pt idx="21">
                  <c:v>41143</c:v>
                </c:pt>
                <c:pt idx="22">
                  <c:v>41144</c:v>
                </c:pt>
                <c:pt idx="23">
                  <c:v>41145</c:v>
                </c:pt>
                <c:pt idx="24">
                  <c:v>41148</c:v>
                </c:pt>
                <c:pt idx="25">
                  <c:v>41149</c:v>
                </c:pt>
                <c:pt idx="26">
                  <c:v>41150</c:v>
                </c:pt>
                <c:pt idx="27">
                  <c:v>41151</c:v>
                </c:pt>
                <c:pt idx="28">
                  <c:v>41152</c:v>
                </c:pt>
                <c:pt idx="29">
                  <c:v>41156</c:v>
                </c:pt>
                <c:pt idx="30">
                  <c:v>41157</c:v>
                </c:pt>
                <c:pt idx="31">
                  <c:v>41158</c:v>
                </c:pt>
                <c:pt idx="32">
                  <c:v>41159</c:v>
                </c:pt>
                <c:pt idx="33">
                  <c:v>41162</c:v>
                </c:pt>
                <c:pt idx="34">
                  <c:v>41163</c:v>
                </c:pt>
                <c:pt idx="35">
                  <c:v>41164</c:v>
                </c:pt>
                <c:pt idx="36">
                  <c:v>41165</c:v>
                </c:pt>
                <c:pt idx="37">
                  <c:v>41166</c:v>
                </c:pt>
                <c:pt idx="38">
                  <c:v>41169</c:v>
                </c:pt>
                <c:pt idx="39">
                  <c:v>41170</c:v>
                </c:pt>
                <c:pt idx="40">
                  <c:v>41171</c:v>
                </c:pt>
                <c:pt idx="41">
                  <c:v>41172</c:v>
                </c:pt>
                <c:pt idx="42">
                  <c:v>41173</c:v>
                </c:pt>
                <c:pt idx="43">
                  <c:v>41176</c:v>
                </c:pt>
                <c:pt idx="44">
                  <c:v>41177</c:v>
                </c:pt>
                <c:pt idx="45">
                  <c:v>41178</c:v>
                </c:pt>
                <c:pt idx="46">
                  <c:v>41179</c:v>
                </c:pt>
                <c:pt idx="47">
                  <c:v>41180</c:v>
                </c:pt>
                <c:pt idx="48">
                  <c:v>41183</c:v>
                </c:pt>
                <c:pt idx="49">
                  <c:v>41184</c:v>
                </c:pt>
                <c:pt idx="50">
                  <c:v>41185</c:v>
                </c:pt>
                <c:pt idx="51">
                  <c:v>41186</c:v>
                </c:pt>
                <c:pt idx="52">
                  <c:v>41187</c:v>
                </c:pt>
                <c:pt idx="53">
                  <c:v>41191</c:v>
                </c:pt>
                <c:pt idx="54">
                  <c:v>41192</c:v>
                </c:pt>
                <c:pt idx="55">
                  <c:v>41193</c:v>
                </c:pt>
                <c:pt idx="56">
                  <c:v>41194</c:v>
                </c:pt>
                <c:pt idx="57">
                  <c:v>41197</c:v>
                </c:pt>
                <c:pt idx="58">
                  <c:v>41198</c:v>
                </c:pt>
                <c:pt idx="59">
                  <c:v>41199</c:v>
                </c:pt>
                <c:pt idx="60">
                  <c:v>41200</c:v>
                </c:pt>
                <c:pt idx="61">
                  <c:v>41201</c:v>
                </c:pt>
                <c:pt idx="62">
                  <c:v>41204</c:v>
                </c:pt>
                <c:pt idx="63">
                  <c:v>41205</c:v>
                </c:pt>
                <c:pt idx="64">
                  <c:v>41206</c:v>
                </c:pt>
                <c:pt idx="65">
                  <c:v>41207</c:v>
                </c:pt>
                <c:pt idx="66">
                  <c:v>41208</c:v>
                </c:pt>
                <c:pt idx="67">
                  <c:v>41211</c:v>
                </c:pt>
                <c:pt idx="68">
                  <c:v>41212</c:v>
                </c:pt>
                <c:pt idx="69">
                  <c:v>41213</c:v>
                </c:pt>
                <c:pt idx="70">
                  <c:v>41214</c:v>
                </c:pt>
                <c:pt idx="71">
                  <c:v>41215</c:v>
                </c:pt>
                <c:pt idx="72">
                  <c:v>41218</c:v>
                </c:pt>
                <c:pt idx="73">
                  <c:v>41219</c:v>
                </c:pt>
                <c:pt idx="74">
                  <c:v>41220</c:v>
                </c:pt>
                <c:pt idx="75">
                  <c:v>41221</c:v>
                </c:pt>
                <c:pt idx="76">
                  <c:v>41222</c:v>
                </c:pt>
                <c:pt idx="77">
                  <c:v>41225</c:v>
                </c:pt>
                <c:pt idx="78">
                  <c:v>41226</c:v>
                </c:pt>
                <c:pt idx="79">
                  <c:v>41227</c:v>
                </c:pt>
                <c:pt idx="80">
                  <c:v>41228</c:v>
                </c:pt>
                <c:pt idx="81">
                  <c:v>41229</c:v>
                </c:pt>
                <c:pt idx="82">
                  <c:v>41232</c:v>
                </c:pt>
                <c:pt idx="83">
                  <c:v>41233</c:v>
                </c:pt>
                <c:pt idx="84">
                  <c:v>41234</c:v>
                </c:pt>
                <c:pt idx="85">
                  <c:v>41235</c:v>
                </c:pt>
                <c:pt idx="86">
                  <c:v>41236</c:v>
                </c:pt>
                <c:pt idx="87">
                  <c:v>41239</c:v>
                </c:pt>
                <c:pt idx="88">
                  <c:v>41240</c:v>
                </c:pt>
                <c:pt idx="89">
                  <c:v>41241</c:v>
                </c:pt>
                <c:pt idx="90">
                  <c:v>41242</c:v>
                </c:pt>
                <c:pt idx="91">
                  <c:v>41243</c:v>
                </c:pt>
                <c:pt idx="92">
                  <c:v>41246</c:v>
                </c:pt>
                <c:pt idx="93">
                  <c:v>41247</c:v>
                </c:pt>
                <c:pt idx="94">
                  <c:v>41248</c:v>
                </c:pt>
                <c:pt idx="95">
                  <c:v>41249</c:v>
                </c:pt>
                <c:pt idx="96">
                  <c:v>41250</c:v>
                </c:pt>
                <c:pt idx="97">
                  <c:v>41253</c:v>
                </c:pt>
                <c:pt idx="98">
                  <c:v>41254</c:v>
                </c:pt>
                <c:pt idx="99">
                  <c:v>41255</c:v>
                </c:pt>
                <c:pt idx="100">
                  <c:v>41256</c:v>
                </c:pt>
                <c:pt idx="101">
                  <c:v>41257</c:v>
                </c:pt>
                <c:pt idx="102">
                  <c:v>41260</c:v>
                </c:pt>
                <c:pt idx="103">
                  <c:v>41261</c:v>
                </c:pt>
                <c:pt idx="104">
                  <c:v>41262</c:v>
                </c:pt>
                <c:pt idx="105">
                  <c:v>41263</c:v>
                </c:pt>
                <c:pt idx="106">
                  <c:v>41264</c:v>
                </c:pt>
                <c:pt idx="107">
                  <c:v>41267</c:v>
                </c:pt>
                <c:pt idx="108">
                  <c:v>41270</c:v>
                </c:pt>
                <c:pt idx="109">
                  <c:v>41271</c:v>
                </c:pt>
                <c:pt idx="110">
                  <c:v>41274</c:v>
                </c:pt>
                <c:pt idx="111">
                  <c:v>41276</c:v>
                </c:pt>
                <c:pt idx="112">
                  <c:v>41277</c:v>
                </c:pt>
                <c:pt idx="113">
                  <c:v>41278</c:v>
                </c:pt>
                <c:pt idx="114">
                  <c:v>41281</c:v>
                </c:pt>
                <c:pt idx="115">
                  <c:v>41282</c:v>
                </c:pt>
                <c:pt idx="116">
                  <c:v>41283</c:v>
                </c:pt>
                <c:pt idx="117">
                  <c:v>41284</c:v>
                </c:pt>
                <c:pt idx="118">
                  <c:v>41285</c:v>
                </c:pt>
                <c:pt idx="119">
                  <c:v>41288</c:v>
                </c:pt>
                <c:pt idx="120">
                  <c:v>41289</c:v>
                </c:pt>
                <c:pt idx="121">
                  <c:v>41290</c:v>
                </c:pt>
                <c:pt idx="122">
                  <c:v>41291</c:v>
                </c:pt>
                <c:pt idx="123">
                  <c:v>41292</c:v>
                </c:pt>
                <c:pt idx="124">
                  <c:v>41295</c:v>
                </c:pt>
                <c:pt idx="125">
                  <c:v>41296</c:v>
                </c:pt>
                <c:pt idx="126">
                  <c:v>41297</c:v>
                </c:pt>
                <c:pt idx="127">
                  <c:v>41298</c:v>
                </c:pt>
                <c:pt idx="128">
                  <c:v>41299</c:v>
                </c:pt>
                <c:pt idx="129">
                  <c:v>41302</c:v>
                </c:pt>
                <c:pt idx="130">
                  <c:v>41303</c:v>
                </c:pt>
                <c:pt idx="131">
                  <c:v>41304</c:v>
                </c:pt>
                <c:pt idx="132">
                  <c:v>41305</c:v>
                </c:pt>
                <c:pt idx="133">
                  <c:v>41306</c:v>
                </c:pt>
                <c:pt idx="134">
                  <c:v>41309</c:v>
                </c:pt>
                <c:pt idx="135">
                  <c:v>41310</c:v>
                </c:pt>
                <c:pt idx="136">
                  <c:v>41311</c:v>
                </c:pt>
                <c:pt idx="137">
                  <c:v>41312</c:v>
                </c:pt>
                <c:pt idx="138">
                  <c:v>41313</c:v>
                </c:pt>
                <c:pt idx="139">
                  <c:v>41316</c:v>
                </c:pt>
                <c:pt idx="140">
                  <c:v>41317</c:v>
                </c:pt>
                <c:pt idx="141">
                  <c:v>41318</c:v>
                </c:pt>
                <c:pt idx="142">
                  <c:v>41319</c:v>
                </c:pt>
                <c:pt idx="143">
                  <c:v>41320</c:v>
                </c:pt>
                <c:pt idx="144">
                  <c:v>41324</c:v>
                </c:pt>
                <c:pt idx="145">
                  <c:v>41325</c:v>
                </c:pt>
                <c:pt idx="146">
                  <c:v>41326</c:v>
                </c:pt>
                <c:pt idx="147">
                  <c:v>41327</c:v>
                </c:pt>
                <c:pt idx="148">
                  <c:v>41330</c:v>
                </c:pt>
                <c:pt idx="149">
                  <c:v>41331</c:v>
                </c:pt>
                <c:pt idx="150">
                  <c:v>41332</c:v>
                </c:pt>
                <c:pt idx="151">
                  <c:v>41333</c:v>
                </c:pt>
                <c:pt idx="152">
                  <c:v>41334</c:v>
                </c:pt>
                <c:pt idx="153">
                  <c:v>41337</c:v>
                </c:pt>
                <c:pt idx="154">
                  <c:v>41338</c:v>
                </c:pt>
                <c:pt idx="155">
                  <c:v>41339</c:v>
                </c:pt>
                <c:pt idx="156">
                  <c:v>41340</c:v>
                </c:pt>
                <c:pt idx="157">
                  <c:v>41341</c:v>
                </c:pt>
                <c:pt idx="158">
                  <c:v>41344</c:v>
                </c:pt>
                <c:pt idx="159">
                  <c:v>41345</c:v>
                </c:pt>
                <c:pt idx="160">
                  <c:v>41346</c:v>
                </c:pt>
                <c:pt idx="161">
                  <c:v>41347</c:v>
                </c:pt>
                <c:pt idx="162">
                  <c:v>41348</c:v>
                </c:pt>
                <c:pt idx="163">
                  <c:v>41351</c:v>
                </c:pt>
                <c:pt idx="164">
                  <c:v>41352</c:v>
                </c:pt>
                <c:pt idx="165">
                  <c:v>41353</c:v>
                </c:pt>
                <c:pt idx="166">
                  <c:v>41354</c:v>
                </c:pt>
                <c:pt idx="167">
                  <c:v>41355</c:v>
                </c:pt>
                <c:pt idx="168">
                  <c:v>41358</c:v>
                </c:pt>
                <c:pt idx="169">
                  <c:v>41359</c:v>
                </c:pt>
                <c:pt idx="170">
                  <c:v>41360</c:v>
                </c:pt>
                <c:pt idx="171">
                  <c:v>41361</c:v>
                </c:pt>
                <c:pt idx="172">
                  <c:v>41365</c:v>
                </c:pt>
                <c:pt idx="173">
                  <c:v>41366</c:v>
                </c:pt>
                <c:pt idx="174">
                  <c:v>41367</c:v>
                </c:pt>
                <c:pt idx="175">
                  <c:v>41368</c:v>
                </c:pt>
                <c:pt idx="176">
                  <c:v>41369</c:v>
                </c:pt>
                <c:pt idx="177">
                  <c:v>41372</c:v>
                </c:pt>
                <c:pt idx="178">
                  <c:v>41373</c:v>
                </c:pt>
                <c:pt idx="179">
                  <c:v>41374</c:v>
                </c:pt>
                <c:pt idx="180">
                  <c:v>41375</c:v>
                </c:pt>
                <c:pt idx="181">
                  <c:v>41376</c:v>
                </c:pt>
                <c:pt idx="182">
                  <c:v>41379</c:v>
                </c:pt>
                <c:pt idx="183">
                  <c:v>41380</c:v>
                </c:pt>
                <c:pt idx="184">
                  <c:v>41381</c:v>
                </c:pt>
                <c:pt idx="185">
                  <c:v>41382</c:v>
                </c:pt>
                <c:pt idx="186">
                  <c:v>41383</c:v>
                </c:pt>
                <c:pt idx="187">
                  <c:v>41386</c:v>
                </c:pt>
                <c:pt idx="188">
                  <c:v>41387</c:v>
                </c:pt>
                <c:pt idx="189">
                  <c:v>41388</c:v>
                </c:pt>
                <c:pt idx="190">
                  <c:v>41389</c:v>
                </c:pt>
                <c:pt idx="191">
                  <c:v>41390</c:v>
                </c:pt>
                <c:pt idx="192">
                  <c:v>41393</c:v>
                </c:pt>
                <c:pt idx="193">
                  <c:v>41394</c:v>
                </c:pt>
                <c:pt idx="194">
                  <c:v>41395</c:v>
                </c:pt>
                <c:pt idx="195">
                  <c:v>41396</c:v>
                </c:pt>
                <c:pt idx="196">
                  <c:v>41397</c:v>
                </c:pt>
                <c:pt idx="197">
                  <c:v>41400</c:v>
                </c:pt>
                <c:pt idx="198">
                  <c:v>41401</c:v>
                </c:pt>
                <c:pt idx="199">
                  <c:v>41402</c:v>
                </c:pt>
                <c:pt idx="200">
                  <c:v>41403</c:v>
                </c:pt>
                <c:pt idx="201">
                  <c:v>41404</c:v>
                </c:pt>
                <c:pt idx="202">
                  <c:v>41407</c:v>
                </c:pt>
                <c:pt idx="203">
                  <c:v>41408</c:v>
                </c:pt>
                <c:pt idx="204">
                  <c:v>41409</c:v>
                </c:pt>
                <c:pt idx="205">
                  <c:v>41410</c:v>
                </c:pt>
                <c:pt idx="206">
                  <c:v>41411</c:v>
                </c:pt>
                <c:pt idx="207">
                  <c:v>41415</c:v>
                </c:pt>
                <c:pt idx="208">
                  <c:v>41416</c:v>
                </c:pt>
                <c:pt idx="209">
                  <c:v>41417</c:v>
                </c:pt>
                <c:pt idx="210">
                  <c:v>41418</c:v>
                </c:pt>
                <c:pt idx="211">
                  <c:v>41421</c:v>
                </c:pt>
                <c:pt idx="212">
                  <c:v>41422</c:v>
                </c:pt>
                <c:pt idx="213">
                  <c:v>41423</c:v>
                </c:pt>
                <c:pt idx="214">
                  <c:v>41424</c:v>
                </c:pt>
                <c:pt idx="215">
                  <c:v>41425</c:v>
                </c:pt>
                <c:pt idx="216">
                  <c:v>41428</c:v>
                </c:pt>
                <c:pt idx="217">
                  <c:v>41429</c:v>
                </c:pt>
                <c:pt idx="218">
                  <c:v>41430</c:v>
                </c:pt>
                <c:pt idx="219">
                  <c:v>41431</c:v>
                </c:pt>
                <c:pt idx="220">
                  <c:v>41432</c:v>
                </c:pt>
                <c:pt idx="221">
                  <c:v>41435</c:v>
                </c:pt>
                <c:pt idx="222">
                  <c:v>41436</c:v>
                </c:pt>
                <c:pt idx="223">
                  <c:v>41437</c:v>
                </c:pt>
                <c:pt idx="224">
                  <c:v>41438</c:v>
                </c:pt>
                <c:pt idx="225">
                  <c:v>41439</c:v>
                </c:pt>
                <c:pt idx="226">
                  <c:v>41442</c:v>
                </c:pt>
                <c:pt idx="227">
                  <c:v>41443</c:v>
                </c:pt>
                <c:pt idx="228">
                  <c:v>41444</c:v>
                </c:pt>
                <c:pt idx="229">
                  <c:v>41445</c:v>
                </c:pt>
                <c:pt idx="230">
                  <c:v>41446</c:v>
                </c:pt>
                <c:pt idx="231">
                  <c:v>41449</c:v>
                </c:pt>
                <c:pt idx="232">
                  <c:v>41450</c:v>
                </c:pt>
                <c:pt idx="233">
                  <c:v>41451</c:v>
                </c:pt>
                <c:pt idx="234">
                  <c:v>41452</c:v>
                </c:pt>
                <c:pt idx="235">
                  <c:v>41453</c:v>
                </c:pt>
                <c:pt idx="236">
                  <c:v>41457</c:v>
                </c:pt>
                <c:pt idx="237">
                  <c:v>41458</c:v>
                </c:pt>
                <c:pt idx="238">
                  <c:v>41459</c:v>
                </c:pt>
                <c:pt idx="239">
                  <c:v>41460</c:v>
                </c:pt>
                <c:pt idx="240">
                  <c:v>41463</c:v>
                </c:pt>
                <c:pt idx="241">
                  <c:v>41464</c:v>
                </c:pt>
                <c:pt idx="242">
                  <c:v>41465</c:v>
                </c:pt>
                <c:pt idx="243">
                  <c:v>41466</c:v>
                </c:pt>
                <c:pt idx="244">
                  <c:v>41467</c:v>
                </c:pt>
                <c:pt idx="245">
                  <c:v>41470</c:v>
                </c:pt>
                <c:pt idx="246">
                  <c:v>41471</c:v>
                </c:pt>
                <c:pt idx="247">
                  <c:v>41472</c:v>
                </c:pt>
                <c:pt idx="248">
                  <c:v>41473</c:v>
                </c:pt>
                <c:pt idx="249">
                  <c:v>41474</c:v>
                </c:pt>
                <c:pt idx="250">
                  <c:v>41477</c:v>
                </c:pt>
                <c:pt idx="251">
                  <c:v>41478</c:v>
                </c:pt>
                <c:pt idx="252">
                  <c:v>41479</c:v>
                </c:pt>
                <c:pt idx="253">
                  <c:v>41480</c:v>
                </c:pt>
                <c:pt idx="254">
                  <c:v>41481</c:v>
                </c:pt>
                <c:pt idx="255">
                  <c:v>41484</c:v>
                </c:pt>
                <c:pt idx="256">
                  <c:v>41485</c:v>
                </c:pt>
                <c:pt idx="257">
                  <c:v>41486</c:v>
                </c:pt>
                <c:pt idx="258">
                  <c:v>41487</c:v>
                </c:pt>
                <c:pt idx="259">
                  <c:v>41488</c:v>
                </c:pt>
                <c:pt idx="260">
                  <c:v>41492</c:v>
                </c:pt>
                <c:pt idx="261">
                  <c:v>41493</c:v>
                </c:pt>
                <c:pt idx="262">
                  <c:v>41494</c:v>
                </c:pt>
                <c:pt idx="263">
                  <c:v>41495</c:v>
                </c:pt>
                <c:pt idx="264">
                  <c:v>41498</c:v>
                </c:pt>
                <c:pt idx="265">
                  <c:v>41499</c:v>
                </c:pt>
                <c:pt idx="266">
                  <c:v>41500</c:v>
                </c:pt>
                <c:pt idx="267">
                  <c:v>41501</c:v>
                </c:pt>
                <c:pt idx="268">
                  <c:v>41502</c:v>
                </c:pt>
                <c:pt idx="269">
                  <c:v>41505</c:v>
                </c:pt>
                <c:pt idx="270">
                  <c:v>41506</c:v>
                </c:pt>
                <c:pt idx="271">
                  <c:v>41507</c:v>
                </c:pt>
                <c:pt idx="272">
                  <c:v>41508</c:v>
                </c:pt>
                <c:pt idx="273">
                  <c:v>41509</c:v>
                </c:pt>
                <c:pt idx="274">
                  <c:v>41512</c:v>
                </c:pt>
                <c:pt idx="275">
                  <c:v>41513</c:v>
                </c:pt>
                <c:pt idx="276">
                  <c:v>41514</c:v>
                </c:pt>
                <c:pt idx="277">
                  <c:v>41515</c:v>
                </c:pt>
                <c:pt idx="278">
                  <c:v>41516</c:v>
                </c:pt>
                <c:pt idx="279">
                  <c:v>41520</c:v>
                </c:pt>
                <c:pt idx="280">
                  <c:v>41521</c:v>
                </c:pt>
                <c:pt idx="281">
                  <c:v>41522</c:v>
                </c:pt>
                <c:pt idx="282">
                  <c:v>41523</c:v>
                </c:pt>
                <c:pt idx="283">
                  <c:v>41526</c:v>
                </c:pt>
                <c:pt idx="284">
                  <c:v>41527</c:v>
                </c:pt>
                <c:pt idx="285">
                  <c:v>41528</c:v>
                </c:pt>
                <c:pt idx="286">
                  <c:v>41529</c:v>
                </c:pt>
                <c:pt idx="287">
                  <c:v>41530</c:v>
                </c:pt>
                <c:pt idx="288">
                  <c:v>41533</c:v>
                </c:pt>
                <c:pt idx="289">
                  <c:v>41534</c:v>
                </c:pt>
                <c:pt idx="290">
                  <c:v>41535</c:v>
                </c:pt>
                <c:pt idx="291">
                  <c:v>41536</c:v>
                </c:pt>
                <c:pt idx="292">
                  <c:v>41537</c:v>
                </c:pt>
                <c:pt idx="293">
                  <c:v>41540</c:v>
                </c:pt>
                <c:pt idx="294">
                  <c:v>41541</c:v>
                </c:pt>
                <c:pt idx="295">
                  <c:v>41542</c:v>
                </c:pt>
                <c:pt idx="296">
                  <c:v>41543</c:v>
                </c:pt>
                <c:pt idx="297">
                  <c:v>41544</c:v>
                </c:pt>
                <c:pt idx="298">
                  <c:v>41547</c:v>
                </c:pt>
                <c:pt idx="299">
                  <c:v>41548</c:v>
                </c:pt>
                <c:pt idx="300">
                  <c:v>41549</c:v>
                </c:pt>
                <c:pt idx="301">
                  <c:v>41550</c:v>
                </c:pt>
                <c:pt idx="302">
                  <c:v>41551</c:v>
                </c:pt>
                <c:pt idx="303">
                  <c:v>41554</c:v>
                </c:pt>
                <c:pt idx="304">
                  <c:v>41555</c:v>
                </c:pt>
                <c:pt idx="305">
                  <c:v>41556</c:v>
                </c:pt>
                <c:pt idx="306">
                  <c:v>41557</c:v>
                </c:pt>
                <c:pt idx="307">
                  <c:v>41558</c:v>
                </c:pt>
                <c:pt idx="308">
                  <c:v>41562</c:v>
                </c:pt>
                <c:pt idx="309">
                  <c:v>41563</c:v>
                </c:pt>
                <c:pt idx="310">
                  <c:v>41564</c:v>
                </c:pt>
                <c:pt idx="311">
                  <c:v>41565</c:v>
                </c:pt>
                <c:pt idx="312">
                  <c:v>41568</c:v>
                </c:pt>
                <c:pt idx="313">
                  <c:v>41569</c:v>
                </c:pt>
                <c:pt idx="314">
                  <c:v>41570</c:v>
                </c:pt>
                <c:pt idx="315">
                  <c:v>41571</c:v>
                </c:pt>
                <c:pt idx="316">
                  <c:v>41572</c:v>
                </c:pt>
                <c:pt idx="317">
                  <c:v>41575</c:v>
                </c:pt>
                <c:pt idx="318">
                  <c:v>41576</c:v>
                </c:pt>
                <c:pt idx="319">
                  <c:v>41577</c:v>
                </c:pt>
                <c:pt idx="320">
                  <c:v>41578</c:v>
                </c:pt>
                <c:pt idx="321">
                  <c:v>41579</c:v>
                </c:pt>
                <c:pt idx="322">
                  <c:v>41582</c:v>
                </c:pt>
                <c:pt idx="323">
                  <c:v>41583</c:v>
                </c:pt>
                <c:pt idx="324">
                  <c:v>41584</c:v>
                </c:pt>
                <c:pt idx="325">
                  <c:v>41585</c:v>
                </c:pt>
                <c:pt idx="326">
                  <c:v>41586</c:v>
                </c:pt>
                <c:pt idx="327">
                  <c:v>41589</c:v>
                </c:pt>
                <c:pt idx="328">
                  <c:v>41590</c:v>
                </c:pt>
                <c:pt idx="329">
                  <c:v>41591</c:v>
                </c:pt>
                <c:pt idx="330">
                  <c:v>41592</c:v>
                </c:pt>
                <c:pt idx="331">
                  <c:v>41593</c:v>
                </c:pt>
                <c:pt idx="332">
                  <c:v>41596</c:v>
                </c:pt>
                <c:pt idx="333">
                  <c:v>41597</c:v>
                </c:pt>
                <c:pt idx="334">
                  <c:v>41598</c:v>
                </c:pt>
                <c:pt idx="335">
                  <c:v>41599</c:v>
                </c:pt>
                <c:pt idx="336">
                  <c:v>41600</c:v>
                </c:pt>
                <c:pt idx="337">
                  <c:v>41603</c:v>
                </c:pt>
                <c:pt idx="338">
                  <c:v>41604</c:v>
                </c:pt>
                <c:pt idx="339">
                  <c:v>41605</c:v>
                </c:pt>
                <c:pt idx="340">
                  <c:v>41606</c:v>
                </c:pt>
                <c:pt idx="341">
                  <c:v>41607</c:v>
                </c:pt>
                <c:pt idx="342">
                  <c:v>41610</c:v>
                </c:pt>
                <c:pt idx="343">
                  <c:v>41611</c:v>
                </c:pt>
                <c:pt idx="344">
                  <c:v>41612</c:v>
                </c:pt>
                <c:pt idx="345">
                  <c:v>41613</c:v>
                </c:pt>
                <c:pt idx="346">
                  <c:v>41614</c:v>
                </c:pt>
                <c:pt idx="347">
                  <c:v>41617</c:v>
                </c:pt>
                <c:pt idx="348">
                  <c:v>41618</c:v>
                </c:pt>
                <c:pt idx="349">
                  <c:v>41619</c:v>
                </c:pt>
                <c:pt idx="350">
                  <c:v>41620</c:v>
                </c:pt>
                <c:pt idx="351">
                  <c:v>41621</c:v>
                </c:pt>
                <c:pt idx="352">
                  <c:v>41624</c:v>
                </c:pt>
                <c:pt idx="353">
                  <c:v>41625</c:v>
                </c:pt>
                <c:pt idx="354">
                  <c:v>41626</c:v>
                </c:pt>
                <c:pt idx="355">
                  <c:v>41627</c:v>
                </c:pt>
                <c:pt idx="356">
                  <c:v>41628</c:v>
                </c:pt>
                <c:pt idx="357">
                  <c:v>41631</c:v>
                </c:pt>
                <c:pt idx="358">
                  <c:v>41632</c:v>
                </c:pt>
                <c:pt idx="359">
                  <c:v>41635</c:v>
                </c:pt>
                <c:pt idx="360">
                  <c:v>41638</c:v>
                </c:pt>
                <c:pt idx="361">
                  <c:v>41639</c:v>
                </c:pt>
                <c:pt idx="362">
                  <c:v>41641</c:v>
                </c:pt>
                <c:pt idx="363">
                  <c:v>41642</c:v>
                </c:pt>
                <c:pt idx="364">
                  <c:v>41645</c:v>
                </c:pt>
                <c:pt idx="365">
                  <c:v>41646</c:v>
                </c:pt>
                <c:pt idx="366">
                  <c:v>41647</c:v>
                </c:pt>
                <c:pt idx="367">
                  <c:v>41648</c:v>
                </c:pt>
                <c:pt idx="368">
                  <c:v>41649</c:v>
                </c:pt>
                <c:pt idx="369">
                  <c:v>41652</c:v>
                </c:pt>
                <c:pt idx="370">
                  <c:v>41653</c:v>
                </c:pt>
                <c:pt idx="371">
                  <c:v>41654</c:v>
                </c:pt>
                <c:pt idx="372">
                  <c:v>41655</c:v>
                </c:pt>
                <c:pt idx="373">
                  <c:v>41656</c:v>
                </c:pt>
                <c:pt idx="374">
                  <c:v>41659</c:v>
                </c:pt>
                <c:pt idx="375">
                  <c:v>41660</c:v>
                </c:pt>
                <c:pt idx="376">
                  <c:v>41661</c:v>
                </c:pt>
                <c:pt idx="377">
                  <c:v>41662</c:v>
                </c:pt>
                <c:pt idx="378">
                  <c:v>41663</c:v>
                </c:pt>
                <c:pt idx="379">
                  <c:v>41666</c:v>
                </c:pt>
                <c:pt idx="380">
                  <c:v>41667</c:v>
                </c:pt>
                <c:pt idx="381">
                  <c:v>41668</c:v>
                </c:pt>
                <c:pt idx="382">
                  <c:v>41669</c:v>
                </c:pt>
                <c:pt idx="383">
                  <c:v>41670</c:v>
                </c:pt>
                <c:pt idx="384">
                  <c:v>41673</c:v>
                </c:pt>
                <c:pt idx="385">
                  <c:v>41674</c:v>
                </c:pt>
                <c:pt idx="386">
                  <c:v>41675</c:v>
                </c:pt>
                <c:pt idx="387">
                  <c:v>41676</c:v>
                </c:pt>
                <c:pt idx="388">
                  <c:v>41677</c:v>
                </c:pt>
                <c:pt idx="389">
                  <c:v>41680</c:v>
                </c:pt>
                <c:pt idx="390">
                  <c:v>41681</c:v>
                </c:pt>
                <c:pt idx="391">
                  <c:v>41682</c:v>
                </c:pt>
                <c:pt idx="392">
                  <c:v>41683</c:v>
                </c:pt>
                <c:pt idx="393">
                  <c:v>41684</c:v>
                </c:pt>
                <c:pt idx="394">
                  <c:v>41688</c:v>
                </c:pt>
                <c:pt idx="395">
                  <c:v>41689</c:v>
                </c:pt>
                <c:pt idx="396">
                  <c:v>41690</c:v>
                </c:pt>
                <c:pt idx="397">
                  <c:v>41691</c:v>
                </c:pt>
                <c:pt idx="398">
                  <c:v>41694</c:v>
                </c:pt>
                <c:pt idx="399">
                  <c:v>41695</c:v>
                </c:pt>
                <c:pt idx="400">
                  <c:v>41696</c:v>
                </c:pt>
                <c:pt idx="401">
                  <c:v>41697</c:v>
                </c:pt>
                <c:pt idx="402">
                  <c:v>41698</c:v>
                </c:pt>
                <c:pt idx="403">
                  <c:v>41701</c:v>
                </c:pt>
                <c:pt idx="404">
                  <c:v>41702</c:v>
                </c:pt>
                <c:pt idx="405">
                  <c:v>41703</c:v>
                </c:pt>
                <c:pt idx="406">
                  <c:v>41704</c:v>
                </c:pt>
                <c:pt idx="407">
                  <c:v>41705</c:v>
                </c:pt>
                <c:pt idx="408">
                  <c:v>41708</c:v>
                </c:pt>
                <c:pt idx="409">
                  <c:v>41709</c:v>
                </c:pt>
                <c:pt idx="410">
                  <c:v>41710</c:v>
                </c:pt>
                <c:pt idx="411">
                  <c:v>41711</c:v>
                </c:pt>
                <c:pt idx="412">
                  <c:v>41712</c:v>
                </c:pt>
                <c:pt idx="413">
                  <c:v>41715</c:v>
                </c:pt>
                <c:pt idx="414">
                  <c:v>41716</c:v>
                </c:pt>
                <c:pt idx="415">
                  <c:v>41717</c:v>
                </c:pt>
                <c:pt idx="416">
                  <c:v>41718</c:v>
                </c:pt>
                <c:pt idx="417">
                  <c:v>41719</c:v>
                </c:pt>
                <c:pt idx="418">
                  <c:v>41722</c:v>
                </c:pt>
                <c:pt idx="419">
                  <c:v>41723</c:v>
                </c:pt>
                <c:pt idx="420">
                  <c:v>41724</c:v>
                </c:pt>
                <c:pt idx="421">
                  <c:v>41725</c:v>
                </c:pt>
                <c:pt idx="422">
                  <c:v>41726</c:v>
                </c:pt>
                <c:pt idx="423">
                  <c:v>41729</c:v>
                </c:pt>
                <c:pt idx="424">
                  <c:v>41730</c:v>
                </c:pt>
                <c:pt idx="425">
                  <c:v>41731</c:v>
                </c:pt>
                <c:pt idx="426">
                  <c:v>41732</c:v>
                </c:pt>
                <c:pt idx="427">
                  <c:v>41733</c:v>
                </c:pt>
                <c:pt idx="428">
                  <c:v>41736</c:v>
                </c:pt>
                <c:pt idx="429">
                  <c:v>41737</c:v>
                </c:pt>
                <c:pt idx="430">
                  <c:v>41738</c:v>
                </c:pt>
                <c:pt idx="431">
                  <c:v>41739</c:v>
                </c:pt>
                <c:pt idx="432">
                  <c:v>41740</c:v>
                </c:pt>
                <c:pt idx="433">
                  <c:v>41743</c:v>
                </c:pt>
                <c:pt idx="434">
                  <c:v>41744</c:v>
                </c:pt>
                <c:pt idx="435">
                  <c:v>41745</c:v>
                </c:pt>
                <c:pt idx="436">
                  <c:v>41746</c:v>
                </c:pt>
                <c:pt idx="437">
                  <c:v>41750</c:v>
                </c:pt>
                <c:pt idx="438">
                  <c:v>41751</c:v>
                </c:pt>
                <c:pt idx="439">
                  <c:v>41752</c:v>
                </c:pt>
                <c:pt idx="440">
                  <c:v>41753</c:v>
                </c:pt>
                <c:pt idx="441">
                  <c:v>41754</c:v>
                </c:pt>
                <c:pt idx="442">
                  <c:v>41757</c:v>
                </c:pt>
                <c:pt idx="443">
                  <c:v>41758</c:v>
                </c:pt>
                <c:pt idx="444">
                  <c:v>41759</c:v>
                </c:pt>
                <c:pt idx="445">
                  <c:v>41760</c:v>
                </c:pt>
                <c:pt idx="446">
                  <c:v>41761</c:v>
                </c:pt>
                <c:pt idx="447">
                  <c:v>41764</c:v>
                </c:pt>
                <c:pt idx="448">
                  <c:v>41765</c:v>
                </c:pt>
                <c:pt idx="449">
                  <c:v>41766</c:v>
                </c:pt>
                <c:pt idx="450">
                  <c:v>41767</c:v>
                </c:pt>
                <c:pt idx="451">
                  <c:v>41768</c:v>
                </c:pt>
                <c:pt idx="452">
                  <c:v>41771</c:v>
                </c:pt>
                <c:pt idx="453">
                  <c:v>41772</c:v>
                </c:pt>
                <c:pt idx="454">
                  <c:v>41773</c:v>
                </c:pt>
                <c:pt idx="455">
                  <c:v>41774</c:v>
                </c:pt>
                <c:pt idx="456">
                  <c:v>41775</c:v>
                </c:pt>
                <c:pt idx="457">
                  <c:v>41779</c:v>
                </c:pt>
                <c:pt idx="458">
                  <c:v>41780</c:v>
                </c:pt>
                <c:pt idx="459">
                  <c:v>41781</c:v>
                </c:pt>
                <c:pt idx="460">
                  <c:v>41782</c:v>
                </c:pt>
                <c:pt idx="461">
                  <c:v>41785</c:v>
                </c:pt>
                <c:pt idx="462">
                  <c:v>41786</c:v>
                </c:pt>
                <c:pt idx="463">
                  <c:v>41787</c:v>
                </c:pt>
                <c:pt idx="464">
                  <c:v>41788</c:v>
                </c:pt>
                <c:pt idx="465">
                  <c:v>41789</c:v>
                </c:pt>
                <c:pt idx="466">
                  <c:v>41792</c:v>
                </c:pt>
                <c:pt idx="467">
                  <c:v>41793</c:v>
                </c:pt>
                <c:pt idx="468">
                  <c:v>41794</c:v>
                </c:pt>
                <c:pt idx="469">
                  <c:v>41795</c:v>
                </c:pt>
                <c:pt idx="470">
                  <c:v>41796</c:v>
                </c:pt>
                <c:pt idx="471">
                  <c:v>41799</c:v>
                </c:pt>
                <c:pt idx="472">
                  <c:v>41800</c:v>
                </c:pt>
                <c:pt idx="473">
                  <c:v>41801</c:v>
                </c:pt>
                <c:pt idx="474">
                  <c:v>41802</c:v>
                </c:pt>
                <c:pt idx="475">
                  <c:v>41803</c:v>
                </c:pt>
                <c:pt idx="476">
                  <c:v>41806</c:v>
                </c:pt>
                <c:pt idx="477">
                  <c:v>41807</c:v>
                </c:pt>
                <c:pt idx="478">
                  <c:v>41808</c:v>
                </c:pt>
                <c:pt idx="479">
                  <c:v>41809</c:v>
                </c:pt>
                <c:pt idx="480">
                  <c:v>41810</c:v>
                </c:pt>
                <c:pt idx="481">
                  <c:v>41813</c:v>
                </c:pt>
                <c:pt idx="482">
                  <c:v>41814</c:v>
                </c:pt>
                <c:pt idx="483">
                  <c:v>41815</c:v>
                </c:pt>
                <c:pt idx="484">
                  <c:v>41816</c:v>
                </c:pt>
                <c:pt idx="485">
                  <c:v>41817</c:v>
                </c:pt>
                <c:pt idx="486">
                  <c:v>41820</c:v>
                </c:pt>
                <c:pt idx="487">
                  <c:v>41822</c:v>
                </c:pt>
                <c:pt idx="488">
                  <c:v>41823</c:v>
                </c:pt>
                <c:pt idx="489">
                  <c:v>41824</c:v>
                </c:pt>
                <c:pt idx="490">
                  <c:v>41827</c:v>
                </c:pt>
                <c:pt idx="491">
                  <c:v>41828</c:v>
                </c:pt>
                <c:pt idx="492">
                  <c:v>41829</c:v>
                </c:pt>
                <c:pt idx="493">
                  <c:v>41830</c:v>
                </c:pt>
                <c:pt idx="494">
                  <c:v>41831</c:v>
                </c:pt>
                <c:pt idx="495">
                  <c:v>41834</c:v>
                </c:pt>
                <c:pt idx="496">
                  <c:v>41835</c:v>
                </c:pt>
                <c:pt idx="497">
                  <c:v>41836</c:v>
                </c:pt>
                <c:pt idx="498">
                  <c:v>41837</c:v>
                </c:pt>
                <c:pt idx="499">
                  <c:v>41838</c:v>
                </c:pt>
                <c:pt idx="500">
                  <c:v>41841</c:v>
                </c:pt>
                <c:pt idx="501">
                  <c:v>41842</c:v>
                </c:pt>
                <c:pt idx="502">
                  <c:v>41843</c:v>
                </c:pt>
                <c:pt idx="503">
                  <c:v>41844</c:v>
                </c:pt>
                <c:pt idx="504">
                  <c:v>41845</c:v>
                </c:pt>
                <c:pt idx="505">
                  <c:v>41848</c:v>
                </c:pt>
                <c:pt idx="506">
                  <c:v>41849</c:v>
                </c:pt>
                <c:pt idx="507">
                  <c:v>41850</c:v>
                </c:pt>
                <c:pt idx="508">
                  <c:v>41851</c:v>
                </c:pt>
                <c:pt idx="509">
                  <c:v>41852</c:v>
                </c:pt>
                <c:pt idx="510">
                  <c:v>41856</c:v>
                </c:pt>
                <c:pt idx="511">
                  <c:v>41857</c:v>
                </c:pt>
                <c:pt idx="512">
                  <c:v>41858</c:v>
                </c:pt>
                <c:pt idx="513">
                  <c:v>41859</c:v>
                </c:pt>
                <c:pt idx="514">
                  <c:v>41862</c:v>
                </c:pt>
                <c:pt idx="515">
                  <c:v>41863</c:v>
                </c:pt>
                <c:pt idx="516">
                  <c:v>41864</c:v>
                </c:pt>
                <c:pt idx="517">
                  <c:v>41865</c:v>
                </c:pt>
                <c:pt idx="518">
                  <c:v>41866</c:v>
                </c:pt>
                <c:pt idx="519">
                  <c:v>41869</c:v>
                </c:pt>
                <c:pt idx="520">
                  <c:v>41870</c:v>
                </c:pt>
                <c:pt idx="521">
                  <c:v>41871</c:v>
                </c:pt>
                <c:pt idx="522">
                  <c:v>41872</c:v>
                </c:pt>
                <c:pt idx="523">
                  <c:v>41873</c:v>
                </c:pt>
                <c:pt idx="524">
                  <c:v>41876</c:v>
                </c:pt>
                <c:pt idx="525">
                  <c:v>41877</c:v>
                </c:pt>
                <c:pt idx="526">
                  <c:v>41878</c:v>
                </c:pt>
                <c:pt idx="527">
                  <c:v>41879</c:v>
                </c:pt>
                <c:pt idx="528">
                  <c:v>41880</c:v>
                </c:pt>
                <c:pt idx="529">
                  <c:v>41884</c:v>
                </c:pt>
                <c:pt idx="530">
                  <c:v>41885</c:v>
                </c:pt>
                <c:pt idx="531">
                  <c:v>41886</c:v>
                </c:pt>
                <c:pt idx="532">
                  <c:v>41887</c:v>
                </c:pt>
                <c:pt idx="533">
                  <c:v>41890</c:v>
                </c:pt>
                <c:pt idx="534">
                  <c:v>41891</c:v>
                </c:pt>
                <c:pt idx="535">
                  <c:v>41892</c:v>
                </c:pt>
                <c:pt idx="536">
                  <c:v>41893</c:v>
                </c:pt>
                <c:pt idx="537">
                  <c:v>41894</c:v>
                </c:pt>
                <c:pt idx="538">
                  <c:v>41897</c:v>
                </c:pt>
                <c:pt idx="539">
                  <c:v>41898</c:v>
                </c:pt>
                <c:pt idx="540">
                  <c:v>41899</c:v>
                </c:pt>
                <c:pt idx="541">
                  <c:v>41900</c:v>
                </c:pt>
                <c:pt idx="542">
                  <c:v>41901</c:v>
                </c:pt>
                <c:pt idx="543">
                  <c:v>41904</c:v>
                </c:pt>
                <c:pt idx="544">
                  <c:v>41905</c:v>
                </c:pt>
                <c:pt idx="545">
                  <c:v>41906</c:v>
                </c:pt>
                <c:pt idx="546">
                  <c:v>41907</c:v>
                </c:pt>
                <c:pt idx="547">
                  <c:v>41908</c:v>
                </c:pt>
                <c:pt idx="548">
                  <c:v>41911</c:v>
                </c:pt>
                <c:pt idx="549">
                  <c:v>41912</c:v>
                </c:pt>
                <c:pt idx="550">
                  <c:v>41913</c:v>
                </c:pt>
                <c:pt idx="551">
                  <c:v>41914</c:v>
                </c:pt>
                <c:pt idx="552">
                  <c:v>41915</c:v>
                </c:pt>
                <c:pt idx="553">
                  <c:v>41918</c:v>
                </c:pt>
                <c:pt idx="554">
                  <c:v>41919</c:v>
                </c:pt>
                <c:pt idx="555">
                  <c:v>41920</c:v>
                </c:pt>
                <c:pt idx="556">
                  <c:v>41921</c:v>
                </c:pt>
                <c:pt idx="557">
                  <c:v>41922</c:v>
                </c:pt>
                <c:pt idx="558">
                  <c:v>41926</c:v>
                </c:pt>
                <c:pt idx="559">
                  <c:v>41927</c:v>
                </c:pt>
                <c:pt idx="560">
                  <c:v>41928</c:v>
                </c:pt>
                <c:pt idx="561">
                  <c:v>41929</c:v>
                </c:pt>
                <c:pt idx="562">
                  <c:v>41932</c:v>
                </c:pt>
                <c:pt idx="563">
                  <c:v>41933</c:v>
                </c:pt>
                <c:pt idx="564">
                  <c:v>41934</c:v>
                </c:pt>
                <c:pt idx="565">
                  <c:v>41935</c:v>
                </c:pt>
                <c:pt idx="566">
                  <c:v>41936</c:v>
                </c:pt>
                <c:pt idx="567">
                  <c:v>41939</c:v>
                </c:pt>
                <c:pt idx="568">
                  <c:v>41940</c:v>
                </c:pt>
                <c:pt idx="569">
                  <c:v>41941</c:v>
                </c:pt>
                <c:pt idx="570">
                  <c:v>41942</c:v>
                </c:pt>
                <c:pt idx="571">
                  <c:v>41943</c:v>
                </c:pt>
                <c:pt idx="572">
                  <c:v>41946</c:v>
                </c:pt>
                <c:pt idx="573">
                  <c:v>41947</c:v>
                </c:pt>
                <c:pt idx="574">
                  <c:v>41948</c:v>
                </c:pt>
                <c:pt idx="575">
                  <c:v>41949</c:v>
                </c:pt>
                <c:pt idx="576">
                  <c:v>41950</c:v>
                </c:pt>
                <c:pt idx="577">
                  <c:v>41953</c:v>
                </c:pt>
                <c:pt idx="578">
                  <c:v>41954</c:v>
                </c:pt>
                <c:pt idx="579">
                  <c:v>41955</c:v>
                </c:pt>
                <c:pt idx="580">
                  <c:v>41956</c:v>
                </c:pt>
                <c:pt idx="581">
                  <c:v>41957</c:v>
                </c:pt>
                <c:pt idx="582">
                  <c:v>41960</c:v>
                </c:pt>
                <c:pt idx="583">
                  <c:v>41961</c:v>
                </c:pt>
                <c:pt idx="584">
                  <c:v>41962</c:v>
                </c:pt>
                <c:pt idx="585">
                  <c:v>41963</c:v>
                </c:pt>
                <c:pt idx="586">
                  <c:v>41964</c:v>
                </c:pt>
                <c:pt idx="587">
                  <c:v>41967</c:v>
                </c:pt>
                <c:pt idx="588">
                  <c:v>41968</c:v>
                </c:pt>
                <c:pt idx="589">
                  <c:v>41969</c:v>
                </c:pt>
                <c:pt idx="590">
                  <c:v>41970</c:v>
                </c:pt>
                <c:pt idx="591">
                  <c:v>41971</c:v>
                </c:pt>
                <c:pt idx="592">
                  <c:v>41974</c:v>
                </c:pt>
                <c:pt idx="593">
                  <c:v>41975</c:v>
                </c:pt>
                <c:pt idx="594">
                  <c:v>41976</c:v>
                </c:pt>
                <c:pt idx="595">
                  <c:v>41977</c:v>
                </c:pt>
                <c:pt idx="596">
                  <c:v>41978</c:v>
                </c:pt>
                <c:pt idx="597">
                  <c:v>41981</c:v>
                </c:pt>
                <c:pt idx="598">
                  <c:v>41982</c:v>
                </c:pt>
                <c:pt idx="599">
                  <c:v>41983</c:v>
                </c:pt>
                <c:pt idx="600">
                  <c:v>41984</c:v>
                </c:pt>
                <c:pt idx="601">
                  <c:v>41985</c:v>
                </c:pt>
                <c:pt idx="602">
                  <c:v>41988</c:v>
                </c:pt>
                <c:pt idx="603">
                  <c:v>41989</c:v>
                </c:pt>
                <c:pt idx="604">
                  <c:v>41990</c:v>
                </c:pt>
                <c:pt idx="605">
                  <c:v>41991</c:v>
                </c:pt>
                <c:pt idx="606">
                  <c:v>41992</c:v>
                </c:pt>
                <c:pt idx="607">
                  <c:v>41995</c:v>
                </c:pt>
                <c:pt idx="608">
                  <c:v>41996</c:v>
                </c:pt>
                <c:pt idx="609">
                  <c:v>41997</c:v>
                </c:pt>
                <c:pt idx="610">
                  <c:v>42002</c:v>
                </c:pt>
                <c:pt idx="611">
                  <c:v>42003</c:v>
                </c:pt>
                <c:pt idx="612">
                  <c:v>42004</c:v>
                </c:pt>
                <c:pt idx="613">
                  <c:v>42006</c:v>
                </c:pt>
                <c:pt idx="614">
                  <c:v>42009</c:v>
                </c:pt>
                <c:pt idx="615">
                  <c:v>42010</c:v>
                </c:pt>
                <c:pt idx="616">
                  <c:v>42011</c:v>
                </c:pt>
                <c:pt idx="617">
                  <c:v>42012</c:v>
                </c:pt>
                <c:pt idx="618">
                  <c:v>42013</c:v>
                </c:pt>
                <c:pt idx="619">
                  <c:v>42016</c:v>
                </c:pt>
                <c:pt idx="620">
                  <c:v>42017</c:v>
                </c:pt>
                <c:pt idx="621">
                  <c:v>42018</c:v>
                </c:pt>
                <c:pt idx="622">
                  <c:v>42019</c:v>
                </c:pt>
                <c:pt idx="623">
                  <c:v>42020</c:v>
                </c:pt>
                <c:pt idx="624">
                  <c:v>42023</c:v>
                </c:pt>
                <c:pt idx="625">
                  <c:v>42024</c:v>
                </c:pt>
                <c:pt idx="626">
                  <c:v>42025</c:v>
                </c:pt>
                <c:pt idx="627">
                  <c:v>42026</c:v>
                </c:pt>
                <c:pt idx="628">
                  <c:v>42027</c:v>
                </c:pt>
                <c:pt idx="629">
                  <c:v>42030</c:v>
                </c:pt>
                <c:pt idx="630">
                  <c:v>42031</c:v>
                </c:pt>
                <c:pt idx="631">
                  <c:v>42032</c:v>
                </c:pt>
                <c:pt idx="632">
                  <c:v>42033</c:v>
                </c:pt>
                <c:pt idx="633">
                  <c:v>42034</c:v>
                </c:pt>
                <c:pt idx="634">
                  <c:v>42037</c:v>
                </c:pt>
                <c:pt idx="635">
                  <c:v>42038</c:v>
                </c:pt>
                <c:pt idx="636">
                  <c:v>42039</c:v>
                </c:pt>
                <c:pt idx="637">
                  <c:v>42040</c:v>
                </c:pt>
                <c:pt idx="638">
                  <c:v>42041</c:v>
                </c:pt>
                <c:pt idx="639">
                  <c:v>42044</c:v>
                </c:pt>
                <c:pt idx="640">
                  <c:v>42045</c:v>
                </c:pt>
                <c:pt idx="641">
                  <c:v>42046</c:v>
                </c:pt>
                <c:pt idx="642">
                  <c:v>42047</c:v>
                </c:pt>
                <c:pt idx="643">
                  <c:v>42048</c:v>
                </c:pt>
                <c:pt idx="644">
                  <c:v>42052</c:v>
                </c:pt>
                <c:pt idx="645">
                  <c:v>42053</c:v>
                </c:pt>
                <c:pt idx="646">
                  <c:v>42054</c:v>
                </c:pt>
                <c:pt idx="647">
                  <c:v>42055</c:v>
                </c:pt>
                <c:pt idx="648">
                  <c:v>42058</c:v>
                </c:pt>
                <c:pt idx="649">
                  <c:v>42059</c:v>
                </c:pt>
                <c:pt idx="650">
                  <c:v>42060</c:v>
                </c:pt>
                <c:pt idx="651">
                  <c:v>42061</c:v>
                </c:pt>
                <c:pt idx="652">
                  <c:v>42062</c:v>
                </c:pt>
                <c:pt idx="653">
                  <c:v>42065</c:v>
                </c:pt>
                <c:pt idx="654">
                  <c:v>42066</c:v>
                </c:pt>
                <c:pt idx="655">
                  <c:v>42067</c:v>
                </c:pt>
                <c:pt idx="656">
                  <c:v>42068</c:v>
                </c:pt>
                <c:pt idx="657">
                  <c:v>42069</c:v>
                </c:pt>
                <c:pt idx="658">
                  <c:v>42072</c:v>
                </c:pt>
                <c:pt idx="659">
                  <c:v>42073</c:v>
                </c:pt>
                <c:pt idx="660">
                  <c:v>42074</c:v>
                </c:pt>
                <c:pt idx="661">
                  <c:v>42075</c:v>
                </c:pt>
                <c:pt idx="662">
                  <c:v>42076</c:v>
                </c:pt>
                <c:pt idx="663">
                  <c:v>42079</c:v>
                </c:pt>
                <c:pt idx="664">
                  <c:v>42080</c:v>
                </c:pt>
                <c:pt idx="665">
                  <c:v>42081</c:v>
                </c:pt>
                <c:pt idx="666">
                  <c:v>42082</c:v>
                </c:pt>
                <c:pt idx="667">
                  <c:v>42083</c:v>
                </c:pt>
                <c:pt idx="668">
                  <c:v>42086</c:v>
                </c:pt>
                <c:pt idx="669">
                  <c:v>42087</c:v>
                </c:pt>
                <c:pt idx="670">
                  <c:v>42088</c:v>
                </c:pt>
                <c:pt idx="671">
                  <c:v>42089</c:v>
                </c:pt>
                <c:pt idx="672">
                  <c:v>42090</c:v>
                </c:pt>
                <c:pt idx="673">
                  <c:v>42093</c:v>
                </c:pt>
                <c:pt idx="674">
                  <c:v>42094</c:v>
                </c:pt>
                <c:pt idx="675">
                  <c:v>42095</c:v>
                </c:pt>
                <c:pt idx="676">
                  <c:v>42096</c:v>
                </c:pt>
                <c:pt idx="677">
                  <c:v>42100</c:v>
                </c:pt>
                <c:pt idx="678">
                  <c:v>42101</c:v>
                </c:pt>
                <c:pt idx="679">
                  <c:v>42102</c:v>
                </c:pt>
                <c:pt idx="680">
                  <c:v>42103</c:v>
                </c:pt>
                <c:pt idx="681">
                  <c:v>42104</c:v>
                </c:pt>
                <c:pt idx="682">
                  <c:v>42107</c:v>
                </c:pt>
                <c:pt idx="683">
                  <c:v>42108</c:v>
                </c:pt>
                <c:pt idx="684">
                  <c:v>42109</c:v>
                </c:pt>
                <c:pt idx="685">
                  <c:v>42110</c:v>
                </c:pt>
                <c:pt idx="686">
                  <c:v>42111</c:v>
                </c:pt>
                <c:pt idx="687">
                  <c:v>42114</c:v>
                </c:pt>
                <c:pt idx="688">
                  <c:v>42115</c:v>
                </c:pt>
                <c:pt idx="689">
                  <c:v>42116</c:v>
                </c:pt>
                <c:pt idx="690">
                  <c:v>42117</c:v>
                </c:pt>
                <c:pt idx="691">
                  <c:v>42118</c:v>
                </c:pt>
                <c:pt idx="692">
                  <c:v>42121</c:v>
                </c:pt>
                <c:pt idx="693">
                  <c:v>42122</c:v>
                </c:pt>
                <c:pt idx="694">
                  <c:v>42123</c:v>
                </c:pt>
                <c:pt idx="695">
                  <c:v>42124</c:v>
                </c:pt>
                <c:pt idx="696">
                  <c:v>42125</c:v>
                </c:pt>
                <c:pt idx="697">
                  <c:v>42128</c:v>
                </c:pt>
                <c:pt idx="698">
                  <c:v>42129</c:v>
                </c:pt>
                <c:pt idx="699">
                  <c:v>42130</c:v>
                </c:pt>
                <c:pt idx="700">
                  <c:v>42131</c:v>
                </c:pt>
                <c:pt idx="701">
                  <c:v>42132</c:v>
                </c:pt>
                <c:pt idx="702">
                  <c:v>42135</c:v>
                </c:pt>
                <c:pt idx="703">
                  <c:v>42136</c:v>
                </c:pt>
                <c:pt idx="704">
                  <c:v>42137</c:v>
                </c:pt>
                <c:pt idx="705">
                  <c:v>42138</c:v>
                </c:pt>
                <c:pt idx="706">
                  <c:v>42139</c:v>
                </c:pt>
                <c:pt idx="707">
                  <c:v>42143</c:v>
                </c:pt>
                <c:pt idx="708">
                  <c:v>42144</c:v>
                </c:pt>
                <c:pt idx="709">
                  <c:v>42145</c:v>
                </c:pt>
                <c:pt idx="710">
                  <c:v>42146</c:v>
                </c:pt>
                <c:pt idx="711">
                  <c:v>42149</c:v>
                </c:pt>
                <c:pt idx="712">
                  <c:v>42150</c:v>
                </c:pt>
                <c:pt idx="713">
                  <c:v>42151</c:v>
                </c:pt>
                <c:pt idx="714">
                  <c:v>42152</c:v>
                </c:pt>
                <c:pt idx="715">
                  <c:v>42153</c:v>
                </c:pt>
                <c:pt idx="716">
                  <c:v>42156</c:v>
                </c:pt>
                <c:pt idx="717">
                  <c:v>42157</c:v>
                </c:pt>
                <c:pt idx="718">
                  <c:v>42158</c:v>
                </c:pt>
                <c:pt idx="719">
                  <c:v>42159</c:v>
                </c:pt>
                <c:pt idx="720">
                  <c:v>42160</c:v>
                </c:pt>
                <c:pt idx="721">
                  <c:v>42163</c:v>
                </c:pt>
                <c:pt idx="722">
                  <c:v>42164</c:v>
                </c:pt>
                <c:pt idx="723">
                  <c:v>42165</c:v>
                </c:pt>
                <c:pt idx="724">
                  <c:v>42166</c:v>
                </c:pt>
                <c:pt idx="725">
                  <c:v>42167</c:v>
                </c:pt>
                <c:pt idx="726">
                  <c:v>42170</c:v>
                </c:pt>
                <c:pt idx="727">
                  <c:v>42171</c:v>
                </c:pt>
                <c:pt idx="728">
                  <c:v>42172</c:v>
                </c:pt>
                <c:pt idx="729">
                  <c:v>42173</c:v>
                </c:pt>
                <c:pt idx="730">
                  <c:v>42174</c:v>
                </c:pt>
                <c:pt idx="731">
                  <c:v>42177</c:v>
                </c:pt>
                <c:pt idx="732">
                  <c:v>42178</c:v>
                </c:pt>
                <c:pt idx="733">
                  <c:v>42179</c:v>
                </c:pt>
                <c:pt idx="734">
                  <c:v>42180</c:v>
                </c:pt>
                <c:pt idx="735">
                  <c:v>42181</c:v>
                </c:pt>
                <c:pt idx="736">
                  <c:v>42184</c:v>
                </c:pt>
                <c:pt idx="737">
                  <c:v>42185</c:v>
                </c:pt>
                <c:pt idx="738">
                  <c:v>42187</c:v>
                </c:pt>
                <c:pt idx="739">
                  <c:v>42188</c:v>
                </c:pt>
                <c:pt idx="740">
                  <c:v>42191</c:v>
                </c:pt>
                <c:pt idx="741">
                  <c:v>42192</c:v>
                </c:pt>
                <c:pt idx="742">
                  <c:v>42193</c:v>
                </c:pt>
                <c:pt idx="743">
                  <c:v>42194</c:v>
                </c:pt>
                <c:pt idx="744">
                  <c:v>42195</c:v>
                </c:pt>
                <c:pt idx="745">
                  <c:v>42198</c:v>
                </c:pt>
                <c:pt idx="746">
                  <c:v>42199</c:v>
                </c:pt>
                <c:pt idx="747">
                  <c:v>42200</c:v>
                </c:pt>
                <c:pt idx="748">
                  <c:v>42201</c:v>
                </c:pt>
                <c:pt idx="749">
                  <c:v>42202</c:v>
                </c:pt>
                <c:pt idx="750">
                  <c:v>42205</c:v>
                </c:pt>
                <c:pt idx="751">
                  <c:v>42206</c:v>
                </c:pt>
                <c:pt idx="752">
                  <c:v>42207</c:v>
                </c:pt>
                <c:pt idx="753">
                  <c:v>42208</c:v>
                </c:pt>
                <c:pt idx="754">
                  <c:v>42209</c:v>
                </c:pt>
                <c:pt idx="755">
                  <c:v>42212</c:v>
                </c:pt>
                <c:pt idx="756">
                  <c:v>42213</c:v>
                </c:pt>
                <c:pt idx="757">
                  <c:v>42214</c:v>
                </c:pt>
                <c:pt idx="758">
                  <c:v>42215</c:v>
                </c:pt>
                <c:pt idx="759">
                  <c:v>42216</c:v>
                </c:pt>
                <c:pt idx="760">
                  <c:v>42220</c:v>
                </c:pt>
                <c:pt idx="761">
                  <c:v>42221</c:v>
                </c:pt>
                <c:pt idx="762">
                  <c:v>42222</c:v>
                </c:pt>
                <c:pt idx="763">
                  <c:v>42223</c:v>
                </c:pt>
                <c:pt idx="764">
                  <c:v>42226</c:v>
                </c:pt>
                <c:pt idx="765">
                  <c:v>42227</c:v>
                </c:pt>
                <c:pt idx="766">
                  <c:v>42228</c:v>
                </c:pt>
                <c:pt idx="767">
                  <c:v>42229</c:v>
                </c:pt>
                <c:pt idx="768">
                  <c:v>42230</c:v>
                </c:pt>
                <c:pt idx="769">
                  <c:v>42233</c:v>
                </c:pt>
                <c:pt idx="770">
                  <c:v>42234</c:v>
                </c:pt>
                <c:pt idx="771">
                  <c:v>42235</c:v>
                </c:pt>
                <c:pt idx="772">
                  <c:v>42236</c:v>
                </c:pt>
                <c:pt idx="773">
                  <c:v>42237</c:v>
                </c:pt>
                <c:pt idx="774">
                  <c:v>42240</c:v>
                </c:pt>
                <c:pt idx="775">
                  <c:v>42241</c:v>
                </c:pt>
                <c:pt idx="776">
                  <c:v>42242</c:v>
                </c:pt>
                <c:pt idx="777">
                  <c:v>42243</c:v>
                </c:pt>
                <c:pt idx="778">
                  <c:v>42244</c:v>
                </c:pt>
                <c:pt idx="779">
                  <c:v>42247</c:v>
                </c:pt>
                <c:pt idx="780">
                  <c:v>42248</c:v>
                </c:pt>
                <c:pt idx="781">
                  <c:v>42249</c:v>
                </c:pt>
                <c:pt idx="782">
                  <c:v>42250</c:v>
                </c:pt>
                <c:pt idx="783">
                  <c:v>42251</c:v>
                </c:pt>
                <c:pt idx="784">
                  <c:v>42255</c:v>
                </c:pt>
                <c:pt idx="785">
                  <c:v>42256</c:v>
                </c:pt>
                <c:pt idx="786">
                  <c:v>42257</c:v>
                </c:pt>
                <c:pt idx="787">
                  <c:v>42258</c:v>
                </c:pt>
                <c:pt idx="788">
                  <c:v>42261</c:v>
                </c:pt>
                <c:pt idx="789">
                  <c:v>42262</c:v>
                </c:pt>
                <c:pt idx="790">
                  <c:v>42263</c:v>
                </c:pt>
                <c:pt idx="791">
                  <c:v>42264</c:v>
                </c:pt>
                <c:pt idx="792">
                  <c:v>42265</c:v>
                </c:pt>
                <c:pt idx="793">
                  <c:v>42268</c:v>
                </c:pt>
                <c:pt idx="794">
                  <c:v>42269</c:v>
                </c:pt>
                <c:pt idx="795">
                  <c:v>42270</c:v>
                </c:pt>
                <c:pt idx="796">
                  <c:v>42271</c:v>
                </c:pt>
                <c:pt idx="797">
                  <c:v>42272</c:v>
                </c:pt>
                <c:pt idx="798">
                  <c:v>42275</c:v>
                </c:pt>
                <c:pt idx="799">
                  <c:v>42276</c:v>
                </c:pt>
                <c:pt idx="800">
                  <c:v>42277</c:v>
                </c:pt>
                <c:pt idx="801">
                  <c:v>42278</c:v>
                </c:pt>
                <c:pt idx="802">
                  <c:v>42279</c:v>
                </c:pt>
                <c:pt idx="803">
                  <c:v>42282</c:v>
                </c:pt>
                <c:pt idx="804">
                  <c:v>42283</c:v>
                </c:pt>
                <c:pt idx="805">
                  <c:v>42284</c:v>
                </c:pt>
                <c:pt idx="806">
                  <c:v>42285</c:v>
                </c:pt>
                <c:pt idx="807">
                  <c:v>42286</c:v>
                </c:pt>
                <c:pt idx="808">
                  <c:v>42290</c:v>
                </c:pt>
                <c:pt idx="809">
                  <c:v>42291</c:v>
                </c:pt>
                <c:pt idx="810">
                  <c:v>42292</c:v>
                </c:pt>
                <c:pt idx="811">
                  <c:v>42293</c:v>
                </c:pt>
                <c:pt idx="812">
                  <c:v>42296</c:v>
                </c:pt>
                <c:pt idx="813">
                  <c:v>42297</c:v>
                </c:pt>
                <c:pt idx="814">
                  <c:v>42298</c:v>
                </c:pt>
                <c:pt idx="815">
                  <c:v>42299</c:v>
                </c:pt>
                <c:pt idx="816">
                  <c:v>42300</c:v>
                </c:pt>
                <c:pt idx="817">
                  <c:v>42303</c:v>
                </c:pt>
                <c:pt idx="818">
                  <c:v>42304</c:v>
                </c:pt>
                <c:pt idx="819">
                  <c:v>42305</c:v>
                </c:pt>
                <c:pt idx="820">
                  <c:v>42306</c:v>
                </c:pt>
                <c:pt idx="821">
                  <c:v>42307</c:v>
                </c:pt>
                <c:pt idx="822">
                  <c:v>42310</c:v>
                </c:pt>
                <c:pt idx="823">
                  <c:v>42311</c:v>
                </c:pt>
                <c:pt idx="824">
                  <c:v>42312</c:v>
                </c:pt>
                <c:pt idx="825">
                  <c:v>42313</c:v>
                </c:pt>
                <c:pt idx="826">
                  <c:v>42314</c:v>
                </c:pt>
                <c:pt idx="827">
                  <c:v>42317</c:v>
                </c:pt>
                <c:pt idx="828">
                  <c:v>42318</c:v>
                </c:pt>
                <c:pt idx="829">
                  <c:v>42319</c:v>
                </c:pt>
                <c:pt idx="830">
                  <c:v>42320</c:v>
                </c:pt>
                <c:pt idx="831">
                  <c:v>42321</c:v>
                </c:pt>
                <c:pt idx="832">
                  <c:v>42324</c:v>
                </c:pt>
                <c:pt idx="833">
                  <c:v>42325</c:v>
                </c:pt>
                <c:pt idx="834">
                  <c:v>42326</c:v>
                </c:pt>
                <c:pt idx="835">
                  <c:v>42327</c:v>
                </c:pt>
                <c:pt idx="836">
                  <c:v>42328</c:v>
                </c:pt>
                <c:pt idx="837">
                  <c:v>42331</c:v>
                </c:pt>
                <c:pt idx="838">
                  <c:v>42332</c:v>
                </c:pt>
                <c:pt idx="839">
                  <c:v>42333</c:v>
                </c:pt>
                <c:pt idx="840">
                  <c:v>42334</c:v>
                </c:pt>
                <c:pt idx="841">
                  <c:v>42335</c:v>
                </c:pt>
                <c:pt idx="842">
                  <c:v>42338</c:v>
                </c:pt>
                <c:pt idx="843">
                  <c:v>42339</c:v>
                </c:pt>
                <c:pt idx="844">
                  <c:v>42340</c:v>
                </c:pt>
                <c:pt idx="845">
                  <c:v>42341</c:v>
                </c:pt>
                <c:pt idx="846">
                  <c:v>42342</c:v>
                </c:pt>
                <c:pt idx="847">
                  <c:v>42345</c:v>
                </c:pt>
                <c:pt idx="848">
                  <c:v>42346</c:v>
                </c:pt>
                <c:pt idx="849">
                  <c:v>42347</c:v>
                </c:pt>
                <c:pt idx="850">
                  <c:v>42348</c:v>
                </c:pt>
                <c:pt idx="851">
                  <c:v>42349</c:v>
                </c:pt>
                <c:pt idx="852">
                  <c:v>42352</c:v>
                </c:pt>
                <c:pt idx="853">
                  <c:v>42353</c:v>
                </c:pt>
                <c:pt idx="854">
                  <c:v>42354</c:v>
                </c:pt>
                <c:pt idx="855">
                  <c:v>42355</c:v>
                </c:pt>
                <c:pt idx="856">
                  <c:v>42356</c:v>
                </c:pt>
                <c:pt idx="857">
                  <c:v>42359</c:v>
                </c:pt>
                <c:pt idx="858">
                  <c:v>42360</c:v>
                </c:pt>
                <c:pt idx="859">
                  <c:v>42361</c:v>
                </c:pt>
                <c:pt idx="860">
                  <c:v>42362</c:v>
                </c:pt>
                <c:pt idx="861">
                  <c:v>42367</c:v>
                </c:pt>
                <c:pt idx="862">
                  <c:v>42368</c:v>
                </c:pt>
                <c:pt idx="863">
                  <c:v>42369</c:v>
                </c:pt>
                <c:pt idx="864">
                  <c:v>42373</c:v>
                </c:pt>
                <c:pt idx="865">
                  <c:v>42374</c:v>
                </c:pt>
                <c:pt idx="866">
                  <c:v>42375</c:v>
                </c:pt>
                <c:pt idx="867">
                  <c:v>42376</c:v>
                </c:pt>
                <c:pt idx="868">
                  <c:v>42377</c:v>
                </c:pt>
                <c:pt idx="869">
                  <c:v>42380</c:v>
                </c:pt>
                <c:pt idx="870">
                  <c:v>42381</c:v>
                </c:pt>
                <c:pt idx="871">
                  <c:v>42382</c:v>
                </c:pt>
                <c:pt idx="872">
                  <c:v>42383</c:v>
                </c:pt>
                <c:pt idx="873">
                  <c:v>42384</c:v>
                </c:pt>
                <c:pt idx="874">
                  <c:v>42387</c:v>
                </c:pt>
                <c:pt idx="875">
                  <c:v>42388</c:v>
                </c:pt>
                <c:pt idx="876">
                  <c:v>42389</c:v>
                </c:pt>
                <c:pt idx="877">
                  <c:v>42390</c:v>
                </c:pt>
                <c:pt idx="878">
                  <c:v>42391</c:v>
                </c:pt>
                <c:pt idx="879">
                  <c:v>42394</c:v>
                </c:pt>
                <c:pt idx="880">
                  <c:v>42395</c:v>
                </c:pt>
                <c:pt idx="881">
                  <c:v>42396</c:v>
                </c:pt>
                <c:pt idx="882">
                  <c:v>42397</c:v>
                </c:pt>
                <c:pt idx="883">
                  <c:v>42398</c:v>
                </c:pt>
                <c:pt idx="884">
                  <c:v>42401</c:v>
                </c:pt>
                <c:pt idx="885">
                  <c:v>42402</c:v>
                </c:pt>
                <c:pt idx="886">
                  <c:v>42403</c:v>
                </c:pt>
                <c:pt idx="887">
                  <c:v>42404</c:v>
                </c:pt>
                <c:pt idx="888">
                  <c:v>42405</c:v>
                </c:pt>
                <c:pt idx="889">
                  <c:v>42408</c:v>
                </c:pt>
                <c:pt idx="890">
                  <c:v>42409</c:v>
                </c:pt>
                <c:pt idx="891">
                  <c:v>42410</c:v>
                </c:pt>
                <c:pt idx="892">
                  <c:v>42411</c:v>
                </c:pt>
                <c:pt idx="893">
                  <c:v>42412</c:v>
                </c:pt>
                <c:pt idx="894">
                  <c:v>42416</c:v>
                </c:pt>
                <c:pt idx="895">
                  <c:v>42417</c:v>
                </c:pt>
                <c:pt idx="896">
                  <c:v>42418</c:v>
                </c:pt>
                <c:pt idx="897">
                  <c:v>42419</c:v>
                </c:pt>
                <c:pt idx="898">
                  <c:v>42422</c:v>
                </c:pt>
                <c:pt idx="899">
                  <c:v>42423</c:v>
                </c:pt>
                <c:pt idx="900">
                  <c:v>42424</c:v>
                </c:pt>
                <c:pt idx="901">
                  <c:v>42425</c:v>
                </c:pt>
                <c:pt idx="902">
                  <c:v>42426</c:v>
                </c:pt>
                <c:pt idx="903">
                  <c:v>42429</c:v>
                </c:pt>
                <c:pt idx="904">
                  <c:v>42430</c:v>
                </c:pt>
                <c:pt idx="905">
                  <c:v>42431</c:v>
                </c:pt>
                <c:pt idx="906">
                  <c:v>42432</c:v>
                </c:pt>
                <c:pt idx="907">
                  <c:v>42433</c:v>
                </c:pt>
                <c:pt idx="908">
                  <c:v>42436</c:v>
                </c:pt>
                <c:pt idx="909">
                  <c:v>42437</c:v>
                </c:pt>
                <c:pt idx="910">
                  <c:v>42438</c:v>
                </c:pt>
                <c:pt idx="911">
                  <c:v>42439</c:v>
                </c:pt>
                <c:pt idx="912">
                  <c:v>42440</c:v>
                </c:pt>
                <c:pt idx="913">
                  <c:v>42443</c:v>
                </c:pt>
                <c:pt idx="914">
                  <c:v>42444</c:v>
                </c:pt>
                <c:pt idx="915">
                  <c:v>42445</c:v>
                </c:pt>
                <c:pt idx="916">
                  <c:v>42446</c:v>
                </c:pt>
                <c:pt idx="917">
                  <c:v>42447</c:v>
                </c:pt>
                <c:pt idx="918">
                  <c:v>42450</c:v>
                </c:pt>
                <c:pt idx="919">
                  <c:v>42451</c:v>
                </c:pt>
                <c:pt idx="920">
                  <c:v>42452</c:v>
                </c:pt>
                <c:pt idx="921">
                  <c:v>42453</c:v>
                </c:pt>
                <c:pt idx="922">
                  <c:v>42457</c:v>
                </c:pt>
                <c:pt idx="923">
                  <c:v>42458</c:v>
                </c:pt>
                <c:pt idx="924">
                  <c:v>42459</c:v>
                </c:pt>
                <c:pt idx="925">
                  <c:v>42460</c:v>
                </c:pt>
                <c:pt idx="926">
                  <c:v>42461</c:v>
                </c:pt>
                <c:pt idx="927">
                  <c:v>42464</c:v>
                </c:pt>
                <c:pt idx="928">
                  <c:v>42465</c:v>
                </c:pt>
                <c:pt idx="929">
                  <c:v>42466</c:v>
                </c:pt>
                <c:pt idx="930">
                  <c:v>42467</c:v>
                </c:pt>
                <c:pt idx="931">
                  <c:v>42468</c:v>
                </c:pt>
                <c:pt idx="932">
                  <c:v>42471</c:v>
                </c:pt>
                <c:pt idx="933">
                  <c:v>42472</c:v>
                </c:pt>
                <c:pt idx="934">
                  <c:v>42473</c:v>
                </c:pt>
                <c:pt idx="935">
                  <c:v>42474</c:v>
                </c:pt>
                <c:pt idx="936">
                  <c:v>42475</c:v>
                </c:pt>
                <c:pt idx="937">
                  <c:v>42478</c:v>
                </c:pt>
                <c:pt idx="938">
                  <c:v>42479</c:v>
                </c:pt>
                <c:pt idx="939">
                  <c:v>42480</c:v>
                </c:pt>
                <c:pt idx="940">
                  <c:v>42481</c:v>
                </c:pt>
                <c:pt idx="941">
                  <c:v>42482</c:v>
                </c:pt>
                <c:pt idx="942">
                  <c:v>42485</c:v>
                </c:pt>
                <c:pt idx="943">
                  <c:v>42486</c:v>
                </c:pt>
                <c:pt idx="944">
                  <c:v>42487</c:v>
                </c:pt>
                <c:pt idx="945">
                  <c:v>42488</c:v>
                </c:pt>
                <c:pt idx="946">
                  <c:v>42489</c:v>
                </c:pt>
                <c:pt idx="947">
                  <c:v>42492</c:v>
                </c:pt>
                <c:pt idx="948">
                  <c:v>42493</c:v>
                </c:pt>
                <c:pt idx="949">
                  <c:v>42494</c:v>
                </c:pt>
                <c:pt idx="950">
                  <c:v>42495</c:v>
                </c:pt>
                <c:pt idx="951">
                  <c:v>42496</c:v>
                </c:pt>
                <c:pt idx="952">
                  <c:v>42499</c:v>
                </c:pt>
                <c:pt idx="953">
                  <c:v>42500</c:v>
                </c:pt>
                <c:pt idx="954">
                  <c:v>42501</c:v>
                </c:pt>
                <c:pt idx="955">
                  <c:v>42502</c:v>
                </c:pt>
                <c:pt idx="956">
                  <c:v>42503</c:v>
                </c:pt>
                <c:pt idx="957">
                  <c:v>42506</c:v>
                </c:pt>
                <c:pt idx="958">
                  <c:v>42507</c:v>
                </c:pt>
                <c:pt idx="959">
                  <c:v>42508</c:v>
                </c:pt>
                <c:pt idx="960">
                  <c:v>42509</c:v>
                </c:pt>
                <c:pt idx="961">
                  <c:v>42510</c:v>
                </c:pt>
                <c:pt idx="962">
                  <c:v>42514</c:v>
                </c:pt>
                <c:pt idx="963">
                  <c:v>42515</c:v>
                </c:pt>
                <c:pt idx="964">
                  <c:v>42516</c:v>
                </c:pt>
                <c:pt idx="965">
                  <c:v>42517</c:v>
                </c:pt>
                <c:pt idx="966">
                  <c:v>42520</c:v>
                </c:pt>
                <c:pt idx="967">
                  <c:v>42521</c:v>
                </c:pt>
                <c:pt idx="968">
                  <c:v>42522</c:v>
                </c:pt>
                <c:pt idx="969">
                  <c:v>42523</c:v>
                </c:pt>
                <c:pt idx="970">
                  <c:v>42524</c:v>
                </c:pt>
                <c:pt idx="971">
                  <c:v>42527</c:v>
                </c:pt>
                <c:pt idx="972">
                  <c:v>42528</c:v>
                </c:pt>
                <c:pt idx="973">
                  <c:v>42529</c:v>
                </c:pt>
                <c:pt idx="974">
                  <c:v>42530</c:v>
                </c:pt>
                <c:pt idx="975">
                  <c:v>42531</c:v>
                </c:pt>
                <c:pt idx="976">
                  <c:v>42534</c:v>
                </c:pt>
                <c:pt idx="977">
                  <c:v>42535</c:v>
                </c:pt>
                <c:pt idx="978">
                  <c:v>42536</c:v>
                </c:pt>
                <c:pt idx="979">
                  <c:v>42537</c:v>
                </c:pt>
                <c:pt idx="980">
                  <c:v>42538</c:v>
                </c:pt>
                <c:pt idx="981">
                  <c:v>42541</c:v>
                </c:pt>
                <c:pt idx="982">
                  <c:v>42542</c:v>
                </c:pt>
                <c:pt idx="983">
                  <c:v>42543</c:v>
                </c:pt>
                <c:pt idx="984">
                  <c:v>42544</c:v>
                </c:pt>
                <c:pt idx="985">
                  <c:v>42545</c:v>
                </c:pt>
                <c:pt idx="986">
                  <c:v>42548</c:v>
                </c:pt>
                <c:pt idx="987">
                  <c:v>42549</c:v>
                </c:pt>
                <c:pt idx="988">
                  <c:v>42550</c:v>
                </c:pt>
                <c:pt idx="989">
                  <c:v>42551</c:v>
                </c:pt>
                <c:pt idx="990">
                  <c:v>42555</c:v>
                </c:pt>
                <c:pt idx="991">
                  <c:v>42556</c:v>
                </c:pt>
                <c:pt idx="992">
                  <c:v>42557</c:v>
                </c:pt>
                <c:pt idx="993">
                  <c:v>42558</c:v>
                </c:pt>
                <c:pt idx="994">
                  <c:v>42559</c:v>
                </c:pt>
                <c:pt idx="995">
                  <c:v>42562</c:v>
                </c:pt>
                <c:pt idx="996">
                  <c:v>42563</c:v>
                </c:pt>
                <c:pt idx="997">
                  <c:v>42564</c:v>
                </c:pt>
                <c:pt idx="998">
                  <c:v>42565</c:v>
                </c:pt>
                <c:pt idx="999">
                  <c:v>42566</c:v>
                </c:pt>
                <c:pt idx="1000">
                  <c:v>42569</c:v>
                </c:pt>
                <c:pt idx="1001">
                  <c:v>42570</c:v>
                </c:pt>
                <c:pt idx="1002">
                  <c:v>42571</c:v>
                </c:pt>
                <c:pt idx="1003">
                  <c:v>42572</c:v>
                </c:pt>
                <c:pt idx="1004">
                  <c:v>42573</c:v>
                </c:pt>
                <c:pt idx="1005">
                  <c:v>42576</c:v>
                </c:pt>
                <c:pt idx="1006">
                  <c:v>42577</c:v>
                </c:pt>
                <c:pt idx="1007">
                  <c:v>42578</c:v>
                </c:pt>
                <c:pt idx="1008">
                  <c:v>42579</c:v>
                </c:pt>
                <c:pt idx="1009">
                  <c:v>42580</c:v>
                </c:pt>
                <c:pt idx="1010">
                  <c:v>42584</c:v>
                </c:pt>
                <c:pt idx="1011">
                  <c:v>42585</c:v>
                </c:pt>
                <c:pt idx="1012">
                  <c:v>42586</c:v>
                </c:pt>
                <c:pt idx="1013">
                  <c:v>42587</c:v>
                </c:pt>
                <c:pt idx="1014">
                  <c:v>42590</c:v>
                </c:pt>
                <c:pt idx="1015">
                  <c:v>42591</c:v>
                </c:pt>
                <c:pt idx="1016">
                  <c:v>42592</c:v>
                </c:pt>
                <c:pt idx="1017">
                  <c:v>42593</c:v>
                </c:pt>
                <c:pt idx="1018">
                  <c:v>42594</c:v>
                </c:pt>
                <c:pt idx="1019">
                  <c:v>42597</c:v>
                </c:pt>
                <c:pt idx="1020">
                  <c:v>42598</c:v>
                </c:pt>
                <c:pt idx="1021">
                  <c:v>42599</c:v>
                </c:pt>
                <c:pt idx="1022">
                  <c:v>42600</c:v>
                </c:pt>
                <c:pt idx="1023">
                  <c:v>42601</c:v>
                </c:pt>
                <c:pt idx="1024">
                  <c:v>42604</c:v>
                </c:pt>
                <c:pt idx="1025">
                  <c:v>42605</c:v>
                </c:pt>
                <c:pt idx="1026">
                  <c:v>42606</c:v>
                </c:pt>
                <c:pt idx="1027">
                  <c:v>42607</c:v>
                </c:pt>
                <c:pt idx="1028">
                  <c:v>42608</c:v>
                </c:pt>
                <c:pt idx="1029">
                  <c:v>42611</c:v>
                </c:pt>
                <c:pt idx="1030">
                  <c:v>42612</c:v>
                </c:pt>
                <c:pt idx="1031">
                  <c:v>42613</c:v>
                </c:pt>
                <c:pt idx="1032">
                  <c:v>42614</c:v>
                </c:pt>
                <c:pt idx="1033">
                  <c:v>42615</c:v>
                </c:pt>
                <c:pt idx="1034">
                  <c:v>42619</c:v>
                </c:pt>
                <c:pt idx="1035">
                  <c:v>42620</c:v>
                </c:pt>
                <c:pt idx="1036">
                  <c:v>42621</c:v>
                </c:pt>
                <c:pt idx="1037">
                  <c:v>42622</c:v>
                </c:pt>
                <c:pt idx="1038">
                  <c:v>42625</c:v>
                </c:pt>
                <c:pt idx="1039">
                  <c:v>42626</c:v>
                </c:pt>
                <c:pt idx="1040">
                  <c:v>42627</c:v>
                </c:pt>
                <c:pt idx="1041">
                  <c:v>42628</c:v>
                </c:pt>
                <c:pt idx="1042">
                  <c:v>42629</c:v>
                </c:pt>
                <c:pt idx="1043">
                  <c:v>42632</c:v>
                </c:pt>
                <c:pt idx="1044">
                  <c:v>42633</c:v>
                </c:pt>
                <c:pt idx="1045">
                  <c:v>42634</c:v>
                </c:pt>
                <c:pt idx="1046">
                  <c:v>42635</c:v>
                </c:pt>
                <c:pt idx="1047">
                  <c:v>42636</c:v>
                </c:pt>
                <c:pt idx="1048">
                  <c:v>42639</c:v>
                </c:pt>
                <c:pt idx="1049">
                  <c:v>42640</c:v>
                </c:pt>
                <c:pt idx="1050">
                  <c:v>42641</c:v>
                </c:pt>
                <c:pt idx="1051">
                  <c:v>42642</c:v>
                </c:pt>
                <c:pt idx="1052">
                  <c:v>42643</c:v>
                </c:pt>
                <c:pt idx="1053">
                  <c:v>42646</c:v>
                </c:pt>
                <c:pt idx="1054">
                  <c:v>42647</c:v>
                </c:pt>
                <c:pt idx="1055">
                  <c:v>42648</c:v>
                </c:pt>
                <c:pt idx="1056">
                  <c:v>42649</c:v>
                </c:pt>
                <c:pt idx="1057">
                  <c:v>42650</c:v>
                </c:pt>
                <c:pt idx="1058">
                  <c:v>42654</c:v>
                </c:pt>
                <c:pt idx="1059">
                  <c:v>42655</c:v>
                </c:pt>
                <c:pt idx="1060">
                  <c:v>42656</c:v>
                </c:pt>
                <c:pt idx="1061">
                  <c:v>42657</c:v>
                </c:pt>
                <c:pt idx="1062">
                  <c:v>42660</c:v>
                </c:pt>
                <c:pt idx="1063">
                  <c:v>42661</c:v>
                </c:pt>
                <c:pt idx="1064">
                  <c:v>42662</c:v>
                </c:pt>
                <c:pt idx="1065">
                  <c:v>42663</c:v>
                </c:pt>
                <c:pt idx="1066">
                  <c:v>42664</c:v>
                </c:pt>
                <c:pt idx="1067">
                  <c:v>42667</c:v>
                </c:pt>
                <c:pt idx="1068">
                  <c:v>42668</c:v>
                </c:pt>
                <c:pt idx="1069">
                  <c:v>42669</c:v>
                </c:pt>
                <c:pt idx="1070">
                  <c:v>42670</c:v>
                </c:pt>
                <c:pt idx="1071">
                  <c:v>42671</c:v>
                </c:pt>
                <c:pt idx="1072">
                  <c:v>42674</c:v>
                </c:pt>
                <c:pt idx="1073">
                  <c:v>42675</c:v>
                </c:pt>
                <c:pt idx="1074">
                  <c:v>42676</c:v>
                </c:pt>
                <c:pt idx="1075">
                  <c:v>42677</c:v>
                </c:pt>
                <c:pt idx="1076">
                  <c:v>42678</c:v>
                </c:pt>
                <c:pt idx="1077">
                  <c:v>42681</c:v>
                </c:pt>
                <c:pt idx="1078">
                  <c:v>42682</c:v>
                </c:pt>
                <c:pt idx="1079">
                  <c:v>42683</c:v>
                </c:pt>
                <c:pt idx="1080">
                  <c:v>42684</c:v>
                </c:pt>
                <c:pt idx="1081">
                  <c:v>42685</c:v>
                </c:pt>
                <c:pt idx="1082">
                  <c:v>42688</c:v>
                </c:pt>
                <c:pt idx="1083">
                  <c:v>42689</c:v>
                </c:pt>
                <c:pt idx="1084">
                  <c:v>42690</c:v>
                </c:pt>
                <c:pt idx="1085">
                  <c:v>42691</c:v>
                </c:pt>
                <c:pt idx="1086">
                  <c:v>42692</c:v>
                </c:pt>
                <c:pt idx="1087">
                  <c:v>42695</c:v>
                </c:pt>
                <c:pt idx="1088">
                  <c:v>42696</c:v>
                </c:pt>
                <c:pt idx="1089">
                  <c:v>42697</c:v>
                </c:pt>
                <c:pt idx="1090">
                  <c:v>42698</c:v>
                </c:pt>
                <c:pt idx="1091">
                  <c:v>42699</c:v>
                </c:pt>
                <c:pt idx="1092">
                  <c:v>42702</c:v>
                </c:pt>
                <c:pt idx="1093">
                  <c:v>42703</c:v>
                </c:pt>
                <c:pt idx="1094">
                  <c:v>42704</c:v>
                </c:pt>
                <c:pt idx="1095">
                  <c:v>42705</c:v>
                </c:pt>
                <c:pt idx="1096">
                  <c:v>42706</c:v>
                </c:pt>
                <c:pt idx="1097">
                  <c:v>42709</c:v>
                </c:pt>
                <c:pt idx="1098">
                  <c:v>42710</c:v>
                </c:pt>
                <c:pt idx="1099">
                  <c:v>42711</c:v>
                </c:pt>
                <c:pt idx="1100">
                  <c:v>42712</c:v>
                </c:pt>
                <c:pt idx="1101">
                  <c:v>42713</c:v>
                </c:pt>
                <c:pt idx="1102">
                  <c:v>42716</c:v>
                </c:pt>
                <c:pt idx="1103">
                  <c:v>42717</c:v>
                </c:pt>
                <c:pt idx="1104">
                  <c:v>42718</c:v>
                </c:pt>
                <c:pt idx="1105">
                  <c:v>42719</c:v>
                </c:pt>
                <c:pt idx="1106">
                  <c:v>42720</c:v>
                </c:pt>
                <c:pt idx="1107">
                  <c:v>42723</c:v>
                </c:pt>
                <c:pt idx="1108">
                  <c:v>42724</c:v>
                </c:pt>
                <c:pt idx="1109">
                  <c:v>42725</c:v>
                </c:pt>
                <c:pt idx="1110">
                  <c:v>42726</c:v>
                </c:pt>
                <c:pt idx="1111">
                  <c:v>42727</c:v>
                </c:pt>
                <c:pt idx="1112">
                  <c:v>42732</c:v>
                </c:pt>
                <c:pt idx="1113">
                  <c:v>42733</c:v>
                </c:pt>
                <c:pt idx="1114">
                  <c:v>42734</c:v>
                </c:pt>
                <c:pt idx="1115">
                  <c:v>42738</c:v>
                </c:pt>
                <c:pt idx="1116">
                  <c:v>42739</c:v>
                </c:pt>
                <c:pt idx="1117">
                  <c:v>42740</c:v>
                </c:pt>
                <c:pt idx="1118">
                  <c:v>42741</c:v>
                </c:pt>
                <c:pt idx="1119">
                  <c:v>42744</c:v>
                </c:pt>
                <c:pt idx="1120">
                  <c:v>42745</c:v>
                </c:pt>
                <c:pt idx="1121">
                  <c:v>42746</c:v>
                </c:pt>
                <c:pt idx="1122">
                  <c:v>42747</c:v>
                </c:pt>
                <c:pt idx="1123">
                  <c:v>42748</c:v>
                </c:pt>
                <c:pt idx="1124">
                  <c:v>42751</c:v>
                </c:pt>
                <c:pt idx="1125">
                  <c:v>42752</c:v>
                </c:pt>
                <c:pt idx="1126">
                  <c:v>42753</c:v>
                </c:pt>
                <c:pt idx="1127">
                  <c:v>42754</c:v>
                </c:pt>
                <c:pt idx="1128">
                  <c:v>42755</c:v>
                </c:pt>
                <c:pt idx="1129">
                  <c:v>42758</c:v>
                </c:pt>
                <c:pt idx="1130">
                  <c:v>42759</c:v>
                </c:pt>
                <c:pt idx="1131">
                  <c:v>42760</c:v>
                </c:pt>
                <c:pt idx="1132">
                  <c:v>42761</c:v>
                </c:pt>
                <c:pt idx="1133">
                  <c:v>42762</c:v>
                </c:pt>
                <c:pt idx="1134">
                  <c:v>42765</c:v>
                </c:pt>
                <c:pt idx="1135">
                  <c:v>42766</c:v>
                </c:pt>
                <c:pt idx="1136">
                  <c:v>42767</c:v>
                </c:pt>
                <c:pt idx="1137">
                  <c:v>42768</c:v>
                </c:pt>
                <c:pt idx="1138">
                  <c:v>42769</c:v>
                </c:pt>
                <c:pt idx="1139">
                  <c:v>42772</c:v>
                </c:pt>
                <c:pt idx="1140">
                  <c:v>42773</c:v>
                </c:pt>
                <c:pt idx="1141">
                  <c:v>42774</c:v>
                </c:pt>
                <c:pt idx="1142">
                  <c:v>42775</c:v>
                </c:pt>
                <c:pt idx="1143">
                  <c:v>42776</c:v>
                </c:pt>
                <c:pt idx="1144">
                  <c:v>42779</c:v>
                </c:pt>
                <c:pt idx="1145">
                  <c:v>42780</c:v>
                </c:pt>
                <c:pt idx="1146">
                  <c:v>42781</c:v>
                </c:pt>
                <c:pt idx="1147">
                  <c:v>42782</c:v>
                </c:pt>
                <c:pt idx="1148">
                  <c:v>42783</c:v>
                </c:pt>
                <c:pt idx="1149">
                  <c:v>42787</c:v>
                </c:pt>
                <c:pt idx="1150">
                  <c:v>42788</c:v>
                </c:pt>
                <c:pt idx="1151">
                  <c:v>42789</c:v>
                </c:pt>
                <c:pt idx="1152">
                  <c:v>42790</c:v>
                </c:pt>
                <c:pt idx="1153">
                  <c:v>42793</c:v>
                </c:pt>
                <c:pt idx="1154">
                  <c:v>42794</c:v>
                </c:pt>
                <c:pt idx="1155">
                  <c:v>42795</c:v>
                </c:pt>
                <c:pt idx="1156">
                  <c:v>42796</c:v>
                </c:pt>
                <c:pt idx="1157">
                  <c:v>42797</c:v>
                </c:pt>
                <c:pt idx="1158">
                  <c:v>42800</c:v>
                </c:pt>
                <c:pt idx="1159">
                  <c:v>42801</c:v>
                </c:pt>
                <c:pt idx="1160">
                  <c:v>42802</c:v>
                </c:pt>
                <c:pt idx="1161">
                  <c:v>42803</c:v>
                </c:pt>
                <c:pt idx="1162">
                  <c:v>42804</c:v>
                </c:pt>
                <c:pt idx="1163">
                  <c:v>42807</c:v>
                </c:pt>
                <c:pt idx="1164">
                  <c:v>42808</c:v>
                </c:pt>
                <c:pt idx="1165">
                  <c:v>42809</c:v>
                </c:pt>
                <c:pt idx="1166">
                  <c:v>42810</c:v>
                </c:pt>
                <c:pt idx="1167">
                  <c:v>42811</c:v>
                </c:pt>
                <c:pt idx="1168">
                  <c:v>42814</c:v>
                </c:pt>
                <c:pt idx="1169">
                  <c:v>42815</c:v>
                </c:pt>
                <c:pt idx="1170">
                  <c:v>42816</c:v>
                </c:pt>
                <c:pt idx="1171">
                  <c:v>42817</c:v>
                </c:pt>
                <c:pt idx="1172">
                  <c:v>42818</c:v>
                </c:pt>
                <c:pt idx="1173">
                  <c:v>42821</c:v>
                </c:pt>
                <c:pt idx="1174">
                  <c:v>42822</c:v>
                </c:pt>
                <c:pt idx="1175">
                  <c:v>42823</c:v>
                </c:pt>
                <c:pt idx="1176">
                  <c:v>42824</c:v>
                </c:pt>
                <c:pt idx="1177">
                  <c:v>42825</c:v>
                </c:pt>
                <c:pt idx="1178">
                  <c:v>42828</c:v>
                </c:pt>
                <c:pt idx="1179">
                  <c:v>42829</c:v>
                </c:pt>
                <c:pt idx="1180">
                  <c:v>42830</c:v>
                </c:pt>
                <c:pt idx="1181">
                  <c:v>42831</c:v>
                </c:pt>
                <c:pt idx="1182">
                  <c:v>42832</c:v>
                </c:pt>
                <c:pt idx="1183">
                  <c:v>42835</c:v>
                </c:pt>
                <c:pt idx="1184">
                  <c:v>42836</c:v>
                </c:pt>
                <c:pt idx="1185">
                  <c:v>42837</c:v>
                </c:pt>
                <c:pt idx="1186">
                  <c:v>42838</c:v>
                </c:pt>
                <c:pt idx="1187">
                  <c:v>42842</c:v>
                </c:pt>
                <c:pt idx="1188">
                  <c:v>42843</c:v>
                </c:pt>
                <c:pt idx="1189">
                  <c:v>42844</c:v>
                </c:pt>
                <c:pt idx="1190">
                  <c:v>42845</c:v>
                </c:pt>
                <c:pt idx="1191">
                  <c:v>42846</c:v>
                </c:pt>
                <c:pt idx="1192">
                  <c:v>42849</c:v>
                </c:pt>
                <c:pt idx="1193">
                  <c:v>42850</c:v>
                </c:pt>
                <c:pt idx="1194">
                  <c:v>42851</c:v>
                </c:pt>
                <c:pt idx="1195">
                  <c:v>42852</c:v>
                </c:pt>
                <c:pt idx="1196">
                  <c:v>42853</c:v>
                </c:pt>
                <c:pt idx="1197">
                  <c:v>42856</c:v>
                </c:pt>
                <c:pt idx="1198">
                  <c:v>42857</c:v>
                </c:pt>
                <c:pt idx="1199">
                  <c:v>42858</c:v>
                </c:pt>
                <c:pt idx="1200">
                  <c:v>42859</c:v>
                </c:pt>
                <c:pt idx="1201">
                  <c:v>42860</c:v>
                </c:pt>
                <c:pt idx="1202">
                  <c:v>42863</c:v>
                </c:pt>
                <c:pt idx="1203">
                  <c:v>42864</c:v>
                </c:pt>
                <c:pt idx="1204">
                  <c:v>42865</c:v>
                </c:pt>
                <c:pt idx="1205">
                  <c:v>42866</c:v>
                </c:pt>
                <c:pt idx="1206">
                  <c:v>42867</c:v>
                </c:pt>
                <c:pt idx="1207">
                  <c:v>42870</c:v>
                </c:pt>
                <c:pt idx="1208">
                  <c:v>42871</c:v>
                </c:pt>
                <c:pt idx="1209">
                  <c:v>42872</c:v>
                </c:pt>
                <c:pt idx="1210">
                  <c:v>42873</c:v>
                </c:pt>
                <c:pt idx="1211">
                  <c:v>42874</c:v>
                </c:pt>
                <c:pt idx="1212">
                  <c:v>42878</c:v>
                </c:pt>
                <c:pt idx="1213">
                  <c:v>42879</c:v>
                </c:pt>
                <c:pt idx="1214">
                  <c:v>42880</c:v>
                </c:pt>
                <c:pt idx="1215">
                  <c:v>42881</c:v>
                </c:pt>
                <c:pt idx="1216">
                  <c:v>42884</c:v>
                </c:pt>
                <c:pt idx="1217">
                  <c:v>42885</c:v>
                </c:pt>
                <c:pt idx="1218">
                  <c:v>42886</c:v>
                </c:pt>
                <c:pt idx="1219">
                  <c:v>42887</c:v>
                </c:pt>
                <c:pt idx="1220">
                  <c:v>42888</c:v>
                </c:pt>
                <c:pt idx="1221">
                  <c:v>42891</c:v>
                </c:pt>
                <c:pt idx="1222">
                  <c:v>42892</c:v>
                </c:pt>
                <c:pt idx="1223">
                  <c:v>42893</c:v>
                </c:pt>
                <c:pt idx="1224">
                  <c:v>42894</c:v>
                </c:pt>
                <c:pt idx="1225">
                  <c:v>42895</c:v>
                </c:pt>
                <c:pt idx="1226">
                  <c:v>42898</c:v>
                </c:pt>
                <c:pt idx="1227">
                  <c:v>42899</c:v>
                </c:pt>
                <c:pt idx="1228">
                  <c:v>42900</c:v>
                </c:pt>
                <c:pt idx="1229">
                  <c:v>42901</c:v>
                </c:pt>
                <c:pt idx="1230">
                  <c:v>42902</c:v>
                </c:pt>
                <c:pt idx="1231">
                  <c:v>42905</c:v>
                </c:pt>
                <c:pt idx="1232">
                  <c:v>42906</c:v>
                </c:pt>
                <c:pt idx="1233">
                  <c:v>42907</c:v>
                </c:pt>
                <c:pt idx="1234">
                  <c:v>42908</c:v>
                </c:pt>
                <c:pt idx="1235">
                  <c:v>42909</c:v>
                </c:pt>
                <c:pt idx="1236">
                  <c:v>42912</c:v>
                </c:pt>
                <c:pt idx="1237">
                  <c:v>42913</c:v>
                </c:pt>
                <c:pt idx="1238">
                  <c:v>42914</c:v>
                </c:pt>
                <c:pt idx="1239">
                  <c:v>42915</c:v>
                </c:pt>
                <c:pt idx="1240">
                  <c:v>42916</c:v>
                </c:pt>
                <c:pt idx="1241">
                  <c:v>42920</c:v>
                </c:pt>
                <c:pt idx="1242">
                  <c:v>42921</c:v>
                </c:pt>
                <c:pt idx="1243">
                  <c:v>42922</c:v>
                </c:pt>
                <c:pt idx="1244">
                  <c:v>42923</c:v>
                </c:pt>
                <c:pt idx="1245">
                  <c:v>42926</c:v>
                </c:pt>
                <c:pt idx="1246">
                  <c:v>42927</c:v>
                </c:pt>
                <c:pt idx="1247">
                  <c:v>42928</c:v>
                </c:pt>
                <c:pt idx="1248">
                  <c:v>42929</c:v>
                </c:pt>
                <c:pt idx="1249">
                  <c:v>42930</c:v>
                </c:pt>
                <c:pt idx="1250">
                  <c:v>42933</c:v>
                </c:pt>
                <c:pt idx="1251">
                  <c:v>42934</c:v>
                </c:pt>
                <c:pt idx="1252">
                  <c:v>42935</c:v>
                </c:pt>
                <c:pt idx="1253">
                  <c:v>42936</c:v>
                </c:pt>
                <c:pt idx="1254">
                  <c:v>42937</c:v>
                </c:pt>
              </c:numCache>
            </c:numRef>
          </c:cat>
          <c:val>
            <c:numRef>
              <c:f>'Price History'!$F$5:$F$4964</c:f>
              <c:numCache>
                <c:formatCode>General</c:formatCode>
                <c:ptCount val="4960"/>
                <c:pt idx="0">
                  <c:v>6.93</c:v>
                </c:pt>
                <c:pt idx="1">
                  <c:v>6.91</c:v>
                </c:pt>
                <c:pt idx="2">
                  <c:v>6.88</c:v>
                </c:pt>
                <c:pt idx="3">
                  <c:v>6.87</c:v>
                </c:pt>
                <c:pt idx="4">
                  <c:v>6.86</c:v>
                </c:pt>
                <c:pt idx="5">
                  <c:v>6.81</c:v>
                </c:pt>
                <c:pt idx="6">
                  <c:v>6.7</c:v>
                </c:pt>
                <c:pt idx="7">
                  <c:v>6.69</c:v>
                </c:pt>
                <c:pt idx="8">
                  <c:v>6.81</c:v>
                </c:pt>
                <c:pt idx="9">
                  <c:v>6.75</c:v>
                </c:pt>
                <c:pt idx="10">
                  <c:v>6.79</c:v>
                </c:pt>
                <c:pt idx="11">
                  <c:v>6.69</c:v>
                </c:pt>
                <c:pt idx="12">
                  <c:v>6.64</c:v>
                </c:pt>
                <c:pt idx="13">
                  <c:v>6.75</c:v>
                </c:pt>
                <c:pt idx="14">
                  <c:v>6.78</c:v>
                </c:pt>
                <c:pt idx="15">
                  <c:v>6.74</c:v>
                </c:pt>
                <c:pt idx="16">
                  <c:v>6.7</c:v>
                </c:pt>
                <c:pt idx="17">
                  <c:v>6.69</c:v>
                </c:pt>
                <c:pt idx="18">
                  <c:v>6.79</c:v>
                </c:pt>
                <c:pt idx="19">
                  <c:v>6.75</c:v>
                </c:pt>
                <c:pt idx="20">
                  <c:v>6.72</c:v>
                </c:pt>
                <c:pt idx="21">
                  <c:v>6.78</c:v>
                </c:pt>
                <c:pt idx="22">
                  <c:v>6.83</c:v>
                </c:pt>
                <c:pt idx="23">
                  <c:v>6.85</c:v>
                </c:pt>
                <c:pt idx="24">
                  <c:v>6.85</c:v>
                </c:pt>
                <c:pt idx="25">
                  <c:v>6.8</c:v>
                </c:pt>
                <c:pt idx="26">
                  <c:v>6.73</c:v>
                </c:pt>
                <c:pt idx="27">
                  <c:v>6.7</c:v>
                </c:pt>
                <c:pt idx="28">
                  <c:v>6.71</c:v>
                </c:pt>
                <c:pt idx="29">
                  <c:v>6.68</c:v>
                </c:pt>
                <c:pt idx="30">
                  <c:v>6.7</c:v>
                </c:pt>
                <c:pt idx="31">
                  <c:v>6.68</c:v>
                </c:pt>
                <c:pt idx="32">
                  <c:v>6.7</c:v>
                </c:pt>
                <c:pt idx="33">
                  <c:v>6.68</c:v>
                </c:pt>
                <c:pt idx="34">
                  <c:v>6.69</c:v>
                </c:pt>
                <c:pt idx="35">
                  <c:v>6.69</c:v>
                </c:pt>
                <c:pt idx="36">
                  <c:v>6.69</c:v>
                </c:pt>
                <c:pt idx="37">
                  <c:v>6.66</c:v>
                </c:pt>
                <c:pt idx="38">
                  <c:v>6.64</c:v>
                </c:pt>
                <c:pt idx="39">
                  <c:v>6.63</c:v>
                </c:pt>
                <c:pt idx="40">
                  <c:v>6.64</c:v>
                </c:pt>
                <c:pt idx="41">
                  <c:v>6.7</c:v>
                </c:pt>
                <c:pt idx="42">
                  <c:v>6.68</c:v>
                </c:pt>
                <c:pt idx="43">
                  <c:v>6.62</c:v>
                </c:pt>
                <c:pt idx="44">
                  <c:v>6.63</c:v>
                </c:pt>
                <c:pt idx="45">
                  <c:v>6.68</c:v>
                </c:pt>
                <c:pt idx="46">
                  <c:v>6.6</c:v>
                </c:pt>
                <c:pt idx="47">
                  <c:v>6.68</c:v>
                </c:pt>
                <c:pt idx="48">
                  <c:v>6.74</c:v>
                </c:pt>
                <c:pt idx="49">
                  <c:v>6.74</c:v>
                </c:pt>
                <c:pt idx="50">
                  <c:v>6.78</c:v>
                </c:pt>
                <c:pt idx="51">
                  <c:v>6.8</c:v>
                </c:pt>
                <c:pt idx="52">
                  <c:v>6.77</c:v>
                </c:pt>
                <c:pt idx="53">
                  <c:v>6.76</c:v>
                </c:pt>
                <c:pt idx="54">
                  <c:v>6.81</c:v>
                </c:pt>
                <c:pt idx="55">
                  <c:v>6.82</c:v>
                </c:pt>
                <c:pt idx="56">
                  <c:v>6.76</c:v>
                </c:pt>
                <c:pt idx="57">
                  <c:v>6.77</c:v>
                </c:pt>
                <c:pt idx="58">
                  <c:v>6.81</c:v>
                </c:pt>
                <c:pt idx="59">
                  <c:v>6.93</c:v>
                </c:pt>
                <c:pt idx="60">
                  <c:v>6.99</c:v>
                </c:pt>
                <c:pt idx="61">
                  <c:v>6.9</c:v>
                </c:pt>
                <c:pt idx="62">
                  <c:v>6.95</c:v>
                </c:pt>
                <c:pt idx="63">
                  <c:v>6.91</c:v>
                </c:pt>
                <c:pt idx="64">
                  <c:v>6.92</c:v>
                </c:pt>
                <c:pt idx="65">
                  <c:v>6.93</c:v>
                </c:pt>
                <c:pt idx="66">
                  <c:v>6.89</c:v>
                </c:pt>
                <c:pt idx="67">
                  <c:v>6.91</c:v>
                </c:pt>
                <c:pt idx="68">
                  <c:v>7.06</c:v>
                </c:pt>
                <c:pt idx="69">
                  <c:v>7.03</c:v>
                </c:pt>
                <c:pt idx="70">
                  <c:v>6.98</c:v>
                </c:pt>
                <c:pt idx="71">
                  <c:v>6.92</c:v>
                </c:pt>
                <c:pt idx="72">
                  <c:v>6.94</c:v>
                </c:pt>
                <c:pt idx="73">
                  <c:v>6.9</c:v>
                </c:pt>
                <c:pt idx="74">
                  <c:v>6.86</c:v>
                </c:pt>
                <c:pt idx="75">
                  <c:v>6.86</c:v>
                </c:pt>
                <c:pt idx="76">
                  <c:v>6.84</c:v>
                </c:pt>
                <c:pt idx="77">
                  <c:v>6.83</c:v>
                </c:pt>
                <c:pt idx="78">
                  <c:v>6.83</c:v>
                </c:pt>
                <c:pt idx="79">
                  <c:v>6.8</c:v>
                </c:pt>
                <c:pt idx="80">
                  <c:v>6.73</c:v>
                </c:pt>
                <c:pt idx="81">
                  <c:v>6.79</c:v>
                </c:pt>
                <c:pt idx="82">
                  <c:v>6.89</c:v>
                </c:pt>
                <c:pt idx="83">
                  <c:v>6.85</c:v>
                </c:pt>
                <c:pt idx="84">
                  <c:v>6.66</c:v>
                </c:pt>
                <c:pt idx="85">
                  <c:v>6.69</c:v>
                </c:pt>
                <c:pt idx="86">
                  <c:v>6.66</c:v>
                </c:pt>
                <c:pt idx="87">
                  <c:v>6.7</c:v>
                </c:pt>
                <c:pt idx="88">
                  <c:v>6.69</c:v>
                </c:pt>
                <c:pt idx="89">
                  <c:v>6.63</c:v>
                </c:pt>
                <c:pt idx="90">
                  <c:v>6.64</c:v>
                </c:pt>
                <c:pt idx="91">
                  <c:v>6.75</c:v>
                </c:pt>
                <c:pt idx="92">
                  <c:v>6.74</c:v>
                </c:pt>
                <c:pt idx="93">
                  <c:v>6.65</c:v>
                </c:pt>
                <c:pt idx="94">
                  <c:v>6.68</c:v>
                </c:pt>
                <c:pt idx="95">
                  <c:v>6.65</c:v>
                </c:pt>
                <c:pt idx="96">
                  <c:v>6.73</c:v>
                </c:pt>
                <c:pt idx="97">
                  <c:v>6.82</c:v>
                </c:pt>
                <c:pt idx="98">
                  <c:v>6.85</c:v>
                </c:pt>
                <c:pt idx="99">
                  <c:v>6.83</c:v>
                </c:pt>
                <c:pt idx="100">
                  <c:v>6.8</c:v>
                </c:pt>
                <c:pt idx="101">
                  <c:v>6.78</c:v>
                </c:pt>
                <c:pt idx="102">
                  <c:v>6.77</c:v>
                </c:pt>
                <c:pt idx="103">
                  <c:v>6.76</c:v>
                </c:pt>
                <c:pt idx="104">
                  <c:v>6.79</c:v>
                </c:pt>
                <c:pt idx="105">
                  <c:v>6.89</c:v>
                </c:pt>
                <c:pt idx="106">
                  <c:v>6.89</c:v>
                </c:pt>
                <c:pt idx="107">
                  <c:v>6.88</c:v>
                </c:pt>
                <c:pt idx="108">
                  <c:v>6.85</c:v>
                </c:pt>
                <c:pt idx="109">
                  <c:v>6.88</c:v>
                </c:pt>
                <c:pt idx="110">
                  <c:v>6.9</c:v>
                </c:pt>
                <c:pt idx="111">
                  <c:v>7.1</c:v>
                </c:pt>
                <c:pt idx="112">
                  <c:v>7.25</c:v>
                </c:pt>
                <c:pt idx="113">
                  <c:v>7.2</c:v>
                </c:pt>
                <c:pt idx="114">
                  <c:v>7.23</c:v>
                </c:pt>
                <c:pt idx="115">
                  <c:v>7.2</c:v>
                </c:pt>
                <c:pt idx="116">
                  <c:v>7.22</c:v>
                </c:pt>
                <c:pt idx="117">
                  <c:v>7.28</c:v>
                </c:pt>
                <c:pt idx="118">
                  <c:v>7.31</c:v>
                </c:pt>
                <c:pt idx="119">
                  <c:v>7.32</c:v>
                </c:pt>
                <c:pt idx="120">
                  <c:v>7.42</c:v>
                </c:pt>
                <c:pt idx="121">
                  <c:v>7.42</c:v>
                </c:pt>
                <c:pt idx="122">
                  <c:v>7.37</c:v>
                </c:pt>
                <c:pt idx="123">
                  <c:v>7.34</c:v>
                </c:pt>
                <c:pt idx="124">
                  <c:v>7.44</c:v>
                </c:pt>
                <c:pt idx="125">
                  <c:v>7.5</c:v>
                </c:pt>
                <c:pt idx="126">
                  <c:v>7.55</c:v>
                </c:pt>
                <c:pt idx="127">
                  <c:v>7.6</c:v>
                </c:pt>
                <c:pt idx="128">
                  <c:v>7.58</c:v>
                </c:pt>
                <c:pt idx="129">
                  <c:v>7.51</c:v>
                </c:pt>
                <c:pt idx="130">
                  <c:v>7.49</c:v>
                </c:pt>
                <c:pt idx="131">
                  <c:v>7.44</c:v>
                </c:pt>
                <c:pt idx="132">
                  <c:v>7.45</c:v>
                </c:pt>
                <c:pt idx="133">
                  <c:v>7.43</c:v>
                </c:pt>
                <c:pt idx="134">
                  <c:v>7.36</c:v>
                </c:pt>
                <c:pt idx="135">
                  <c:v>7.45</c:v>
                </c:pt>
                <c:pt idx="136">
                  <c:v>7.39</c:v>
                </c:pt>
                <c:pt idx="137">
                  <c:v>7.38</c:v>
                </c:pt>
                <c:pt idx="138">
                  <c:v>7.38</c:v>
                </c:pt>
                <c:pt idx="139">
                  <c:v>7.54</c:v>
                </c:pt>
                <c:pt idx="140">
                  <c:v>7.58</c:v>
                </c:pt>
                <c:pt idx="141">
                  <c:v>7.44</c:v>
                </c:pt>
                <c:pt idx="142">
                  <c:v>7.38</c:v>
                </c:pt>
                <c:pt idx="143">
                  <c:v>7.42</c:v>
                </c:pt>
                <c:pt idx="144">
                  <c:v>7.43</c:v>
                </c:pt>
                <c:pt idx="145">
                  <c:v>7.41</c:v>
                </c:pt>
                <c:pt idx="146">
                  <c:v>7.41</c:v>
                </c:pt>
                <c:pt idx="147">
                  <c:v>7.58</c:v>
                </c:pt>
                <c:pt idx="148">
                  <c:v>7.66</c:v>
                </c:pt>
                <c:pt idx="149">
                  <c:v>7.63</c:v>
                </c:pt>
                <c:pt idx="150">
                  <c:v>7.66</c:v>
                </c:pt>
                <c:pt idx="151">
                  <c:v>7.69</c:v>
                </c:pt>
                <c:pt idx="152">
                  <c:v>7.77</c:v>
                </c:pt>
                <c:pt idx="153">
                  <c:v>7.78</c:v>
                </c:pt>
                <c:pt idx="154">
                  <c:v>7.72</c:v>
                </c:pt>
                <c:pt idx="155">
                  <c:v>7.65</c:v>
                </c:pt>
                <c:pt idx="156">
                  <c:v>7.74</c:v>
                </c:pt>
                <c:pt idx="157">
                  <c:v>7.77</c:v>
                </c:pt>
                <c:pt idx="158">
                  <c:v>7.83</c:v>
                </c:pt>
                <c:pt idx="159">
                  <c:v>7.83</c:v>
                </c:pt>
                <c:pt idx="160">
                  <c:v>7.75</c:v>
                </c:pt>
                <c:pt idx="161">
                  <c:v>7.75</c:v>
                </c:pt>
                <c:pt idx="162">
                  <c:v>7.82</c:v>
                </c:pt>
                <c:pt idx="163">
                  <c:v>7.74</c:v>
                </c:pt>
                <c:pt idx="164">
                  <c:v>7.64</c:v>
                </c:pt>
                <c:pt idx="165">
                  <c:v>7.57</c:v>
                </c:pt>
                <c:pt idx="166">
                  <c:v>7.56</c:v>
                </c:pt>
                <c:pt idx="167">
                  <c:v>7.59</c:v>
                </c:pt>
                <c:pt idx="168">
                  <c:v>7.58</c:v>
                </c:pt>
                <c:pt idx="169">
                  <c:v>7.49</c:v>
                </c:pt>
                <c:pt idx="170">
                  <c:v>7.43</c:v>
                </c:pt>
                <c:pt idx="171">
                  <c:v>7.5</c:v>
                </c:pt>
                <c:pt idx="172">
                  <c:v>7.49</c:v>
                </c:pt>
                <c:pt idx="173">
                  <c:v>7.44</c:v>
                </c:pt>
                <c:pt idx="174">
                  <c:v>7.49</c:v>
                </c:pt>
                <c:pt idx="175">
                  <c:v>7.51</c:v>
                </c:pt>
                <c:pt idx="176">
                  <c:v>7.44</c:v>
                </c:pt>
                <c:pt idx="177">
                  <c:v>7.53</c:v>
                </c:pt>
                <c:pt idx="178">
                  <c:v>7.63</c:v>
                </c:pt>
                <c:pt idx="179">
                  <c:v>7.72</c:v>
                </c:pt>
                <c:pt idx="180">
                  <c:v>7.71</c:v>
                </c:pt>
                <c:pt idx="181">
                  <c:v>7.64</c:v>
                </c:pt>
                <c:pt idx="182">
                  <c:v>7.62</c:v>
                </c:pt>
                <c:pt idx="183">
                  <c:v>7.7</c:v>
                </c:pt>
                <c:pt idx="184">
                  <c:v>7.64</c:v>
                </c:pt>
                <c:pt idx="185">
                  <c:v>7.61</c:v>
                </c:pt>
                <c:pt idx="186">
                  <c:v>7.77</c:v>
                </c:pt>
                <c:pt idx="187">
                  <c:v>7.82</c:v>
                </c:pt>
                <c:pt idx="188">
                  <c:v>7.95</c:v>
                </c:pt>
                <c:pt idx="189">
                  <c:v>8.07</c:v>
                </c:pt>
                <c:pt idx="190">
                  <c:v>7.97</c:v>
                </c:pt>
                <c:pt idx="191">
                  <c:v>7.87</c:v>
                </c:pt>
                <c:pt idx="192">
                  <c:v>7.87</c:v>
                </c:pt>
                <c:pt idx="193">
                  <c:v>7.97</c:v>
                </c:pt>
                <c:pt idx="194">
                  <c:v>7.97</c:v>
                </c:pt>
                <c:pt idx="195">
                  <c:v>7.95</c:v>
                </c:pt>
                <c:pt idx="196">
                  <c:v>7.92</c:v>
                </c:pt>
                <c:pt idx="197">
                  <c:v>7.89</c:v>
                </c:pt>
                <c:pt idx="198">
                  <c:v>7.91</c:v>
                </c:pt>
                <c:pt idx="199">
                  <c:v>7.92</c:v>
                </c:pt>
                <c:pt idx="200">
                  <c:v>7.94</c:v>
                </c:pt>
                <c:pt idx="201">
                  <c:v>8.33</c:v>
                </c:pt>
                <c:pt idx="202">
                  <c:v>8.25</c:v>
                </c:pt>
                <c:pt idx="203">
                  <c:v>8.19</c:v>
                </c:pt>
                <c:pt idx="204">
                  <c:v>8.14</c:v>
                </c:pt>
                <c:pt idx="205">
                  <c:v>8.07</c:v>
                </c:pt>
                <c:pt idx="206">
                  <c:v>8.0299999999999994</c:v>
                </c:pt>
                <c:pt idx="207">
                  <c:v>8.1199999999999992</c:v>
                </c:pt>
                <c:pt idx="208">
                  <c:v>8.18</c:v>
                </c:pt>
                <c:pt idx="209">
                  <c:v>8.24</c:v>
                </c:pt>
                <c:pt idx="210">
                  <c:v>8.1199999999999992</c:v>
                </c:pt>
                <c:pt idx="211">
                  <c:v>8.08</c:v>
                </c:pt>
                <c:pt idx="212">
                  <c:v>8.0500000000000007</c:v>
                </c:pt>
                <c:pt idx="213">
                  <c:v>7.97</c:v>
                </c:pt>
                <c:pt idx="214">
                  <c:v>7.87</c:v>
                </c:pt>
                <c:pt idx="215">
                  <c:v>7.73</c:v>
                </c:pt>
                <c:pt idx="216">
                  <c:v>7.72</c:v>
                </c:pt>
                <c:pt idx="217">
                  <c:v>7.7</c:v>
                </c:pt>
                <c:pt idx="218">
                  <c:v>7.65</c:v>
                </c:pt>
                <c:pt idx="219">
                  <c:v>7.62</c:v>
                </c:pt>
                <c:pt idx="220">
                  <c:v>7.61</c:v>
                </c:pt>
                <c:pt idx="221">
                  <c:v>7.48</c:v>
                </c:pt>
                <c:pt idx="222">
                  <c:v>7.54</c:v>
                </c:pt>
                <c:pt idx="223">
                  <c:v>7.5</c:v>
                </c:pt>
                <c:pt idx="224">
                  <c:v>7.54</c:v>
                </c:pt>
                <c:pt idx="225">
                  <c:v>7.58</c:v>
                </c:pt>
                <c:pt idx="226">
                  <c:v>7.62</c:v>
                </c:pt>
                <c:pt idx="227">
                  <c:v>7.45</c:v>
                </c:pt>
                <c:pt idx="228">
                  <c:v>7.48</c:v>
                </c:pt>
                <c:pt idx="229">
                  <c:v>7.19</c:v>
                </c:pt>
                <c:pt idx="230">
                  <c:v>7.27</c:v>
                </c:pt>
                <c:pt idx="231">
                  <c:v>7.25</c:v>
                </c:pt>
                <c:pt idx="232">
                  <c:v>7.33</c:v>
                </c:pt>
                <c:pt idx="233">
                  <c:v>7.35</c:v>
                </c:pt>
                <c:pt idx="234">
                  <c:v>7.31</c:v>
                </c:pt>
                <c:pt idx="235">
                  <c:v>7.3</c:v>
                </c:pt>
                <c:pt idx="236">
                  <c:v>7.32</c:v>
                </c:pt>
                <c:pt idx="237">
                  <c:v>7.15</c:v>
                </c:pt>
                <c:pt idx="238">
                  <c:v>7.22</c:v>
                </c:pt>
                <c:pt idx="239">
                  <c:v>7.05</c:v>
                </c:pt>
                <c:pt idx="240">
                  <c:v>7.22</c:v>
                </c:pt>
                <c:pt idx="241">
                  <c:v>7.25</c:v>
                </c:pt>
                <c:pt idx="242">
                  <c:v>7.1</c:v>
                </c:pt>
                <c:pt idx="243">
                  <c:v>7.21</c:v>
                </c:pt>
                <c:pt idx="244">
                  <c:v>7.26</c:v>
                </c:pt>
                <c:pt idx="245">
                  <c:v>7.45</c:v>
                </c:pt>
                <c:pt idx="246">
                  <c:v>7.46</c:v>
                </c:pt>
                <c:pt idx="247">
                  <c:v>7.25</c:v>
                </c:pt>
                <c:pt idx="248">
                  <c:v>7.39</c:v>
                </c:pt>
                <c:pt idx="249">
                  <c:v>7.28</c:v>
                </c:pt>
                <c:pt idx="250">
                  <c:v>7.2</c:v>
                </c:pt>
                <c:pt idx="251">
                  <c:v>7.19</c:v>
                </c:pt>
                <c:pt idx="252">
                  <c:v>7.17</c:v>
                </c:pt>
                <c:pt idx="253">
                  <c:v>7.07</c:v>
                </c:pt>
                <c:pt idx="254">
                  <c:v>7.13</c:v>
                </c:pt>
                <c:pt idx="255">
                  <c:v>7.17</c:v>
                </c:pt>
                <c:pt idx="256">
                  <c:v>7.17</c:v>
                </c:pt>
                <c:pt idx="257">
                  <c:v>7.12</c:v>
                </c:pt>
                <c:pt idx="258">
                  <c:v>7</c:v>
                </c:pt>
                <c:pt idx="259">
                  <c:v>6.94</c:v>
                </c:pt>
                <c:pt idx="260">
                  <c:v>6.9</c:v>
                </c:pt>
                <c:pt idx="261">
                  <c:v>7</c:v>
                </c:pt>
                <c:pt idx="262">
                  <c:v>7</c:v>
                </c:pt>
                <c:pt idx="263">
                  <c:v>6.87</c:v>
                </c:pt>
                <c:pt idx="264">
                  <c:v>6.94</c:v>
                </c:pt>
                <c:pt idx="265">
                  <c:v>6.9</c:v>
                </c:pt>
                <c:pt idx="266">
                  <c:v>6.83</c:v>
                </c:pt>
                <c:pt idx="267">
                  <c:v>6.84</c:v>
                </c:pt>
                <c:pt idx="268">
                  <c:v>6.97</c:v>
                </c:pt>
                <c:pt idx="269">
                  <c:v>6.99</c:v>
                </c:pt>
                <c:pt idx="270">
                  <c:v>6.84</c:v>
                </c:pt>
                <c:pt idx="271">
                  <c:v>6.7</c:v>
                </c:pt>
                <c:pt idx="272">
                  <c:v>6.78</c:v>
                </c:pt>
                <c:pt idx="273">
                  <c:v>6.77</c:v>
                </c:pt>
                <c:pt idx="274">
                  <c:v>6.77</c:v>
                </c:pt>
                <c:pt idx="275">
                  <c:v>6.79</c:v>
                </c:pt>
                <c:pt idx="276">
                  <c:v>6.81</c:v>
                </c:pt>
                <c:pt idx="277">
                  <c:v>6.76</c:v>
                </c:pt>
                <c:pt idx="278">
                  <c:v>6.74</c:v>
                </c:pt>
                <c:pt idx="279">
                  <c:v>6.82</c:v>
                </c:pt>
                <c:pt idx="280">
                  <c:v>6.79</c:v>
                </c:pt>
                <c:pt idx="281">
                  <c:v>6.8</c:v>
                </c:pt>
                <c:pt idx="282">
                  <c:v>6.83</c:v>
                </c:pt>
                <c:pt idx="283">
                  <c:v>6.63</c:v>
                </c:pt>
                <c:pt idx="284">
                  <c:v>6.4</c:v>
                </c:pt>
                <c:pt idx="285">
                  <c:v>6.39</c:v>
                </c:pt>
                <c:pt idx="286">
                  <c:v>6.33</c:v>
                </c:pt>
                <c:pt idx="287">
                  <c:v>6.4</c:v>
                </c:pt>
                <c:pt idx="288">
                  <c:v>6.59</c:v>
                </c:pt>
                <c:pt idx="289">
                  <c:v>6.59</c:v>
                </c:pt>
                <c:pt idx="290">
                  <c:v>6.54</c:v>
                </c:pt>
                <c:pt idx="291">
                  <c:v>6.57</c:v>
                </c:pt>
                <c:pt idx="292">
                  <c:v>6.5</c:v>
                </c:pt>
                <c:pt idx="293">
                  <c:v>6.5</c:v>
                </c:pt>
                <c:pt idx="294">
                  <c:v>6.56</c:v>
                </c:pt>
                <c:pt idx="295">
                  <c:v>6.67</c:v>
                </c:pt>
                <c:pt idx="296">
                  <c:v>6.57</c:v>
                </c:pt>
                <c:pt idx="297">
                  <c:v>6.44</c:v>
                </c:pt>
                <c:pt idx="298">
                  <c:v>6.45</c:v>
                </c:pt>
                <c:pt idx="299">
                  <c:v>6.41</c:v>
                </c:pt>
                <c:pt idx="300">
                  <c:v>6.4</c:v>
                </c:pt>
                <c:pt idx="301">
                  <c:v>6.48</c:v>
                </c:pt>
                <c:pt idx="302">
                  <c:v>6.39</c:v>
                </c:pt>
                <c:pt idx="303">
                  <c:v>6.3</c:v>
                </c:pt>
                <c:pt idx="304">
                  <c:v>6.22</c:v>
                </c:pt>
                <c:pt idx="305">
                  <c:v>6.21</c:v>
                </c:pt>
                <c:pt idx="306">
                  <c:v>6.19</c:v>
                </c:pt>
                <c:pt idx="307">
                  <c:v>6.19</c:v>
                </c:pt>
                <c:pt idx="308">
                  <c:v>6.28</c:v>
                </c:pt>
                <c:pt idx="309">
                  <c:v>6.27</c:v>
                </c:pt>
                <c:pt idx="310">
                  <c:v>6.39</c:v>
                </c:pt>
                <c:pt idx="311">
                  <c:v>6.58</c:v>
                </c:pt>
                <c:pt idx="312">
                  <c:v>6.81</c:v>
                </c:pt>
                <c:pt idx="313">
                  <c:v>6.86</c:v>
                </c:pt>
                <c:pt idx="314">
                  <c:v>6.82</c:v>
                </c:pt>
                <c:pt idx="315">
                  <c:v>6.86</c:v>
                </c:pt>
                <c:pt idx="316">
                  <c:v>6.87</c:v>
                </c:pt>
                <c:pt idx="317">
                  <c:v>6.89</c:v>
                </c:pt>
                <c:pt idx="318">
                  <c:v>6.87</c:v>
                </c:pt>
                <c:pt idx="319">
                  <c:v>6.84</c:v>
                </c:pt>
                <c:pt idx="320">
                  <c:v>6.79</c:v>
                </c:pt>
                <c:pt idx="321">
                  <c:v>6.78</c:v>
                </c:pt>
                <c:pt idx="322">
                  <c:v>6.81</c:v>
                </c:pt>
                <c:pt idx="323">
                  <c:v>6.82</c:v>
                </c:pt>
                <c:pt idx="324">
                  <c:v>6.85</c:v>
                </c:pt>
                <c:pt idx="325">
                  <c:v>6.91</c:v>
                </c:pt>
                <c:pt idx="326">
                  <c:v>6.85</c:v>
                </c:pt>
                <c:pt idx="327">
                  <c:v>6.68</c:v>
                </c:pt>
                <c:pt idx="328">
                  <c:v>6.61</c:v>
                </c:pt>
                <c:pt idx="329">
                  <c:v>6.66</c:v>
                </c:pt>
                <c:pt idx="330">
                  <c:v>6.75</c:v>
                </c:pt>
                <c:pt idx="331">
                  <c:v>6.63</c:v>
                </c:pt>
                <c:pt idx="332">
                  <c:v>6.73</c:v>
                </c:pt>
                <c:pt idx="333">
                  <c:v>6.83</c:v>
                </c:pt>
                <c:pt idx="334">
                  <c:v>6.79</c:v>
                </c:pt>
                <c:pt idx="335">
                  <c:v>6.88</c:v>
                </c:pt>
                <c:pt idx="336">
                  <c:v>6.91</c:v>
                </c:pt>
                <c:pt idx="337">
                  <c:v>6.92</c:v>
                </c:pt>
                <c:pt idx="338">
                  <c:v>6.94</c:v>
                </c:pt>
                <c:pt idx="339">
                  <c:v>6.89</c:v>
                </c:pt>
                <c:pt idx="340">
                  <c:v>6.89</c:v>
                </c:pt>
                <c:pt idx="341">
                  <c:v>6.88</c:v>
                </c:pt>
                <c:pt idx="342">
                  <c:v>6.95</c:v>
                </c:pt>
                <c:pt idx="343">
                  <c:v>7.16</c:v>
                </c:pt>
                <c:pt idx="344">
                  <c:v>7.14</c:v>
                </c:pt>
                <c:pt idx="345">
                  <c:v>7.09</c:v>
                </c:pt>
                <c:pt idx="346">
                  <c:v>7.08</c:v>
                </c:pt>
                <c:pt idx="347">
                  <c:v>7.11</c:v>
                </c:pt>
                <c:pt idx="348">
                  <c:v>7.23</c:v>
                </c:pt>
                <c:pt idx="349">
                  <c:v>7.16</c:v>
                </c:pt>
                <c:pt idx="350">
                  <c:v>7.15</c:v>
                </c:pt>
                <c:pt idx="351">
                  <c:v>7.15</c:v>
                </c:pt>
                <c:pt idx="352">
                  <c:v>7.24</c:v>
                </c:pt>
                <c:pt idx="353">
                  <c:v>7.28</c:v>
                </c:pt>
                <c:pt idx="354">
                  <c:v>7.34</c:v>
                </c:pt>
                <c:pt idx="355">
                  <c:v>7.38</c:v>
                </c:pt>
                <c:pt idx="356">
                  <c:v>7.45</c:v>
                </c:pt>
                <c:pt idx="357">
                  <c:v>7.47</c:v>
                </c:pt>
                <c:pt idx="358">
                  <c:v>7.4</c:v>
                </c:pt>
                <c:pt idx="359">
                  <c:v>7.33</c:v>
                </c:pt>
                <c:pt idx="360">
                  <c:v>7.33</c:v>
                </c:pt>
                <c:pt idx="361">
                  <c:v>7.34</c:v>
                </c:pt>
                <c:pt idx="362">
                  <c:v>7.34</c:v>
                </c:pt>
                <c:pt idx="363">
                  <c:v>7.25</c:v>
                </c:pt>
                <c:pt idx="364">
                  <c:v>7.22</c:v>
                </c:pt>
                <c:pt idx="365">
                  <c:v>7.36</c:v>
                </c:pt>
                <c:pt idx="366">
                  <c:v>7.41</c:v>
                </c:pt>
                <c:pt idx="367">
                  <c:v>7.43</c:v>
                </c:pt>
                <c:pt idx="368">
                  <c:v>7.36</c:v>
                </c:pt>
                <c:pt idx="369">
                  <c:v>7.33</c:v>
                </c:pt>
                <c:pt idx="370">
                  <c:v>7.27</c:v>
                </c:pt>
                <c:pt idx="371">
                  <c:v>7.23</c:v>
                </c:pt>
                <c:pt idx="372">
                  <c:v>7.3</c:v>
                </c:pt>
                <c:pt idx="373">
                  <c:v>7.29</c:v>
                </c:pt>
                <c:pt idx="374">
                  <c:v>7.39</c:v>
                </c:pt>
                <c:pt idx="375">
                  <c:v>7.39</c:v>
                </c:pt>
                <c:pt idx="376">
                  <c:v>7.35</c:v>
                </c:pt>
                <c:pt idx="377">
                  <c:v>7.29</c:v>
                </c:pt>
                <c:pt idx="378">
                  <c:v>7.22</c:v>
                </c:pt>
                <c:pt idx="379">
                  <c:v>7.15</c:v>
                </c:pt>
                <c:pt idx="380">
                  <c:v>7.18</c:v>
                </c:pt>
                <c:pt idx="381">
                  <c:v>7.25</c:v>
                </c:pt>
                <c:pt idx="382">
                  <c:v>7.27</c:v>
                </c:pt>
                <c:pt idx="383">
                  <c:v>7.3</c:v>
                </c:pt>
                <c:pt idx="384">
                  <c:v>7.27</c:v>
                </c:pt>
                <c:pt idx="385">
                  <c:v>7.18</c:v>
                </c:pt>
                <c:pt idx="386">
                  <c:v>7.25</c:v>
                </c:pt>
                <c:pt idx="387">
                  <c:v>7.3</c:v>
                </c:pt>
                <c:pt idx="388">
                  <c:v>7.4</c:v>
                </c:pt>
                <c:pt idx="389">
                  <c:v>7.39</c:v>
                </c:pt>
                <c:pt idx="390">
                  <c:v>7.43</c:v>
                </c:pt>
                <c:pt idx="391">
                  <c:v>7.41</c:v>
                </c:pt>
                <c:pt idx="392">
                  <c:v>7.45</c:v>
                </c:pt>
                <c:pt idx="393">
                  <c:v>7.41</c:v>
                </c:pt>
                <c:pt idx="394">
                  <c:v>7.42</c:v>
                </c:pt>
                <c:pt idx="395">
                  <c:v>7.43</c:v>
                </c:pt>
                <c:pt idx="396">
                  <c:v>7.41</c:v>
                </c:pt>
                <c:pt idx="397">
                  <c:v>7.38</c:v>
                </c:pt>
                <c:pt idx="398">
                  <c:v>7.35</c:v>
                </c:pt>
                <c:pt idx="399">
                  <c:v>7.37</c:v>
                </c:pt>
                <c:pt idx="400">
                  <c:v>7.31</c:v>
                </c:pt>
                <c:pt idx="401">
                  <c:v>7.28</c:v>
                </c:pt>
                <c:pt idx="402">
                  <c:v>7.25</c:v>
                </c:pt>
                <c:pt idx="403">
                  <c:v>7.21</c:v>
                </c:pt>
                <c:pt idx="404">
                  <c:v>7.25</c:v>
                </c:pt>
                <c:pt idx="405">
                  <c:v>7.27</c:v>
                </c:pt>
                <c:pt idx="406">
                  <c:v>7.3</c:v>
                </c:pt>
                <c:pt idx="407">
                  <c:v>7.68</c:v>
                </c:pt>
                <c:pt idx="408">
                  <c:v>7.69</c:v>
                </c:pt>
                <c:pt idx="409">
                  <c:v>7.63</c:v>
                </c:pt>
                <c:pt idx="410">
                  <c:v>7.61</c:v>
                </c:pt>
                <c:pt idx="411">
                  <c:v>7.73</c:v>
                </c:pt>
                <c:pt idx="412">
                  <c:v>7.75</c:v>
                </c:pt>
                <c:pt idx="413">
                  <c:v>7.76</c:v>
                </c:pt>
                <c:pt idx="414">
                  <c:v>7.76</c:v>
                </c:pt>
                <c:pt idx="415">
                  <c:v>7.94</c:v>
                </c:pt>
                <c:pt idx="416">
                  <c:v>7.93</c:v>
                </c:pt>
                <c:pt idx="417">
                  <c:v>7.89</c:v>
                </c:pt>
                <c:pt idx="418">
                  <c:v>7.98</c:v>
                </c:pt>
                <c:pt idx="419">
                  <c:v>7.93</c:v>
                </c:pt>
                <c:pt idx="420">
                  <c:v>7.83</c:v>
                </c:pt>
                <c:pt idx="421">
                  <c:v>7.73</c:v>
                </c:pt>
                <c:pt idx="422">
                  <c:v>7.84</c:v>
                </c:pt>
                <c:pt idx="423">
                  <c:v>7.84</c:v>
                </c:pt>
                <c:pt idx="424">
                  <c:v>7.81</c:v>
                </c:pt>
                <c:pt idx="425">
                  <c:v>7.7</c:v>
                </c:pt>
                <c:pt idx="426">
                  <c:v>7.68</c:v>
                </c:pt>
                <c:pt idx="427">
                  <c:v>7.66</c:v>
                </c:pt>
                <c:pt idx="428">
                  <c:v>7.63</c:v>
                </c:pt>
                <c:pt idx="429">
                  <c:v>7.77</c:v>
                </c:pt>
                <c:pt idx="430">
                  <c:v>7.8</c:v>
                </c:pt>
                <c:pt idx="431">
                  <c:v>7.69</c:v>
                </c:pt>
                <c:pt idx="432">
                  <c:v>7.65</c:v>
                </c:pt>
                <c:pt idx="433">
                  <c:v>7.72</c:v>
                </c:pt>
                <c:pt idx="434">
                  <c:v>7.61</c:v>
                </c:pt>
                <c:pt idx="435">
                  <c:v>7.74</c:v>
                </c:pt>
                <c:pt idx="436">
                  <c:v>7.73</c:v>
                </c:pt>
                <c:pt idx="437">
                  <c:v>7.74</c:v>
                </c:pt>
                <c:pt idx="438">
                  <c:v>7.84</c:v>
                </c:pt>
                <c:pt idx="439">
                  <c:v>7.85</c:v>
                </c:pt>
                <c:pt idx="440">
                  <c:v>7.95</c:v>
                </c:pt>
                <c:pt idx="441">
                  <c:v>7.92</c:v>
                </c:pt>
                <c:pt idx="442">
                  <c:v>7.92</c:v>
                </c:pt>
                <c:pt idx="443">
                  <c:v>7.92</c:v>
                </c:pt>
                <c:pt idx="444">
                  <c:v>7.92</c:v>
                </c:pt>
                <c:pt idx="445">
                  <c:v>7.92</c:v>
                </c:pt>
                <c:pt idx="446">
                  <c:v>7.95</c:v>
                </c:pt>
                <c:pt idx="447">
                  <c:v>7.95</c:v>
                </c:pt>
                <c:pt idx="448">
                  <c:v>7.94</c:v>
                </c:pt>
                <c:pt idx="449">
                  <c:v>7.92</c:v>
                </c:pt>
                <c:pt idx="450">
                  <c:v>7.92</c:v>
                </c:pt>
                <c:pt idx="451">
                  <c:v>7.96</c:v>
                </c:pt>
                <c:pt idx="452">
                  <c:v>8.0500000000000007</c:v>
                </c:pt>
                <c:pt idx="453">
                  <c:v>8.0299999999999994</c:v>
                </c:pt>
                <c:pt idx="454">
                  <c:v>8.09</c:v>
                </c:pt>
                <c:pt idx="455">
                  <c:v>8.2200000000000006</c:v>
                </c:pt>
                <c:pt idx="456">
                  <c:v>8.19</c:v>
                </c:pt>
                <c:pt idx="457">
                  <c:v>8.19</c:v>
                </c:pt>
                <c:pt idx="458">
                  <c:v>8.15</c:v>
                </c:pt>
                <c:pt idx="459">
                  <c:v>8.17</c:v>
                </c:pt>
                <c:pt idx="460">
                  <c:v>8.19</c:v>
                </c:pt>
                <c:pt idx="461">
                  <c:v>8.2200000000000006</c:v>
                </c:pt>
                <c:pt idx="462">
                  <c:v>8.25</c:v>
                </c:pt>
                <c:pt idx="463">
                  <c:v>8.19</c:v>
                </c:pt>
                <c:pt idx="464">
                  <c:v>8.14</c:v>
                </c:pt>
                <c:pt idx="465">
                  <c:v>8.1199999999999992</c:v>
                </c:pt>
                <c:pt idx="466">
                  <c:v>8.1300000000000008</c:v>
                </c:pt>
                <c:pt idx="467">
                  <c:v>8.1199999999999992</c:v>
                </c:pt>
                <c:pt idx="468">
                  <c:v>8.16</c:v>
                </c:pt>
                <c:pt idx="469">
                  <c:v>8.25</c:v>
                </c:pt>
                <c:pt idx="470">
                  <c:v>8.2799999999999994</c:v>
                </c:pt>
                <c:pt idx="471">
                  <c:v>8.18</c:v>
                </c:pt>
                <c:pt idx="472">
                  <c:v>8.1</c:v>
                </c:pt>
                <c:pt idx="473">
                  <c:v>8.15</c:v>
                </c:pt>
                <c:pt idx="474">
                  <c:v>8.19</c:v>
                </c:pt>
                <c:pt idx="475">
                  <c:v>8.23</c:v>
                </c:pt>
                <c:pt idx="476">
                  <c:v>8.24</c:v>
                </c:pt>
                <c:pt idx="477">
                  <c:v>8.2200000000000006</c:v>
                </c:pt>
                <c:pt idx="478">
                  <c:v>8.24</c:v>
                </c:pt>
                <c:pt idx="479">
                  <c:v>8.26</c:v>
                </c:pt>
                <c:pt idx="480">
                  <c:v>8.25</c:v>
                </c:pt>
                <c:pt idx="481">
                  <c:v>8.25</c:v>
                </c:pt>
                <c:pt idx="482">
                  <c:v>8.1999999999999993</c:v>
                </c:pt>
                <c:pt idx="483">
                  <c:v>8.16</c:v>
                </c:pt>
                <c:pt idx="484">
                  <c:v>8.1199999999999992</c:v>
                </c:pt>
                <c:pt idx="485">
                  <c:v>8.1300000000000008</c:v>
                </c:pt>
                <c:pt idx="486">
                  <c:v>8.23</c:v>
                </c:pt>
                <c:pt idx="487">
                  <c:v>8.23</c:v>
                </c:pt>
                <c:pt idx="488">
                  <c:v>8.1999999999999993</c:v>
                </c:pt>
                <c:pt idx="489">
                  <c:v>8.18</c:v>
                </c:pt>
                <c:pt idx="490">
                  <c:v>8.1300000000000008</c:v>
                </c:pt>
                <c:pt idx="491">
                  <c:v>8.07</c:v>
                </c:pt>
                <c:pt idx="492">
                  <c:v>8.07</c:v>
                </c:pt>
                <c:pt idx="493">
                  <c:v>8.1300000000000008</c:v>
                </c:pt>
                <c:pt idx="494">
                  <c:v>8.1300000000000008</c:v>
                </c:pt>
                <c:pt idx="495">
                  <c:v>8.1300000000000008</c:v>
                </c:pt>
                <c:pt idx="496">
                  <c:v>8.1300000000000008</c:v>
                </c:pt>
                <c:pt idx="497">
                  <c:v>8.11</c:v>
                </c:pt>
                <c:pt idx="498">
                  <c:v>8.1300000000000008</c:v>
                </c:pt>
                <c:pt idx="499">
                  <c:v>8.14</c:v>
                </c:pt>
                <c:pt idx="500">
                  <c:v>8.15</c:v>
                </c:pt>
                <c:pt idx="501">
                  <c:v>8.17</c:v>
                </c:pt>
                <c:pt idx="502">
                  <c:v>8.19</c:v>
                </c:pt>
                <c:pt idx="503">
                  <c:v>8.18</c:v>
                </c:pt>
                <c:pt idx="504">
                  <c:v>8.17</c:v>
                </c:pt>
                <c:pt idx="505">
                  <c:v>8.17</c:v>
                </c:pt>
                <c:pt idx="506">
                  <c:v>8.2100000000000009</c:v>
                </c:pt>
                <c:pt idx="507">
                  <c:v>8.25</c:v>
                </c:pt>
                <c:pt idx="508">
                  <c:v>8.23</c:v>
                </c:pt>
                <c:pt idx="509">
                  <c:v>8.2200000000000006</c:v>
                </c:pt>
                <c:pt idx="510">
                  <c:v>8.1999999999999993</c:v>
                </c:pt>
                <c:pt idx="511">
                  <c:v>8.19</c:v>
                </c:pt>
                <c:pt idx="512">
                  <c:v>8.17</c:v>
                </c:pt>
                <c:pt idx="513">
                  <c:v>8.1999999999999993</c:v>
                </c:pt>
                <c:pt idx="514">
                  <c:v>8.19</c:v>
                </c:pt>
                <c:pt idx="515">
                  <c:v>8.17</c:v>
                </c:pt>
                <c:pt idx="516">
                  <c:v>8.25</c:v>
                </c:pt>
                <c:pt idx="517">
                  <c:v>8.49</c:v>
                </c:pt>
                <c:pt idx="518">
                  <c:v>8.56</c:v>
                </c:pt>
                <c:pt idx="519">
                  <c:v>8.84</c:v>
                </c:pt>
                <c:pt idx="520">
                  <c:v>8.9499999999999993</c:v>
                </c:pt>
                <c:pt idx="521">
                  <c:v>8.9700000000000006</c:v>
                </c:pt>
                <c:pt idx="522">
                  <c:v>8.91</c:v>
                </c:pt>
                <c:pt idx="523">
                  <c:v>8.91</c:v>
                </c:pt>
                <c:pt idx="524">
                  <c:v>9.0299999999999994</c:v>
                </c:pt>
                <c:pt idx="525">
                  <c:v>9.09</c:v>
                </c:pt>
                <c:pt idx="526">
                  <c:v>9.1</c:v>
                </c:pt>
                <c:pt idx="527">
                  <c:v>9.09</c:v>
                </c:pt>
                <c:pt idx="528">
                  <c:v>9.09</c:v>
                </c:pt>
                <c:pt idx="529">
                  <c:v>9.06</c:v>
                </c:pt>
                <c:pt idx="530">
                  <c:v>9.11</c:v>
                </c:pt>
                <c:pt idx="531">
                  <c:v>9.1300000000000008</c:v>
                </c:pt>
                <c:pt idx="532">
                  <c:v>8.8699999999999992</c:v>
                </c:pt>
                <c:pt idx="533">
                  <c:v>8.8699999999999992</c:v>
                </c:pt>
                <c:pt idx="534">
                  <c:v>8.81</c:v>
                </c:pt>
                <c:pt idx="535">
                  <c:v>8.8000000000000007</c:v>
                </c:pt>
                <c:pt idx="536">
                  <c:v>8.82</c:v>
                </c:pt>
                <c:pt idx="537">
                  <c:v>8.84</c:v>
                </c:pt>
                <c:pt idx="538">
                  <c:v>8.8000000000000007</c:v>
                </c:pt>
                <c:pt idx="539">
                  <c:v>8.85</c:v>
                </c:pt>
                <c:pt idx="540">
                  <c:v>8.86</c:v>
                </c:pt>
                <c:pt idx="541">
                  <c:v>8.8699999999999992</c:v>
                </c:pt>
                <c:pt idx="542">
                  <c:v>8.98</c:v>
                </c:pt>
                <c:pt idx="543">
                  <c:v>9.0500000000000007</c:v>
                </c:pt>
                <c:pt idx="544">
                  <c:v>9.0500000000000007</c:v>
                </c:pt>
                <c:pt idx="545">
                  <c:v>9.0299999999999994</c:v>
                </c:pt>
                <c:pt idx="546">
                  <c:v>9</c:v>
                </c:pt>
                <c:pt idx="547">
                  <c:v>8.8800000000000008</c:v>
                </c:pt>
                <c:pt idx="548">
                  <c:v>8.85</c:v>
                </c:pt>
                <c:pt idx="549">
                  <c:v>8.89</c:v>
                </c:pt>
                <c:pt idx="550">
                  <c:v>8.85</c:v>
                </c:pt>
                <c:pt idx="551">
                  <c:v>8.77</c:v>
                </c:pt>
                <c:pt idx="552">
                  <c:v>8.85</c:v>
                </c:pt>
                <c:pt idx="553">
                  <c:v>8.93</c:v>
                </c:pt>
                <c:pt idx="554">
                  <c:v>9.0500000000000007</c:v>
                </c:pt>
                <c:pt idx="555">
                  <c:v>8.9499999999999993</c:v>
                </c:pt>
                <c:pt idx="556">
                  <c:v>8.92</c:v>
                </c:pt>
                <c:pt idx="557">
                  <c:v>8.84</c:v>
                </c:pt>
                <c:pt idx="558">
                  <c:v>8.6199999999999992</c:v>
                </c:pt>
                <c:pt idx="559">
                  <c:v>8.5399999999999991</c:v>
                </c:pt>
                <c:pt idx="560">
                  <c:v>8.6</c:v>
                </c:pt>
                <c:pt idx="561">
                  <c:v>8.7799999999999994</c:v>
                </c:pt>
                <c:pt idx="562">
                  <c:v>8.8699999999999992</c:v>
                </c:pt>
                <c:pt idx="563">
                  <c:v>9.09</c:v>
                </c:pt>
                <c:pt idx="564">
                  <c:v>9.01</c:v>
                </c:pt>
                <c:pt idx="565">
                  <c:v>9.01</c:v>
                </c:pt>
                <c:pt idx="566">
                  <c:v>9</c:v>
                </c:pt>
                <c:pt idx="567">
                  <c:v>9.0500000000000007</c:v>
                </c:pt>
                <c:pt idx="568">
                  <c:v>9.2100000000000009</c:v>
                </c:pt>
                <c:pt idx="569">
                  <c:v>9.2799999999999994</c:v>
                </c:pt>
                <c:pt idx="570">
                  <c:v>9.11</c:v>
                </c:pt>
                <c:pt idx="571">
                  <c:v>9.1999999999999993</c:v>
                </c:pt>
                <c:pt idx="572">
                  <c:v>9.2799999999999994</c:v>
                </c:pt>
                <c:pt idx="573">
                  <c:v>9.34</c:v>
                </c:pt>
                <c:pt idx="574">
                  <c:v>9.23</c:v>
                </c:pt>
                <c:pt idx="575">
                  <c:v>9.4700000000000006</c:v>
                </c:pt>
                <c:pt idx="576">
                  <c:v>9.49</c:v>
                </c:pt>
                <c:pt idx="577">
                  <c:v>9.57</c:v>
                </c:pt>
                <c:pt idx="578">
                  <c:v>9.6199999999999992</c:v>
                </c:pt>
                <c:pt idx="579">
                  <c:v>9.61</c:v>
                </c:pt>
                <c:pt idx="580">
                  <c:v>9.74</c:v>
                </c:pt>
                <c:pt idx="581">
                  <c:v>9.5399999999999991</c:v>
                </c:pt>
                <c:pt idx="582">
                  <c:v>9.32</c:v>
                </c:pt>
                <c:pt idx="583">
                  <c:v>9.4700000000000006</c:v>
                </c:pt>
                <c:pt idx="584">
                  <c:v>9.56</c:v>
                </c:pt>
                <c:pt idx="585">
                  <c:v>9.6199999999999992</c:v>
                </c:pt>
                <c:pt idx="586">
                  <c:v>9.74</c:v>
                </c:pt>
                <c:pt idx="587">
                  <c:v>9.65</c:v>
                </c:pt>
                <c:pt idx="588">
                  <c:v>9.68</c:v>
                </c:pt>
                <c:pt idx="589">
                  <c:v>9.58</c:v>
                </c:pt>
                <c:pt idx="590">
                  <c:v>9.83</c:v>
                </c:pt>
                <c:pt idx="591">
                  <c:v>9.7799999999999994</c:v>
                </c:pt>
                <c:pt idx="592">
                  <c:v>9.92</c:v>
                </c:pt>
                <c:pt idx="593">
                  <c:v>10.25</c:v>
                </c:pt>
                <c:pt idx="594">
                  <c:v>9.8699999999999992</c:v>
                </c:pt>
                <c:pt idx="595">
                  <c:v>9.82</c:v>
                </c:pt>
                <c:pt idx="596">
                  <c:v>9.77</c:v>
                </c:pt>
                <c:pt idx="597">
                  <c:v>9.73</c:v>
                </c:pt>
                <c:pt idx="598">
                  <c:v>9.6300000000000008</c:v>
                </c:pt>
                <c:pt idx="599">
                  <c:v>9.6300000000000008</c:v>
                </c:pt>
                <c:pt idx="600">
                  <c:v>9.5500000000000007</c:v>
                </c:pt>
                <c:pt idx="601">
                  <c:v>9.48</c:v>
                </c:pt>
                <c:pt idx="602">
                  <c:v>9.5</c:v>
                </c:pt>
                <c:pt idx="603">
                  <c:v>9.4600000000000009</c:v>
                </c:pt>
                <c:pt idx="604">
                  <c:v>9.4499999999999993</c:v>
                </c:pt>
                <c:pt idx="605">
                  <c:v>9.5299999999999994</c:v>
                </c:pt>
                <c:pt idx="606">
                  <c:v>9.6300000000000008</c:v>
                </c:pt>
                <c:pt idx="607">
                  <c:v>9.75</c:v>
                </c:pt>
                <c:pt idx="608">
                  <c:v>9.81</c:v>
                </c:pt>
                <c:pt idx="609">
                  <c:v>9.7899999999999991</c:v>
                </c:pt>
                <c:pt idx="610">
                  <c:v>9.6999999999999993</c:v>
                </c:pt>
                <c:pt idx="611">
                  <c:v>9.67</c:v>
                </c:pt>
                <c:pt idx="612">
                  <c:v>9.67</c:v>
                </c:pt>
                <c:pt idx="613">
                  <c:v>9.7799999999999994</c:v>
                </c:pt>
                <c:pt idx="614">
                  <c:v>9.84</c:v>
                </c:pt>
                <c:pt idx="615">
                  <c:v>9.84</c:v>
                </c:pt>
                <c:pt idx="616">
                  <c:v>9.84</c:v>
                </c:pt>
                <c:pt idx="617">
                  <c:v>9.84</c:v>
                </c:pt>
                <c:pt idx="618">
                  <c:v>9.82</c:v>
                </c:pt>
                <c:pt idx="619">
                  <c:v>9.7899999999999991</c:v>
                </c:pt>
                <c:pt idx="620">
                  <c:v>9.6999999999999993</c:v>
                </c:pt>
                <c:pt idx="621">
                  <c:v>9.59</c:v>
                </c:pt>
                <c:pt idx="622">
                  <c:v>9.7899999999999991</c:v>
                </c:pt>
                <c:pt idx="623">
                  <c:v>9.92</c:v>
                </c:pt>
                <c:pt idx="624">
                  <c:v>9.92</c:v>
                </c:pt>
                <c:pt idx="625">
                  <c:v>9.98</c:v>
                </c:pt>
                <c:pt idx="626">
                  <c:v>10.06</c:v>
                </c:pt>
                <c:pt idx="627">
                  <c:v>10.23</c:v>
                </c:pt>
                <c:pt idx="628">
                  <c:v>10.3</c:v>
                </c:pt>
                <c:pt idx="629">
                  <c:v>10.28</c:v>
                </c:pt>
                <c:pt idx="630">
                  <c:v>10.3</c:v>
                </c:pt>
                <c:pt idx="631">
                  <c:v>10.44</c:v>
                </c:pt>
                <c:pt idx="632">
                  <c:v>10.4</c:v>
                </c:pt>
                <c:pt idx="633">
                  <c:v>10.44</c:v>
                </c:pt>
                <c:pt idx="634">
                  <c:v>10.48</c:v>
                </c:pt>
                <c:pt idx="635">
                  <c:v>10.51</c:v>
                </c:pt>
                <c:pt idx="636">
                  <c:v>10.49</c:v>
                </c:pt>
                <c:pt idx="637">
                  <c:v>10.49</c:v>
                </c:pt>
                <c:pt idx="638">
                  <c:v>10.43</c:v>
                </c:pt>
                <c:pt idx="639">
                  <c:v>10.45</c:v>
                </c:pt>
                <c:pt idx="640">
                  <c:v>10.35</c:v>
                </c:pt>
                <c:pt idx="641">
                  <c:v>10.36</c:v>
                </c:pt>
                <c:pt idx="642">
                  <c:v>10.5</c:v>
                </c:pt>
                <c:pt idx="643">
                  <c:v>10.42</c:v>
                </c:pt>
                <c:pt idx="644">
                  <c:v>10.35</c:v>
                </c:pt>
                <c:pt idx="645">
                  <c:v>10.27</c:v>
                </c:pt>
                <c:pt idx="646">
                  <c:v>10.31</c:v>
                </c:pt>
                <c:pt idx="647">
                  <c:v>10.28</c:v>
                </c:pt>
                <c:pt idx="648">
                  <c:v>10.16</c:v>
                </c:pt>
                <c:pt idx="649">
                  <c:v>10.35</c:v>
                </c:pt>
                <c:pt idx="650">
                  <c:v>10.34</c:v>
                </c:pt>
                <c:pt idx="651">
                  <c:v>10.27</c:v>
                </c:pt>
                <c:pt idx="652">
                  <c:v>10.31</c:v>
                </c:pt>
                <c:pt idx="653">
                  <c:v>10.28</c:v>
                </c:pt>
                <c:pt idx="654">
                  <c:v>10.35</c:v>
                </c:pt>
                <c:pt idx="655">
                  <c:v>10.32</c:v>
                </c:pt>
                <c:pt idx="656">
                  <c:v>10.39</c:v>
                </c:pt>
                <c:pt idx="657">
                  <c:v>9.7799999999999994</c:v>
                </c:pt>
                <c:pt idx="658">
                  <c:v>8.99</c:v>
                </c:pt>
                <c:pt idx="659">
                  <c:v>9.16</c:v>
                </c:pt>
                <c:pt idx="660">
                  <c:v>8.99</c:v>
                </c:pt>
                <c:pt idx="661">
                  <c:v>9.0299999999999994</c:v>
                </c:pt>
                <c:pt idx="662">
                  <c:v>8.85</c:v>
                </c:pt>
                <c:pt idx="663">
                  <c:v>9.64</c:v>
                </c:pt>
                <c:pt idx="664">
                  <c:v>9.49</c:v>
                </c:pt>
                <c:pt idx="665">
                  <c:v>9.43</c:v>
                </c:pt>
                <c:pt idx="666">
                  <c:v>9.43</c:v>
                </c:pt>
                <c:pt idx="667">
                  <c:v>9.42</c:v>
                </c:pt>
                <c:pt idx="668">
                  <c:v>9.42</c:v>
                </c:pt>
                <c:pt idx="669">
                  <c:v>9.39</c:v>
                </c:pt>
                <c:pt idx="670">
                  <c:v>9.44</c:v>
                </c:pt>
                <c:pt idx="671">
                  <c:v>9.5399999999999991</c:v>
                </c:pt>
                <c:pt idx="672">
                  <c:v>9.44</c:v>
                </c:pt>
                <c:pt idx="673">
                  <c:v>9.49</c:v>
                </c:pt>
                <c:pt idx="674">
                  <c:v>9.4</c:v>
                </c:pt>
                <c:pt idx="675">
                  <c:v>9.3800000000000008</c:v>
                </c:pt>
                <c:pt idx="676">
                  <c:v>9.42</c:v>
                </c:pt>
                <c:pt idx="677">
                  <c:v>9.74</c:v>
                </c:pt>
                <c:pt idx="678">
                  <c:v>9.74</c:v>
                </c:pt>
                <c:pt idx="679">
                  <c:v>9.6199999999999992</c:v>
                </c:pt>
                <c:pt idx="680">
                  <c:v>9.57</c:v>
                </c:pt>
                <c:pt idx="681">
                  <c:v>9.66</c:v>
                </c:pt>
                <c:pt idx="682">
                  <c:v>9.9700000000000006</c:v>
                </c:pt>
                <c:pt idx="683">
                  <c:v>9.84</c:v>
                </c:pt>
                <c:pt idx="684">
                  <c:v>10</c:v>
                </c:pt>
                <c:pt idx="685">
                  <c:v>10.06</c:v>
                </c:pt>
                <c:pt idx="686">
                  <c:v>10.039999999999999</c:v>
                </c:pt>
                <c:pt idx="687">
                  <c:v>10.050000000000001</c:v>
                </c:pt>
                <c:pt idx="688">
                  <c:v>10.1</c:v>
                </c:pt>
                <c:pt idx="689">
                  <c:v>10.039999999999999</c:v>
                </c:pt>
                <c:pt idx="690">
                  <c:v>10.01</c:v>
                </c:pt>
                <c:pt idx="691">
                  <c:v>9.9700000000000006</c:v>
                </c:pt>
                <c:pt idx="692">
                  <c:v>9.99</c:v>
                </c:pt>
                <c:pt idx="693">
                  <c:v>9.99</c:v>
                </c:pt>
                <c:pt idx="694">
                  <c:v>9.93</c:v>
                </c:pt>
                <c:pt idx="695">
                  <c:v>9.85</c:v>
                </c:pt>
                <c:pt idx="696">
                  <c:v>9.83</c:v>
                </c:pt>
                <c:pt idx="697">
                  <c:v>9.93</c:v>
                </c:pt>
                <c:pt idx="698">
                  <c:v>9.89</c:v>
                </c:pt>
                <c:pt idx="699">
                  <c:v>9.8800000000000008</c:v>
                </c:pt>
                <c:pt idx="700">
                  <c:v>9.91</c:v>
                </c:pt>
                <c:pt idx="701">
                  <c:v>9.94</c:v>
                </c:pt>
                <c:pt idx="702">
                  <c:v>9.93</c:v>
                </c:pt>
                <c:pt idx="703">
                  <c:v>9.7799999999999994</c:v>
                </c:pt>
                <c:pt idx="704">
                  <c:v>9.7899999999999991</c:v>
                </c:pt>
                <c:pt idx="705">
                  <c:v>9.8000000000000007</c:v>
                </c:pt>
                <c:pt idx="706">
                  <c:v>9.84</c:v>
                </c:pt>
                <c:pt idx="707">
                  <c:v>9.85</c:v>
                </c:pt>
                <c:pt idx="708">
                  <c:v>9.84</c:v>
                </c:pt>
                <c:pt idx="709">
                  <c:v>9.8699999999999992</c:v>
                </c:pt>
                <c:pt idx="710">
                  <c:v>9.81</c:v>
                </c:pt>
                <c:pt idx="711">
                  <c:v>9.77</c:v>
                </c:pt>
                <c:pt idx="712">
                  <c:v>9.7200000000000006</c:v>
                </c:pt>
                <c:pt idx="713">
                  <c:v>9.66</c:v>
                </c:pt>
                <c:pt idx="714">
                  <c:v>9.7200000000000006</c:v>
                </c:pt>
                <c:pt idx="715">
                  <c:v>9.77</c:v>
                </c:pt>
                <c:pt idx="716">
                  <c:v>9.76</c:v>
                </c:pt>
                <c:pt idx="717">
                  <c:v>9.73</c:v>
                </c:pt>
                <c:pt idx="718">
                  <c:v>9.6</c:v>
                </c:pt>
                <c:pt idx="719">
                  <c:v>9.5399999999999991</c:v>
                </c:pt>
                <c:pt idx="720">
                  <c:v>9.32</c:v>
                </c:pt>
                <c:pt idx="721">
                  <c:v>9.15</c:v>
                </c:pt>
                <c:pt idx="722">
                  <c:v>9.0500000000000007</c:v>
                </c:pt>
                <c:pt idx="723">
                  <c:v>9.25</c:v>
                </c:pt>
                <c:pt idx="724">
                  <c:v>9.3000000000000007</c:v>
                </c:pt>
                <c:pt idx="725">
                  <c:v>9.35</c:v>
                </c:pt>
                <c:pt idx="726">
                  <c:v>9.35</c:v>
                </c:pt>
                <c:pt idx="727">
                  <c:v>9.44</c:v>
                </c:pt>
                <c:pt idx="728">
                  <c:v>9.49</c:v>
                </c:pt>
                <c:pt idx="729">
                  <c:v>9.5299999999999994</c:v>
                </c:pt>
                <c:pt idx="730">
                  <c:v>9.56</c:v>
                </c:pt>
                <c:pt idx="731">
                  <c:v>9.6</c:v>
                </c:pt>
                <c:pt idx="732">
                  <c:v>9.69</c:v>
                </c:pt>
                <c:pt idx="733">
                  <c:v>9.8000000000000007</c:v>
                </c:pt>
                <c:pt idx="734">
                  <c:v>9.8000000000000007</c:v>
                </c:pt>
                <c:pt idx="735">
                  <c:v>9.64</c:v>
                </c:pt>
                <c:pt idx="736">
                  <c:v>9.5</c:v>
                </c:pt>
                <c:pt idx="737">
                  <c:v>9.41</c:v>
                </c:pt>
                <c:pt idx="738">
                  <c:v>9.44</c:v>
                </c:pt>
                <c:pt idx="739">
                  <c:v>9.4499999999999993</c:v>
                </c:pt>
                <c:pt idx="740">
                  <c:v>9.4499999999999993</c:v>
                </c:pt>
                <c:pt idx="741">
                  <c:v>9.64</c:v>
                </c:pt>
                <c:pt idx="742">
                  <c:v>9.6199999999999992</c:v>
                </c:pt>
                <c:pt idx="743">
                  <c:v>9.42</c:v>
                </c:pt>
                <c:pt idx="744">
                  <c:v>9.31</c:v>
                </c:pt>
                <c:pt idx="745">
                  <c:v>9.3800000000000008</c:v>
                </c:pt>
                <c:pt idx="746">
                  <c:v>9.35</c:v>
                </c:pt>
                <c:pt idx="747">
                  <c:v>9.49</c:v>
                </c:pt>
                <c:pt idx="748">
                  <c:v>9.6999999999999993</c:v>
                </c:pt>
                <c:pt idx="749">
                  <c:v>9.75</c:v>
                </c:pt>
                <c:pt idx="750">
                  <c:v>9.77</c:v>
                </c:pt>
                <c:pt idx="751">
                  <c:v>9.5399999999999991</c:v>
                </c:pt>
                <c:pt idx="752">
                  <c:v>9.44</c:v>
                </c:pt>
                <c:pt idx="753">
                  <c:v>9.41</c:v>
                </c:pt>
                <c:pt idx="754">
                  <c:v>9.43</c:v>
                </c:pt>
                <c:pt idx="755">
                  <c:v>9.35</c:v>
                </c:pt>
                <c:pt idx="756">
                  <c:v>9.33</c:v>
                </c:pt>
                <c:pt idx="757">
                  <c:v>9.43</c:v>
                </c:pt>
                <c:pt idx="758">
                  <c:v>9.3699999999999992</c:v>
                </c:pt>
                <c:pt idx="759">
                  <c:v>9.59</c:v>
                </c:pt>
                <c:pt idx="760">
                  <c:v>9.6199999999999992</c:v>
                </c:pt>
                <c:pt idx="761">
                  <c:v>9.4700000000000006</c:v>
                </c:pt>
                <c:pt idx="762">
                  <c:v>9.3000000000000007</c:v>
                </c:pt>
                <c:pt idx="763">
                  <c:v>9.23</c:v>
                </c:pt>
                <c:pt idx="764">
                  <c:v>9.27</c:v>
                </c:pt>
                <c:pt idx="765">
                  <c:v>9.1999999999999993</c:v>
                </c:pt>
                <c:pt idx="766">
                  <c:v>9.25</c:v>
                </c:pt>
                <c:pt idx="767">
                  <c:v>9.23</c:v>
                </c:pt>
                <c:pt idx="768">
                  <c:v>9.7899999999999991</c:v>
                </c:pt>
                <c:pt idx="769">
                  <c:v>9.93</c:v>
                </c:pt>
                <c:pt idx="770">
                  <c:v>9.8800000000000008</c:v>
                </c:pt>
                <c:pt idx="771">
                  <c:v>9.7799999999999994</c:v>
                </c:pt>
                <c:pt idx="772">
                  <c:v>9.65</c:v>
                </c:pt>
                <c:pt idx="773">
                  <c:v>9.6300000000000008</c:v>
                </c:pt>
                <c:pt idx="774">
                  <c:v>9.3699999999999992</c:v>
                </c:pt>
                <c:pt idx="775">
                  <c:v>9.31</c:v>
                </c:pt>
                <c:pt idx="776">
                  <c:v>9.52</c:v>
                </c:pt>
                <c:pt idx="777">
                  <c:v>9.85</c:v>
                </c:pt>
                <c:pt idx="778">
                  <c:v>9.99</c:v>
                </c:pt>
                <c:pt idx="779">
                  <c:v>9.9499999999999993</c:v>
                </c:pt>
                <c:pt idx="780">
                  <c:v>9.7200000000000006</c:v>
                </c:pt>
                <c:pt idx="781">
                  <c:v>9.6199999999999992</c:v>
                </c:pt>
                <c:pt idx="782">
                  <c:v>9.5500000000000007</c:v>
                </c:pt>
                <c:pt idx="783">
                  <c:v>9.43</c:v>
                </c:pt>
                <c:pt idx="784">
                  <c:v>9.4700000000000006</c:v>
                </c:pt>
                <c:pt idx="785">
                  <c:v>9.3800000000000008</c:v>
                </c:pt>
                <c:pt idx="786">
                  <c:v>9.32</c:v>
                </c:pt>
                <c:pt idx="787">
                  <c:v>9.24</c:v>
                </c:pt>
                <c:pt idx="788">
                  <c:v>9.4</c:v>
                </c:pt>
                <c:pt idx="789">
                  <c:v>9.58</c:v>
                </c:pt>
                <c:pt idx="790">
                  <c:v>9.7100000000000009</c:v>
                </c:pt>
                <c:pt idx="791">
                  <c:v>9.84</c:v>
                </c:pt>
                <c:pt idx="792">
                  <c:v>9.82</c:v>
                </c:pt>
                <c:pt idx="793">
                  <c:v>9.77</c:v>
                </c:pt>
                <c:pt idx="794">
                  <c:v>9.67</c:v>
                </c:pt>
                <c:pt idx="795">
                  <c:v>9.57</c:v>
                </c:pt>
                <c:pt idx="796">
                  <c:v>9.51</c:v>
                </c:pt>
                <c:pt idx="797">
                  <c:v>9.58</c:v>
                </c:pt>
                <c:pt idx="798">
                  <c:v>9.43</c:v>
                </c:pt>
                <c:pt idx="799">
                  <c:v>9.3000000000000007</c:v>
                </c:pt>
                <c:pt idx="800">
                  <c:v>9.4600000000000009</c:v>
                </c:pt>
                <c:pt idx="801">
                  <c:v>9.56</c:v>
                </c:pt>
                <c:pt idx="802">
                  <c:v>9.41</c:v>
                </c:pt>
                <c:pt idx="803">
                  <c:v>9.5</c:v>
                </c:pt>
                <c:pt idx="804">
                  <c:v>9.5500000000000007</c:v>
                </c:pt>
                <c:pt idx="805">
                  <c:v>9.6</c:v>
                </c:pt>
                <c:pt idx="806">
                  <c:v>9.4700000000000006</c:v>
                </c:pt>
                <c:pt idx="807">
                  <c:v>9.5</c:v>
                </c:pt>
                <c:pt idx="808">
                  <c:v>9.5299999999999994</c:v>
                </c:pt>
                <c:pt idx="809">
                  <c:v>9.5299999999999994</c:v>
                </c:pt>
                <c:pt idx="810">
                  <c:v>9.5</c:v>
                </c:pt>
                <c:pt idx="811">
                  <c:v>9.5</c:v>
                </c:pt>
                <c:pt idx="812">
                  <c:v>9.52</c:v>
                </c:pt>
                <c:pt idx="813">
                  <c:v>9.7899999999999991</c:v>
                </c:pt>
                <c:pt idx="814">
                  <c:v>9.68</c:v>
                </c:pt>
                <c:pt idx="815">
                  <c:v>10.18</c:v>
                </c:pt>
                <c:pt idx="816">
                  <c:v>10.15</c:v>
                </c:pt>
                <c:pt idx="817">
                  <c:v>10.23</c:v>
                </c:pt>
                <c:pt idx="818">
                  <c:v>10.23</c:v>
                </c:pt>
                <c:pt idx="819">
                  <c:v>10.17</c:v>
                </c:pt>
                <c:pt idx="820">
                  <c:v>10.29</c:v>
                </c:pt>
                <c:pt idx="821">
                  <c:v>10.3</c:v>
                </c:pt>
                <c:pt idx="822">
                  <c:v>10.199999999999999</c:v>
                </c:pt>
                <c:pt idx="823">
                  <c:v>10.199999999999999</c:v>
                </c:pt>
                <c:pt idx="824">
                  <c:v>10.3</c:v>
                </c:pt>
                <c:pt idx="825">
                  <c:v>10.25</c:v>
                </c:pt>
                <c:pt idx="826">
                  <c:v>10.69</c:v>
                </c:pt>
                <c:pt idx="827">
                  <c:v>10.89</c:v>
                </c:pt>
                <c:pt idx="828">
                  <c:v>10.8</c:v>
                </c:pt>
                <c:pt idx="829">
                  <c:v>10.9</c:v>
                </c:pt>
                <c:pt idx="830">
                  <c:v>10.86</c:v>
                </c:pt>
                <c:pt idx="831">
                  <c:v>10.72</c:v>
                </c:pt>
                <c:pt idx="832">
                  <c:v>10.9</c:v>
                </c:pt>
                <c:pt idx="833">
                  <c:v>10.94</c:v>
                </c:pt>
                <c:pt idx="834">
                  <c:v>10.86</c:v>
                </c:pt>
                <c:pt idx="835">
                  <c:v>10.93</c:v>
                </c:pt>
                <c:pt idx="836">
                  <c:v>10.94</c:v>
                </c:pt>
                <c:pt idx="837">
                  <c:v>10.85</c:v>
                </c:pt>
                <c:pt idx="838">
                  <c:v>10.42</c:v>
                </c:pt>
                <c:pt idx="839">
                  <c:v>10.38</c:v>
                </c:pt>
                <c:pt idx="840">
                  <c:v>10.34</c:v>
                </c:pt>
                <c:pt idx="841">
                  <c:v>10.37</c:v>
                </c:pt>
                <c:pt idx="842">
                  <c:v>10.35</c:v>
                </c:pt>
                <c:pt idx="843">
                  <c:v>10.38</c:v>
                </c:pt>
                <c:pt idx="844">
                  <c:v>10.4</c:v>
                </c:pt>
                <c:pt idx="845">
                  <c:v>10.59</c:v>
                </c:pt>
                <c:pt idx="846">
                  <c:v>10.67</c:v>
                </c:pt>
                <c:pt idx="847">
                  <c:v>10.44</c:v>
                </c:pt>
                <c:pt idx="848">
                  <c:v>10.38</c:v>
                </c:pt>
                <c:pt idx="849">
                  <c:v>10.56</c:v>
                </c:pt>
                <c:pt idx="850">
                  <c:v>10.46</c:v>
                </c:pt>
                <c:pt idx="851">
                  <c:v>10.4</c:v>
                </c:pt>
                <c:pt idx="852">
                  <c:v>10.29</c:v>
                </c:pt>
                <c:pt idx="853">
                  <c:v>10.48</c:v>
                </c:pt>
                <c:pt idx="854">
                  <c:v>10.93</c:v>
                </c:pt>
                <c:pt idx="855">
                  <c:v>10.97</c:v>
                </c:pt>
                <c:pt idx="856">
                  <c:v>10.92</c:v>
                </c:pt>
                <c:pt idx="857">
                  <c:v>10.98</c:v>
                </c:pt>
                <c:pt idx="858">
                  <c:v>10.96</c:v>
                </c:pt>
                <c:pt idx="859">
                  <c:v>11.06</c:v>
                </c:pt>
                <c:pt idx="860">
                  <c:v>11.35</c:v>
                </c:pt>
                <c:pt idx="861">
                  <c:v>11.33</c:v>
                </c:pt>
                <c:pt idx="862">
                  <c:v>11.16</c:v>
                </c:pt>
                <c:pt idx="863">
                  <c:v>11.08</c:v>
                </c:pt>
                <c:pt idx="864">
                  <c:v>10.88</c:v>
                </c:pt>
                <c:pt idx="865">
                  <c:v>10.91</c:v>
                </c:pt>
                <c:pt idx="866">
                  <c:v>10.86</c:v>
                </c:pt>
                <c:pt idx="867">
                  <c:v>10.95</c:v>
                </c:pt>
                <c:pt idx="868">
                  <c:v>11.07</c:v>
                </c:pt>
                <c:pt idx="869">
                  <c:v>11.11</c:v>
                </c:pt>
                <c:pt idx="870">
                  <c:v>11.08</c:v>
                </c:pt>
                <c:pt idx="871">
                  <c:v>11.22</c:v>
                </c:pt>
                <c:pt idx="872">
                  <c:v>11.08</c:v>
                </c:pt>
                <c:pt idx="873">
                  <c:v>10.94</c:v>
                </c:pt>
                <c:pt idx="874">
                  <c:v>10.72</c:v>
                </c:pt>
                <c:pt idx="875">
                  <c:v>10.69</c:v>
                </c:pt>
                <c:pt idx="876">
                  <c:v>10.79</c:v>
                </c:pt>
                <c:pt idx="877">
                  <c:v>10.93</c:v>
                </c:pt>
                <c:pt idx="878">
                  <c:v>11.3</c:v>
                </c:pt>
                <c:pt idx="879">
                  <c:v>11.25</c:v>
                </c:pt>
                <c:pt idx="880">
                  <c:v>11.45</c:v>
                </c:pt>
                <c:pt idx="881">
                  <c:v>11.15</c:v>
                </c:pt>
                <c:pt idx="882">
                  <c:v>11.5</c:v>
                </c:pt>
                <c:pt idx="883">
                  <c:v>11.61</c:v>
                </c:pt>
                <c:pt idx="884">
                  <c:v>11.58</c:v>
                </c:pt>
                <c:pt idx="885">
                  <c:v>11.78</c:v>
                </c:pt>
                <c:pt idx="886">
                  <c:v>11.94</c:v>
                </c:pt>
                <c:pt idx="887">
                  <c:v>12.01</c:v>
                </c:pt>
                <c:pt idx="888">
                  <c:v>11.98</c:v>
                </c:pt>
                <c:pt idx="889">
                  <c:v>11.96</c:v>
                </c:pt>
                <c:pt idx="890">
                  <c:v>11.82</c:v>
                </c:pt>
                <c:pt idx="891">
                  <c:v>10.7</c:v>
                </c:pt>
                <c:pt idx="892">
                  <c:v>10.69</c:v>
                </c:pt>
                <c:pt idx="893">
                  <c:v>10.63</c:v>
                </c:pt>
                <c:pt idx="894">
                  <c:v>10.65</c:v>
                </c:pt>
                <c:pt idx="895">
                  <c:v>10.8</c:v>
                </c:pt>
                <c:pt idx="896">
                  <c:v>10.78</c:v>
                </c:pt>
                <c:pt idx="897">
                  <c:v>10.72</c:v>
                </c:pt>
                <c:pt idx="898">
                  <c:v>10.75</c:v>
                </c:pt>
                <c:pt idx="899">
                  <c:v>10.63</c:v>
                </c:pt>
                <c:pt idx="900">
                  <c:v>10.49</c:v>
                </c:pt>
                <c:pt idx="901">
                  <c:v>10.55</c:v>
                </c:pt>
                <c:pt idx="902">
                  <c:v>10.59</c:v>
                </c:pt>
                <c:pt idx="903">
                  <c:v>10.5</c:v>
                </c:pt>
                <c:pt idx="904">
                  <c:v>10.79</c:v>
                </c:pt>
                <c:pt idx="905">
                  <c:v>11.03</c:v>
                </c:pt>
                <c:pt idx="906">
                  <c:v>11</c:v>
                </c:pt>
                <c:pt idx="907">
                  <c:v>10.88</c:v>
                </c:pt>
                <c:pt idx="908">
                  <c:v>10.91</c:v>
                </c:pt>
                <c:pt idx="909">
                  <c:v>10.93</c:v>
                </c:pt>
                <c:pt idx="910">
                  <c:v>10.94</c:v>
                </c:pt>
                <c:pt idx="911">
                  <c:v>10.94</c:v>
                </c:pt>
                <c:pt idx="912">
                  <c:v>11.07</c:v>
                </c:pt>
                <c:pt idx="913">
                  <c:v>10.94</c:v>
                </c:pt>
                <c:pt idx="914">
                  <c:v>11</c:v>
                </c:pt>
                <c:pt idx="915">
                  <c:v>11</c:v>
                </c:pt>
                <c:pt idx="916">
                  <c:v>11.04</c:v>
                </c:pt>
                <c:pt idx="917">
                  <c:v>10.96</c:v>
                </c:pt>
                <c:pt idx="918">
                  <c:v>10.85</c:v>
                </c:pt>
                <c:pt idx="919">
                  <c:v>10.83</c:v>
                </c:pt>
                <c:pt idx="920">
                  <c:v>10.85</c:v>
                </c:pt>
                <c:pt idx="921">
                  <c:v>10.8</c:v>
                </c:pt>
                <c:pt idx="922">
                  <c:v>10.92</c:v>
                </c:pt>
                <c:pt idx="923">
                  <c:v>10.83</c:v>
                </c:pt>
                <c:pt idx="924">
                  <c:v>10.92</c:v>
                </c:pt>
                <c:pt idx="925">
                  <c:v>10.93</c:v>
                </c:pt>
                <c:pt idx="926">
                  <c:v>10.92</c:v>
                </c:pt>
                <c:pt idx="927">
                  <c:v>10.91</c:v>
                </c:pt>
                <c:pt idx="928">
                  <c:v>10.85</c:v>
                </c:pt>
                <c:pt idx="929">
                  <c:v>10.79</c:v>
                </c:pt>
                <c:pt idx="930">
                  <c:v>10.76</c:v>
                </c:pt>
                <c:pt idx="931">
                  <c:v>10.9</c:v>
                </c:pt>
                <c:pt idx="932">
                  <c:v>10.83</c:v>
                </c:pt>
                <c:pt idx="933">
                  <c:v>10.76</c:v>
                </c:pt>
                <c:pt idx="934">
                  <c:v>10.79</c:v>
                </c:pt>
                <c:pt idx="935">
                  <c:v>10.78</c:v>
                </c:pt>
                <c:pt idx="936">
                  <c:v>10.75</c:v>
                </c:pt>
                <c:pt idx="937">
                  <c:v>10.81</c:v>
                </c:pt>
                <c:pt idx="938">
                  <c:v>10.83</c:v>
                </c:pt>
                <c:pt idx="939">
                  <c:v>10.78</c:v>
                </c:pt>
                <c:pt idx="940">
                  <c:v>10.74</c:v>
                </c:pt>
                <c:pt idx="941">
                  <c:v>10.79</c:v>
                </c:pt>
                <c:pt idx="942">
                  <c:v>10.83</c:v>
                </c:pt>
                <c:pt idx="943">
                  <c:v>10.87</c:v>
                </c:pt>
                <c:pt idx="944">
                  <c:v>10.93</c:v>
                </c:pt>
                <c:pt idx="945">
                  <c:v>10.96</c:v>
                </c:pt>
                <c:pt idx="946">
                  <c:v>10.97</c:v>
                </c:pt>
                <c:pt idx="947">
                  <c:v>11.06</c:v>
                </c:pt>
                <c:pt idx="948">
                  <c:v>11.14</c:v>
                </c:pt>
                <c:pt idx="949">
                  <c:v>11.27</c:v>
                </c:pt>
                <c:pt idx="950">
                  <c:v>11.28</c:v>
                </c:pt>
                <c:pt idx="951">
                  <c:v>11.3</c:v>
                </c:pt>
                <c:pt idx="952">
                  <c:v>11.27</c:v>
                </c:pt>
                <c:pt idx="953">
                  <c:v>11.31</c:v>
                </c:pt>
                <c:pt idx="954">
                  <c:v>11.43</c:v>
                </c:pt>
                <c:pt idx="955">
                  <c:v>11.44</c:v>
                </c:pt>
                <c:pt idx="956">
                  <c:v>11.53</c:v>
                </c:pt>
                <c:pt idx="957">
                  <c:v>11.52</c:v>
                </c:pt>
                <c:pt idx="958">
                  <c:v>11.51</c:v>
                </c:pt>
                <c:pt idx="959">
                  <c:v>11.22</c:v>
                </c:pt>
                <c:pt idx="960">
                  <c:v>11.22</c:v>
                </c:pt>
                <c:pt idx="961">
                  <c:v>11.49</c:v>
                </c:pt>
                <c:pt idx="962">
                  <c:v>11.45</c:v>
                </c:pt>
                <c:pt idx="963">
                  <c:v>11.42</c:v>
                </c:pt>
                <c:pt idx="964">
                  <c:v>11.5</c:v>
                </c:pt>
                <c:pt idx="965">
                  <c:v>11.54</c:v>
                </c:pt>
                <c:pt idx="966">
                  <c:v>11.5</c:v>
                </c:pt>
                <c:pt idx="967">
                  <c:v>11.68</c:v>
                </c:pt>
                <c:pt idx="968">
                  <c:v>11.66</c:v>
                </c:pt>
                <c:pt idx="969">
                  <c:v>11.64</c:v>
                </c:pt>
                <c:pt idx="970">
                  <c:v>11.75</c:v>
                </c:pt>
                <c:pt idx="971">
                  <c:v>11.81</c:v>
                </c:pt>
                <c:pt idx="972">
                  <c:v>11.68</c:v>
                </c:pt>
                <c:pt idx="973">
                  <c:v>11.71</c:v>
                </c:pt>
                <c:pt idx="974">
                  <c:v>11.63</c:v>
                </c:pt>
                <c:pt idx="975">
                  <c:v>11.69</c:v>
                </c:pt>
                <c:pt idx="976">
                  <c:v>11.76</c:v>
                </c:pt>
                <c:pt idx="977">
                  <c:v>11.76</c:v>
                </c:pt>
                <c:pt idx="978">
                  <c:v>11.84</c:v>
                </c:pt>
                <c:pt idx="979">
                  <c:v>11.81</c:v>
                </c:pt>
                <c:pt idx="980">
                  <c:v>11.91</c:v>
                </c:pt>
                <c:pt idx="981">
                  <c:v>11.92</c:v>
                </c:pt>
                <c:pt idx="982">
                  <c:v>11.95</c:v>
                </c:pt>
                <c:pt idx="983">
                  <c:v>11.96</c:v>
                </c:pt>
                <c:pt idx="984">
                  <c:v>11.92</c:v>
                </c:pt>
                <c:pt idx="985">
                  <c:v>11.82</c:v>
                </c:pt>
                <c:pt idx="986">
                  <c:v>12.02</c:v>
                </c:pt>
                <c:pt idx="987">
                  <c:v>11.92</c:v>
                </c:pt>
                <c:pt idx="988">
                  <c:v>11.88</c:v>
                </c:pt>
                <c:pt idx="989">
                  <c:v>12.05</c:v>
                </c:pt>
                <c:pt idx="990">
                  <c:v>12.09</c:v>
                </c:pt>
                <c:pt idx="991">
                  <c:v>12.25</c:v>
                </c:pt>
                <c:pt idx="992">
                  <c:v>12.41</c:v>
                </c:pt>
                <c:pt idx="993">
                  <c:v>12.4</c:v>
                </c:pt>
                <c:pt idx="994">
                  <c:v>12.27</c:v>
                </c:pt>
                <c:pt idx="995">
                  <c:v>12.37</c:v>
                </c:pt>
                <c:pt idx="996">
                  <c:v>12.42</c:v>
                </c:pt>
                <c:pt idx="997">
                  <c:v>12.31</c:v>
                </c:pt>
                <c:pt idx="998">
                  <c:v>12.36</c:v>
                </c:pt>
                <c:pt idx="999">
                  <c:v>12.34</c:v>
                </c:pt>
                <c:pt idx="1000">
                  <c:v>12.32</c:v>
                </c:pt>
                <c:pt idx="1001">
                  <c:v>12.45</c:v>
                </c:pt>
                <c:pt idx="1002">
                  <c:v>12.38</c:v>
                </c:pt>
                <c:pt idx="1003">
                  <c:v>12.33</c:v>
                </c:pt>
                <c:pt idx="1004">
                  <c:v>12.45</c:v>
                </c:pt>
                <c:pt idx="1005">
                  <c:v>12.45</c:v>
                </c:pt>
                <c:pt idx="1006">
                  <c:v>12.45</c:v>
                </c:pt>
                <c:pt idx="1007">
                  <c:v>12.34</c:v>
                </c:pt>
                <c:pt idx="1008">
                  <c:v>12.28</c:v>
                </c:pt>
                <c:pt idx="1009">
                  <c:v>12.26</c:v>
                </c:pt>
                <c:pt idx="1010">
                  <c:v>12.24</c:v>
                </c:pt>
                <c:pt idx="1011">
                  <c:v>12.2</c:v>
                </c:pt>
                <c:pt idx="1012">
                  <c:v>12.25</c:v>
                </c:pt>
                <c:pt idx="1013">
                  <c:v>12.23</c:v>
                </c:pt>
                <c:pt idx="1014">
                  <c:v>12.17</c:v>
                </c:pt>
                <c:pt idx="1015">
                  <c:v>12.11</c:v>
                </c:pt>
                <c:pt idx="1016">
                  <c:v>12</c:v>
                </c:pt>
                <c:pt idx="1017">
                  <c:v>11.99</c:v>
                </c:pt>
                <c:pt idx="1018">
                  <c:v>12.18</c:v>
                </c:pt>
                <c:pt idx="1019">
                  <c:v>12.27</c:v>
                </c:pt>
                <c:pt idx="1020">
                  <c:v>12.21</c:v>
                </c:pt>
                <c:pt idx="1021">
                  <c:v>12.31</c:v>
                </c:pt>
                <c:pt idx="1022">
                  <c:v>12.29</c:v>
                </c:pt>
                <c:pt idx="1023">
                  <c:v>12.27</c:v>
                </c:pt>
                <c:pt idx="1024">
                  <c:v>12.24</c:v>
                </c:pt>
                <c:pt idx="1025">
                  <c:v>12.26</c:v>
                </c:pt>
                <c:pt idx="1026">
                  <c:v>12.22</c:v>
                </c:pt>
                <c:pt idx="1027">
                  <c:v>12.17</c:v>
                </c:pt>
                <c:pt idx="1028">
                  <c:v>12.18</c:v>
                </c:pt>
                <c:pt idx="1029">
                  <c:v>12.01</c:v>
                </c:pt>
                <c:pt idx="1030">
                  <c:v>11.99</c:v>
                </c:pt>
                <c:pt idx="1031">
                  <c:v>11.87</c:v>
                </c:pt>
                <c:pt idx="1032">
                  <c:v>12.01</c:v>
                </c:pt>
                <c:pt idx="1033">
                  <c:v>12.14</c:v>
                </c:pt>
                <c:pt idx="1034">
                  <c:v>12.14</c:v>
                </c:pt>
                <c:pt idx="1035">
                  <c:v>12.14</c:v>
                </c:pt>
                <c:pt idx="1036">
                  <c:v>12.1</c:v>
                </c:pt>
                <c:pt idx="1037">
                  <c:v>12.07</c:v>
                </c:pt>
                <c:pt idx="1038">
                  <c:v>12.01</c:v>
                </c:pt>
                <c:pt idx="1039">
                  <c:v>11.9</c:v>
                </c:pt>
                <c:pt idx="1040">
                  <c:v>11.88</c:v>
                </c:pt>
                <c:pt idx="1041">
                  <c:v>11.83</c:v>
                </c:pt>
                <c:pt idx="1042">
                  <c:v>11.8</c:v>
                </c:pt>
                <c:pt idx="1043">
                  <c:v>11.76</c:v>
                </c:pt>
                <c:pt idx="1044">
                  <c:v>11.82</c:v>
                </c:pt>
                <c:pt idx="1045">
                  <c:v>11.96</c:v>
                </c:pt>
                <c:pt idx="1046">
                  <c:v>12.07</c:v>
                </c:pt>
                <c:pt idx="1047">
                  <c:v>12.04</c:v>
                </c:pt>
                <c:pt idx="1048">
                  <c:v>12.08</c:v>
                </c:pt>
                <c:pt idx="1049">
                  <c:v>12.06</c:v>
                </c:pt>
                <c:pt idx="1050">
                  <c:v>11.93</c:v>
                </c:pt>
                <c:pt idx="1051">
                  <c:v>11.93</c:v>
                </c:pt>
                <c:pt idx="1052">
                  <c:v>11.93</c:v>
                </c:pt>
                <c:pt idx="1053">
                  <c:v>11.77</c:v>
                </c:pt>
                <c:pt idx="1054">
                  <c:v>11.59</c:v>
                </c:pt>
                <c:pt idx="1055">
                  <c:v>11.61</c:v>
                </c:pt>
                <c:pt idx="1056">
                  <c:v>11.54</c:v>
                </c:pt>
                <c:pt idx="1057">
                  <c:v>11.52</c:v>
                </c:pt>
                <c:pt idx="1058">
                  <c:v>11.4</c:v>
                </c:pt>
                <c:pt idx="1059">
                  <c:v>11.45</c:v>
                </c:pt>
                <c:pt idx="1060">
                  <c:v>11.59</c:v>
                </c:pt>
                <c:pt idx="1061">
                  <c:v>11.56</c:v>
                </c:pt>
                <c:pt idx="1062">
                  <c:v>11.59</c:v>
                </c:pt>
                <c:pt idx="1063">
                  <c:v>11.62</c:v>
                </c:pt>
                <c:pt idx="1064">
                  <c:v>11.74</c:v>
                </c:pt>
                <c:pt idx="1065">
                  <c:v>11.72</c:v>
                </c:pt>
                <c:pt idx="1066">
                  <c:v>11.9</c:v>
                </c:pt>
                <c:pt idx="1067">
                  <c:v>11.98</c:v>
                </c:pt>
                <c:pt idx="1068">
                  <c:v>11.9</c:v>
                </c:pt>
                <c:pt idx="1069">
                  <c:v>11.81</c:v>
                </c:pt>
                <c:pt idx="1070">
                  <c:v>11.78</c:v>
                </c:pt>
                <c:pt idx="1071">
                  <c:v>11.82</c:v>
                </c:pt>
                <c:pt idx="1072">
                  <c:v>11.89</c:v>
                </c:pt>
                <c:pt idx="1073">
                  <c:v>11.89</c:v>
                </c:pt>
                <c:pt idx="1074">
                  <c:v>11.77</c:v>
                </c:pt>
                <c:pt idx="1075">
                  <c:v>11.59</c:v>
                </c:pt>
                <c:pt idx="1076">
                  <c:v>11.53</c:v>
                </c:pt>
                <c:pt idx="1077">
                  <c:v>11.55</c:v>
                </c:pt>
                <c:pt idx="1078">
                  <c:v>11.6</c:v>
                </c:pt>
                <c:pt idx="1079">
                  <c:v>11.42</c:v>
                </c:pt>
                <c:pt idx="1080">
                  <c:v>11.2</c:v>
                </c:pt>
                <c:pt idx="1081">
                  <c:v>10.95</c:v>
                </c:pt>
                <c:pt idx="1082">
                  <c:v>10.73</c:v>
                </c:pt>
                <c:pt idx="1083">
                  <c:v>10.86</c:v>
                </c:pt>
                <c:pt idx="1084">
                  <c:v>10.89</c:v>
                </c:pt>
                <c:pt idx="1085">
                  <c:v>10.84</c:v>
                </c:pt>
                <c:pt idx="1086">
                  <c:v>10.74</c:v>
                </c:pt>
                <c:pt idx="1087">
                  <c:v>10.7</c:v>
                </c:pt>
                <c:pt idx="1088">
                  <c:v>10.69</c:v>
                </c:pt>
                <c:pt idx="1089">
                  <c:v>10.65</c:v>
                </c:pt>
                <c:pt idx="1090">
                  <c:v>10.74</c:v>
                </c:pt>
                <c:pt idx="1091">
                  <c:v>10.79</c:v>
                </c:pt>
                <c:pt idx="1092">
                  <c:v>10.8</c:v>
                </c:pt>
                <c:pt idx="1093">
                  <c:v>11.04</c:v>
                </c:pt>
                <c:pt idx="1094">
                  <c:v>11.14</c:v>
                </c:pt>
                <c:pt idx="1095">
                  <c:v>11.31</c:v>
                </c:pt>
                <c:pt idx="1096">
                  <c:v>11.25</c:v>
                </c:pt>
                <c:pt idx="1097">
                  <c:v>11.09</c:v>
                </c:pt>
                <c:pt idx="1098">
                  <c:v>11.07</c:v>
                </c:pt>
                <c:pt idx="1099">
                  <c:v>11.1</c:v>
                </c:pt>
                <c:pt idx="1100">
                  <c:v>11.2</c:v>
                </c:pt>
                <c:pt idx="1101">
                  <c:v>11.2</c:v>
                </c:pt>
                <c:pt idx="1102">
                  <c:v>11.19</c:v>
                </c:pt>
                <c:pt idx="1103">
                  <c:v>11.31</c:v>
                </c:pt>
                <c:pt idx="1104">
                  <c:v>11.37</c:v>
                </c:pt>
                <c:pt idx="1105">
                  <c:v>11.25</c:v>
                </c:pt>
                <c:pt idx="1106">
                  <c:v>11.39</c:v>
                </c:pt>
                <c:pt idx="1107">
                  <c:v>11.45</c:v>
                </c:pt>
                <c:pt idx="1108">
                  <c:v>11.51</c:v>
                </c:pt>
                <c:pt idx="1109">
                  <c:v>11.61</c:v>
                </c:pt>
                <c:pt idx="1110">
                  <c:v>11.58</c:v>
                </c:pt>
                <c:pt idx="1111">
                  <c:v>11.47</c:v>
                </c:pt>
                <c:pt idx="1112">
                  <c:v>11.42</c:v>
                </c:pt>
                <c:pt idx="1113">
                  <c:v>11.44</c:v>
                </c:pt>
                <c:pt idx="1114">
                  <c:v>11.44</c:v>
                </c:pt>
                <c:pt idx="1115">
                  <c:v>11.48</c:v>
                </c:pt>
                <c:pt idx="1116">
                  <c:v>11.28</c:v>
                </c:pt>
                <c:pt idx="1117">
                  <c:v>11.25</c:v>
                </c:pt>
                <c:pt idx="1118">
                  <c:v>11.26</c:v>
                </c:pt>
                <c:pt idx="1119">
                  <c:v>11.25</c:v>
                </c:pt>
                <c:pt idx="1120">
                  <c:v>11.24</c:v>
                </c:pt>
                <c:pt idx="1121">
                  <c:v>11.25</c:v>
                </c:pt>
                <c:pt idx="1122">
                  <c:v>11.26</c:v>
                </c:pt>
                <c:pt idx="1123">
                  <c:v>11.25</c:v>
                </c:pt>
                <c:pt idx="1124">
                  <c:v>11.23</c:v>
                </c:pt>
                <c:pt idx="1125">
                  <c:v>11.34</c:v>
                </c:pt>
                <c:pt idx="1126">
                  <c:v>11.4</c:v>
                </c:pt>
                <c:pt idx="1127">
                  <c:v>11.38</c:v>
                </c:pt>
                <c:pt idx="1128">
                  <c:v>11.38</c:v>
                </c:pt>
                <c:pt idx="1129">
                  <c:v>11.31</c:v>
                </c:pt>
                <c:pt idx="1130">
                  <c:v>11.33</c:v>
                </c:pt>
                <c:pt idx="1131">
                  <c:v>11.39</c:v>
                </c:pt>
                <c:pt idx="1132">
                  <c:v>11.38</c:v>
                </c:pt>
                <c:pt idx="1133">
                  <c:v>11.32</c:v>
                </c:pt>
                <c:pt idx="1134">
                  <c:v>11.34</c:v>
                </c:pt>
                <c:pt idx="1135">
                  <c:v>11.35</c:v>
                </c:pt>
                <c:pt idx="1136">
                  <c:v>11.43</c:v>
                </c:pt>
                <c:pt idx="1137">
                  <c:v>11.63</c:v>
                </c:pt>
                <c:pt idx="1138">
                  <c:v>11.77</c:v>
                </c:pt>
                <c:pt idx="1139">
                  <c:v>11.69</c:v>
                </c:pt>
                <c:pt idx="1140">
                  <c:v>11.74</c:v>
                </c:pt>
                <c:pt idx="1141">
                  <c:v>11.79</c:v>
                </c:pt>
                <c:pt idx="1142">
                  <c:v>11.84</c:v>
                </c:pt>
                <c:pt idx="1143">
                  <c:v>11.77</c:v>
                </c:pt>
                <c:pt idx="1144">
                  <c:v>11.92</c:v>
                </c:pt>
                <c:pt idx="1145">
                  <c:v>11.91</c:v>
                </c:pt>
                <c:pt idx="1146">
                  <c:v>11.88</c:v>
                </c:pt>
                <c:pt idx="1147">
                  <c:v>11.89</c:v>
                </c:pt>
                <c:pt idx="1148">
                  <c:v>11.85</c:v>
                </c:pt>
                <c:pt idx="1149">
                  <c:v>11.85</c:v>
                </c:pt>
                <c:pt idx="1150">
                  <c:v>12.15</c:v>
                </c:pt>
                <c:pt idx="1151">
                  <c:v>12.29</c:v>
                </c:pt>
                <c:pt idx="1152">
                  <c:v>12.19</c:v>
                </c:pt>
                <c:pt idx="1153">
                  <c:v>12.12</c:v>
                </c:pt>
                <c:pt idx="1154">
                  <c:v>12.11</c:v>
                </c:pt>
                <c:pt idx="1155">
                  <c:v>12.18</c:v>
                </c:pt>
                <c:pt idx="1156">
                  <c:v>12.47</c:v>
                </c:pt>
                <c:pt idx="1157">
                  <c:v>12.67</c:v>
                </c:pt>
                <c:pt idx="1158">
                  <c:v>12.48</c:v>
                </c:pt>
                <c:pt idx="1159">
                  <c:v>12.55</c:v>
                </c:pt>
                <c:pt idx="1160">
                  <c:v>12.54</c:v>
                </c:pt>
                <c:pt idx="1161">
                  <c:v>12.45</c:v>
                </c:pt>
                <c:pt idx="1162">
                  <c:v>12.42</c:v>
                </c:pt>
                <c:pt idx="1163">
                  <c:v>12.5</c:v>
                </c:pt>
                <c:pt idx="1164">
                  <c:v>12.48</c:v>
                </c:pt>
                <c:pt idx="1165">
                  <c:v>12.55</c:v>
                </c:pt>
                <c:pt idx="1166">
                  <c:v>12.6</c:v>
                </c:pt>
                <c:pt idx="1167">
                  <c:v>12.6</c:v>
                </c:pt>
                <c:pt idx="1168">
                  <c:v>12.6</c:v>
                </c:pt>
                <c:pt idx="1169">
                  <c:v>12.69</c:v>
                </c:pt>
                <c:pt idx="1170">
                  <c:v>12.65</c:v>
                </c:pt>
                <c:pt idx="1171">
                  <c:v>12.69</c:v>
                </c:pt>
                <c:pt idx="1172">
                  <c:v>12.83</c:v>
                </c:pt>
                <c:pt idx="1173">
                  <c:v>12.92</c:v>
                </c:pt>
                <c:pt idx="1174">
                  <c:v>12.98</c:v>
                </c:pt>
                <c:pt idx="1175">
                  <c:v>12.83</c:v>
                </c:pt>
                <c:pt idx="1176">
                  <c:v>12.8</c:v>
                </c:pt>
                <c:pt idx="1177">
                  <c:v>12.73</c:v>
                </c:pt>
                <c:pt idx="1178">
                  <c:v>12.76</c:v>
                </c:pt>
                <c:pt idx="1179">
                  <c:v>12.71</c:v>
                </c:pt>
                <c:pt idx="1180">
                  <c:v>12.75</c:v>
                </c:pt>
                <c:pt idx="1181">
                  <c:v>12.76</c:v>
                </c:pt>
                <c:pt idx="1182">
                  <c:v>12.83</c:v>
                </c:pt>
                <c:pt idx="1183">
                  <c:v>12.94</c:v>
                </c:pt>
                <c:pt idx="1184">
                  <c:v>12.95</c:v>
                </c:pt>
                <c:pt idx="1185">
                  <c:v>12.88</c:v>
                </c:pt>
                <c:pt idx="1186">
                  <c:v>12.88</c:v>
                </c:pt>
                <c:pt idx="1187">
                  <c:v>12.96</c:v>
                </c:pt>
                <c:pt idx="1188">
                  <c:v>13.03</c:v>
                </c:pt>
                <c:pt idx="1189">
                  <c:v>13.05</c:v>
                </c:pt>
                <c:pt idx="1190">
                  <c:v>12.97</c:v>
                </c:pt>
                <c:pt idx="1191">
                  <c:v>13.03</c:v>
                </c:pt>
                <c:pt idx="1192">
                  <c:v>13.01</c:v>
                </c:pt>
                <c:pt idx="1193">
                  <c:v>12.97</c:v>
                </c:pt>
                <c:pt idx="1194">
                  <c:v>12.9</c:v>
                </c:pt>
                <c:pt idx="1195">
                  <c:v>12.94</c:v>
                </c:pt>
                <c:pt idx="1196">
                  <c:v>12.94</c:v>
                </c:pt>
                <c:pt idx="1197">
                  <c:v>12.98</c:v>
                </c:pt>
                <c:pt idx="1198">
                  <c:v>13.14</c:v>
                </c:pt>
                <c:pt idx="1199">
                  <c:v>13.07</c:v>
                </c:pt>
                <c:pt idx="1200">
                  <c:v>13.07</c:v>
                </c:pt>
                <c:pt idx="1201">
                  <c:v>13.13</c:v>
                </c:pt>
                <c:pt idx="1202">
                  <c:v>13.15</c:v>
                </c:pt>
                <c:pt idx="1203">
                  <c:v>13.15</c:v>
                </c:pt>
                <c:pt idx="1204">
                  <c:v>13.31</c:v>
                </c:pt>
                <c:pt idx="1205">
                  <c:v>13.35</c:v>
                </c:pt>
                <c:pt idx="1206">
                  <c:v>13.35</c:v>
                </c:pt>
                <c:pt idx="1207">
                  <c:v>13.36</c:v>
                </c:pt>
                <c:pt idx="1208">
                  <c:v>13.59</c:v>
                </c:pt>
                <c:pt idx="1209">
                  <c:v>13.58</c:v>
                </c:pt>
                <c:pt idx="1210">
                  <c:v>13.48</c:v>
                </c:pt>
                <c:pt idx="1211">
                  <c:v>13.57</c:v>
                </c:pt>
                <c:pt idx="1212">
                  <c:v>13.73</c:v>
                </c:pt>
                <c:pt idx="1213">
                  <c:v>13.69</c:v>
                </c:pt>
                <c:pt idx="1214">
                  <c:v>13.78</c:v>
                </c:pt>
                <c:pt idx="1215">
                  <c:v>13.86</c:v>
                </c:pt>
                <c:pt idx="1216">
                  <c:v>13.84</c:v>
                </c:pt>
                <c:pt idx="1217">
                  <c:v>13.83</c:v>
                </c:pt>
                <c:pt idx="1218">
                  <c:v>13.98</c:v>
                </c:pt>
                <c:pt idx="1219">
                  <c:v>14.13</c:v>
                </c:pt>
                <c:pt idx="1220">
                  <c:v>14.26</c:v>
                </c:pt>
                <c:pt idx="1221">
                  <c:v>14.22</c:v>
                </c:pt>
                <c:pt idx="1222">
                  <c:v>14.35</c:v>
                </c:pt>
                <c:pt idx="1223">
                  <c:v>14.28</c:v>
                </c:pt>
                <c:pt idx="1224">
                  <c:v>14.03</c:v>
                </c:pt>
                <c:pt idx="1225">
                  <c:v>14.04</c:v>
                </c:pt>
                <c:pt idx="1226">
                  <c:v>14.02</c:v>
                </c:pt>
                <c:pt idx="1227">
                  <c:v>13.91</c:v>
                </c:pt>
                <c:pt idx="1228">
                  <c:v>13.98</c:v>
                </c:pt>
                <c:pt idx="1229">
                  <c:v>13.95</c:v>
                </c:pt>
                <c:pt idx="1230">
                  <c:v>14.12</c:v>
                </c:pt>
                <c:pt idx="1231">
                  <c:v>14.23</c:v>
                </c:pt>
                <c:pt idx="1232">
                  <c:v>14.15</c:v>
                </c:pt>
                <c:pt idx="1233">
                  <c:v>14.1</c:v>
                </c:pt>
                <c:pt idx="1234">
                  <c:v>14.22</c:v>
                </c:pt>
                <c:pt idx="1235">
                  <c:v>14.26</c:v>
                </c:pt>
                <c:pt idx="1236">
                  <c:v>14.29</c:v>
                </c:pt>
                <c:pt idx="1237">
                  <c:v>14.18</c:v>
                </c:pt>
                <c:pt idx="1238">
                  <c:v>14.03</c:v>
                </c:pt>
                <c:pt idx="1239">
                  <c:v>13.91</c:v>
                </c:pt>
                <c:pt idx="1240">
                  <c:v>13.67</c:v>
                </c:pt>
                <c:pt idx="1241">
                  <c:v>13.7</c:v>
                </c:pt>
                <c:pt idx="1242">
                  <c:v>13.49</c:v>
                </c:pt>
                <c:pt idx="1243">
                  <c:v>13.3</c:v>
                </c:pt>
                <c:pt idx="1244">
                  <c:v>13.13</c:v>
                </c:pt>
                <c:pt idx="1245">
                  <c:v>13.1</c:v>
                </c:pt>
                <c:pt idx="1246">
                  <c:v>13.11</c:v>
                </c:pt>
                <c:pt idx="1247">
                  <c:v>13.12</c:v>
                </c:pt>
                <c:pt idx="1248">
                  <c:v>13.1</c:v>
                </c:pt>
                <c:pt idx="1249">
                  <c:v>13.31</c:v>
                </c:pt>
                <c:pt idx="1250">
                  <c:v>13.31</c:v>
                </c:pt>
                <c:pt idx="1251">
                  <c:v>13.22</c:v>
                </c:pt>
                <c:pt idx="1252">
                  <c:v>13.45</c:v>
                </c:pt>
                <c:pt idx="1253">
                  <c:v>13.56</c:v>
                </c:pt>
                <c:pt idx="1254">
                  <c:v>13.51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E-4D17-8EDF-D1913B722EAA}"/>
            </c:ext>
          </c:extLst>
        </c:ser>
        <c:ser>
          <c:idx val="1"/>
          <c:order val="1"/>
          <c:tx>
            <c:strRef>
              <c:f>'Price History'!$G$4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'Price History'!$C$5:$C$4964</c:f>
              <c:numCache>
                <c:formatCode>m/d/yyyy\ h:mm</c:formatCode>
                <c:ptCount val="4960"/>
                <c:pt idx="0">
                  <c:v>41113</c:v>
                </c:pt>
                <c:pt idx="1">
                  <c:v>41114</c:v>
                </c:pt>
                <c:pt idx="2">
                  <c:v>41115</c:v>
                </c:pt>
                <c:pt idx="3">
                  <c:v>41116</c:v>
                </c:pt>
                <c:pt idx="4">
                  <c:v>41117</c:v>
                </c:pt>
                <c:pt idx="5">
                  <c:v>41120</c:v>
                </c:pt>
                <c:pt idx="6">
                  <c:v>41121</c:v>
                </c:pt>
                <c:pt idx="7">
                  <c:v>41122</c:v>
                </c:pt>
                <c:pt idx="8">
                  <c:v>41123</c:v>
                </c:pt>
                <c:pt idx="9">
                  <c:v>41124</c:v>
                </c:pt>
                <c:pt idx="10">
                  <c:v>41128</c:v>
                </c:pt>
                <c:pt idx="11">
                  <c:v>41129</c:v>
                </c:pt>
                <c:pt idx="12">
                  <c:v>41130</c:v>
                </c:pt>
                <c:pt idx="13">
                  <c:v>41131</c:v>
                </c:pt>
                <c:pt idx="14">
                  <c:v>41134</c:v>
                </c:pt>
                <c:pt idx="15">
                  <c:v>41135</c:v>
                </c:pt>
                <c:pt idx="16">
                  <c:v>41136</c:v>
                </c:pt>
                <c:pt idx="17">
                  <c:v>41137</c:v>
                </c:pt>
                <c:pt idx="18">
                  <c:v>41138</c:v>
                </c:pt>
                <c:pt idx="19">
                  <c:v>41141</c:v>
                </c:pt>
                <c:pt idx="20">
                  <c:v>41142</c:v>
                </c:pt>
                <c:pt idx="21">
                  <c:v>41143</c:v>
                </c:pt>
                <c:pt idx="22">
                  <c:v>41144</c:v>
                </c:pt>
                <c:pt idx="23">
                  <c:v>41145</c:v>
                </c:pt>
                <c:pt idx="24">
                  <c:v>41148</c:v>
                </c:pt>
                <c:pt idx="25">
                  <c:v>41149</c:v>
                </c:pt>
                <c:pt idx="26">
                  <c:v>41150</c:v>
                </c:pt>
                <c:pt idx="27">
                  <c:v>41151</c:v>
                </c:pt>
                <c:pt idx="28">
                  <c:v>41152</c:v>
                </c:pt>
                <c:pt idx="29">
                  <c:v>41156</c:v>
                </c:pt>
                <c:pt idx="30">
                  <c:v>41157</c:v>
                </c:pt>
                <c:pt idx="31">
                  <c:v>41158</c:v>
                </c:pt>
                <c:pt idx="32">
                  <c:v>41159</c:v>
                </c:pt>
                <c:pt idx="33">
                  <c:v>41162</c:v>
                </c:pt>
                <c:pt idx="34">
                  <c:v>41163</c:v>
                </c:pt>
                <c:pt idx="35">
                  <c:v>41164</c:v>
                </c:pt>
                <c:pt idx="36">
                  <c:v>41165</c:v>
                </c:pt>
                <c:pt idx="37">
                  <c:v>41166</c:v>
                </c:pt>
                <c:pt idx="38">
                  <c:v>41169</c:v>
                </c:pt>
                <c:pt idx="39">
                  <c:v>41170</c:v>
                </c:pt>
                <c:pt idx="40">
                  <c:v>41171</c:v>
                </c:pt>
                <c:pt idx="41">
                  <c:v>41172</c:v>
                </c:pt>
                <c:pt idx="42">
                  <c:v>41173</c:v>
                </c:pt>
                <c:pt idx="43">
                  <c:v>41176</c:v>
                </c:pt>
                <c:pt idx="44">
                  <c:v>41177</c:v>
                </c:pt>
                <c:pt idx="45">
                  <c:v>41178</c:v>
                </c:pt>
                <c:pt idx="46">
                  <c:v>41179</c:v>
                </c:pt>
                <c:pt idx="47">
                  <c:v>41180</c:v>
                </c:pt>
                <c:pt idx="48">
                  <c:v>41183</c:v>
                </c:pt>
                <c:pt idx="49">
                  <c:v>41184</c:v>
                </c:pt>
                <c:pt idx="50">
                  <c:v>41185</c:v>
                </c:pt>
                <c:pt idx="51">
                  <c:v>41186</c:v>
                </c:pt>
                <c:pt idx="52">
                  <c:v>41187</c:v>
                </c:pt>
                <c:pt idx="53">
                  <c:v>41191</c:v>
                </c:pt>
                <c:pt idx="54">
                  <c:v>41192</c:v>
                </c:pt>
                <c:pt idx="55">
                  <c:v>41193</c:v>
                </c:pt>
                <c:pt idx="56">
                  <c:v>41194</c:v>
                </c:pt>
                <c:pt idx="57">
                  <c:v>41197</c:v>
                </c:pt>
                <c:pt idx="58">
                  <c:v>41198</c:v>
                </c:pt>
                <c:pt idx="59">
                  <c:v>41199</c:v>
                </c:pt>
                <c:pt idx="60">
                  <c:v>41200</c:v>
                </c:pt>
                <c:pt idx="61">
                  <c:v>41201</c:v>
                </c:pt>
                <c:pt idx="62">
                  <c:v>41204</c:v>
                </c:pt>
                <c:pt idx="63">
                  <c:v>41205</c:v>
                </c:pt>
                <c:pt idx="64">
                  <c:v>41206</c:v>
                </c:pt>
                <c:pt idx="65">
                  <c:v>41207</c:v>
                </c:pt>
                <c:pt idx="66">
                  <c:v>41208</c:v>
                </c:pt>
                <c:pt idx="67">
                  <c:v>41211</c:v>
                </c:pt>
                <c:pt idx="68">
                  <c:v>41212</c:v>
                </c:pt>
                <c:pt idx="69">
                  <c:v>41213</c:v>
                </c:pt>
                <c:pt idx="70">
                  <c:v>41214</c:v>
                </c:pt>
                <c:pt idx="71">
                  <c:v>41215</c:v>
                </c:pt>
                <c:pt idx="72">
                  <c:v>41218</c:v>
                </c:pt>
                <c:pt idx="73">
                  <c:v>41219</c:v>
                </c:pt>
                <c:pt idx="74">
                  <c:v>41220</c:v>
                </c:pt>
                <c:pt idx="75">
                  <c:v>41221</c:v>
                </c:pt>
                <c:pt idx="76">
                  <c:v>41222</c:v>
                </c:pt>
                <c:pt idx="77">
                  <c:v>41225</c:v>
                </c:pt>
                <c:pt idx="78">
                  <c:v>41226</c:v>
                </c:pt>
                <c:pt idx="79">
                  <c:v>41227</c:v>
                </c:pt>
                <c:pt idx="80">
                  <c:v>41228</c:v>
                </c:pt>
                <c:pt idx="81">
                  <c:v>41229</c:v>
                </c:pt>
                <c:pt idx="82">
                  <c:v>41232</c:v>
                </c:pt>
                <c:pt idx="83">
                  <c:v>41233</c:v>
                </c:pt>
                <c:pt idx="84">
                  <c:v>41234</c:v>
                </c:pt>
                <c:pt idx="85">
                  <c:v>41235</c:v>
                </c:pt>
                <c:pt idx="86">
                  <c:v>41236</c:v>
                </c:pt>
                <c:pt idx="87">
                  <c:v>41239</c:v>
                </c:pt>
                <c:pt idx="88">
                  <c:v>41240</c:v>
                </c:pt>
                <c:pt idx="89">
                  <c:v>41241</c:v>
                </c:pt>
                <c:pt idx="90">
                  <c:v>41242</c:v>
                </c:pt>
                <c:pt idx="91">
                  <c:v>41243</c:v>
                </c:pt>
                <c:pt idx="92">
                  <c:v>41246</c:v>
                </c:pt>
                <c:pt idx="93">
                  <c:v>41247</c:v>
                </c:pt>
                <c:pt idx="94">
                  <c:v>41248</c:v>
                </c:pt>
                <c:pt idx="95">
                  <c:v>41249</c:v>
                </c:pt>
                <c:pt idx="96">
                  <c:v>41250</c:v>
                </c:pt>
                <c:pt idx="97">
                  <c:v>41253</c:v>
                </c:pt>
                <c:pt idx="98">
                  <c:v>41254</c:v>
                </c:pt>
                <c:pt idx="99">
                  <c:v>41255</c:v>
                </c:pt>
                <c:pt idx="100">
                  <c:v>41256</c:v>
                </c:pt>
                <c:pt idx="101">
                  <c:v>41257</c:v>
                </c:pt>
                <c:pt idx="102">
                  <c:v>41260</c:v>
                </c:pt>
                <c:pt idx="103">
                  <c:v>41261</c:v>
                </c:pt>
                <c:pt idx="104">
                  <c:v>41262</c:v>
                </c:pt>
                <c:pt idx="105">
                  <c:v>41263</c:v>
                </c:pt>
                <c:pt idx="106">
                  <c:v>41264</c:v>
                </c:pt>
                <c:pt idx="107">
                  <c:v>41267</c:v>
                </c:pt>
                <c:pt idx="108">
                  <c:v>41270</c:v>
                </c:pt>
                <c:pt idx="109">
                  <c:v>41271</c:v>
                </c:pt>
                <c:pt idx="110">
                  <c:v>41274</c:v>
                </c:pt>
                <c:pt idx="111">
                  <c:v>41276</c:v>
                </c:pt>
                <c:pt idx="112">
                  <c:v>41277</c:v>
                </c:pt>
                <c:pt idx="113">
                  <c:v>41278</c:v>
                </c:pt>
                <c:pt idx="114">
                  <c:v>41281</c:v>
                </c:pt>
                <c:pt idx="115">
                  <c:v>41282</c:v>
                </c:pt>
                <c:pt idx="116">
                  <c:v>41283</c:v>
                </c:pt>
                <c:pt idx="117">
                  <c:v>41284</c:v>
                </c:pt>
                <c:pt idx="118">
                  <c:v>41285</c:v>
                </c:pt>
                <c:pt idx="119">
                  <c:v>41288</c:v>
                </c:pt>
                <c:pt idx="120">
                  <c:v>41289</c:v>
                </c:pt>
                <c:pt idx="121">
                  <c:v>41290</c:v>
                </c:pt>
                <c:pt idx="122">
                  <c:v>41291</c:v>
                </c:pt>
                <c:pt idx="123">
                  <c:v>41292</c:v>
                </c:pt>
                <c:pt idx="124">
                  <c:v>41295</c:v>
                </c:pt>
                <c:pt idx="125">
                  <c:v>41296</c:v>
                </c:pt>
                <c:pt idx="126">
                  <c:v>41297</c:v>
                </c:pt>
                <c:pt idx="127">
                  <c:v>41298</c:v>
                </c:pt>
                <c:pt idx="128">
                  <c:v>41299</c:v>
                </c:pt>
                <c:pt idx="129">
                  <c:v>41302</c:v>
                </c:pt>
                <c:pt idx="130">
                  <c:v>41303</c:v>
                </c:pt>
                <c:pt idx="131">
                  <c:v>41304</c:v>
                </c:pt>
                <c:pt idx="132">
                  <c:v>41305</c:v>
                </c:pt>
                <c:pt idx="133">
                  <c:v>41306</c:v>
                </c:pt>
                <c:pt idx="134">
                  <c:v>41309</c:v>
                </c:pt>
                <c:pt idx="135">
                  <c:v>41310</c:v>
                </c:pt>
                <c:pt idx="136">
                  <c:v>41311</c:v>
                </c:pt>
                <c:pt idx="137">
                  <c:v>41312</c:v>
                </c:pt>
                <c:pt idx="138">
                  <c:v>41313</c:v>
                </c:pt>
                <c:pt idx="139">
                  <c:v>41316</c:v>
                </c:pt>
                <c:pt idx="140">
                  <c:v>41317</c:v>
                </c:pt>
                <c:pt idx="141">
                  <c:v>41318</c:v>
                </c:pt>
                <c:pt idx="142">
                  <c:v>41319</c:v>
                </c:pt>
                <c:pt idx="143">
                  <c:v>41320</c:v>
                </c:pt>
                <c:pt idx="144">
                  <c:v>41324</c:v>
                </c:pt>
                <c:pt idx="145">
                  <c:v>41325</c:v>
                </c:pt>
                <c:pt idx="146">
                  <c:v>41326</c:v>
                </c:pt>
                <c:pt idx="147">
                  <c:v>41327</c:v>
                </c:pt>
                <c:pt idx="148">
                  <c:v>41330</c:v>
                </c:pt>
                <c:pt idx="149">
                  <c:v>41331</c:v>
                </c:pt>
                <c:pt idx="150">
                  <c:v>41332</c:v>
                </c:pt>
                <c:pt idx="151">
                  <c:v>41333</c:v>
                </c:pt>
                <c:pt idx="152">
                  <c:v>41334</c:v>
                </c:pt>
                <c:pt idx="153">
                  <c:v>41337</c:v>
                </c:pt>
                <c:pt idx="154">
                  <c:v>41338</c:v>
                </c:pt>
                <c:pt idx="155">
                  <c:v>41339</c:v>
                </c:pt>
                <c:pt idx="156">
                  <c:v>41340</c:v>
                </c:pt>
                <c:pt idx="157">
                  <c:v>41341</c:v>
                </c:pt>
                <c:pt idx="158">
                  <c:v>41344</c:v>
                </c:pt>
                <c:pt idx="159">
                  <c:v>41345</c:v>
                </c:pt>
                <c:pt idx="160">
                  <c:v>41346</c:v>
                </c:pt>
                <c:pt idx="161">
                  <c:v>41347</c:v>
                </c:pt>
                <c:pt idx="162">
                  <c:v>41348</c:v>
                </c:pt>
                <c:pt idx="163">
                  <c:v>41351</c:v>
                </c:pt>
                <c:pt idx="164">
                  <c:v>41352</c:v>
                </c:pt>
                <c:pt idx="165">
                  <c:v>41353</c:v>
                </c:pt>
                <c:pt idx="166">
                  <c:v>41354</c:v>
                </c:pt>
                <c:pt idx="167">
                  <c:v>41355</c:v>
                </c:pt>
                <c:pt idx="168">
                  <c:v>41358</c:v>
                </c:pt>
                <c:pt idx="169">
                  <c:v>41359</c:v>
                </c:pt>
                <c:pt idx="170">
                  <c:v>41360</c:v>
                </c:pt>
                <c:pt idx="171">
                  <c:v>41361</c:v>
                </c:pt>
                <c:pt idx="172">
                  <c:v>41365</c:v>
                </c:pt>
                <c:pt idx="173">
                  <c:v>41366</c:v>
                </c:pt>
                <c:pt idx="174">
                  <c:v>41367</c:v>
                </c:pt>
                <c:pt idx="175">
                  <c:v>41368</c:v>
                </c:pt>
                <c:pt idx="176">
                  <c:v>41369</c:v>
                </c:pt>
                <c:pt idx="177">
                  <c:v>41372</c:v>
                </c:pt>
                <c:pt idx="178">
                  <c:v>41373</c:v>
                </c:pt>
                <c:pt idx="179">
                  <c:v>41374</c:v>
                </c:pt>
                <c:pt idx="180">
                  <c:v>41375</c:v>
                </c:pt>
                <c:pt idx="181">
                  <c:v>41376</c:v>
                </c:pt>
                <c:pt idx="182">
                  <c:v>41379</c:v>
                </c:pt>
                <c:pt idx="183">
                  <c:v>41380</c:v>
                </c:pt>
                <c:pt idx="184">
                  <c:v>41381</c:v>
                </c:pt>
                <c:pt idx="185">
                  <c:v>41382</c:v>
                </c:pt>
                <c:pt idx="186">
                  <c:v>41383</c:v>
                </c:pt>
                <c:pt idx="187">
                  <c:v>41386</c:v>
                </c:pt>
                <c:pt idx="188">
                  <c:v>41387</c:v>
                </c:pt>
                <c:pt idx="189">
                  <c:v>41388</c:v>
                </c:pt>
                <c:pt idx="190">
                  <c:v>41389</c:v>
                </c:pt>
                <c:pt idx="191">
                  <c:v>41390</c:v>
                </c:pt>
                <c:pt idx="192">
                  <c:v>41393</c:v>
                </c:pt>
                <c:pt idx="193">
                  <c:v>41394</c:v>
                </c:pt>
                <c:pt idx="194">
                  <c:v>41395</c:v>
                </c:pt>
                <c:pt idx="195">
                  <c:v>41396</c:v>
                </c:pt>
                <c:pt idx="196">
                  <c:v>41397</c:v>
                </c:pt>
                <c:pt idx="197">
                  <c:v>41400</c:v>
                </c:pt>
                <c:pt idx="198">
                  <c:v>41401</c:v>
                </c:pt>
                <c:pt idx="199">
                  <c:v>41402</c:v>
                </c:pt>
                <c:pt idx="200">
                  <c:v>41403</c:v>
                </c:pt>
                <c:pt idx="201">
                  <c:v>41404</c:v>
                </c:pt>
                <c:pt idx="202">
                  <c:v>41407</c:v>
                </c:pt>
                <c:pt idx="203">
                  <c:v>41408</c:v>
                </c:pt>
                <c:pt idx="204">
                  <c:v>41409</c:v>
                </c:pt>
                <c:pt idx="205">
                  <c:v>41410</c:v>
                </c:pt>
                <c:pt idx="206">
                  <c:v>41411</c:v>
                </c:pt>
                <c:pt idx="207">
                  <c:v>41415</c:v>
                </c:pt>
                <c:pt idx="208">
                  <c:v>41416</c:v>
                </c:pt>
                <c:pt idx="209">
                  <c:v>41417</c:v>
                </c:pt>
                <c:pt idx="210">
                  <c:v>41418</c:v>
                </c:pt>
                <c:pt idx="211">
                  <c:v>41421</c:v>
                </c:pt>
                <c:pt idx="212">
                  <c:v>41422</c:v>
                </c:pt>
                <c:pt idx="213">
                  <c:v>41423</c:v>
                </c:pt>
                <c:pt idx="214">
                  <c:v>41424</c:v>
                </c:pt>
                <c:pt idx="215">
                  <c:v>41425</c:v>
                </c:pt>
                <c:pt idx="216">
                  <c:v>41428</c:v>
                </c:pt>
                <c:pt idx="217">
                  <c:v>41429</c:v>
                </c:pt>
                <c:pt idx="218">
                  <c:v>41430</c:v>
                </c:pt>
                <c:pt idx="219">
                  <c:v>41431</c:v>
                </c:pt>
                <c:pt idx="220">
                  <c:v>41432</c:v>
                </c:pt>
                <c:pt idx="221">
                  <c:v>41435</c:v>
                </c:pt>
                <c:pt idx="222">
                  <c:v>41436</c:v>
                </c:pt>
                <c:pt idx="223">
                  <c:v>41437</c:v>
                </c:pt>
                <c:pt idx="224">
                  <c:v>41438</c:v>
                </c:pt>
                <c:pt idx="225">
                  <c:v>41439</c:v>
                </c:pt>
                <c:pt idx="226">
                  <c:v>41442</c:v>
                </c:pt>
                <c:pt idx="227">
                  <c:v>41443</c:v>
                </c:pt>
                <c:pt idx="228">
                  <c:v>41444</c:v>
                </c:pt>
                <c:pt idx="229">
                  <c:v>41445</c:v>
                </c:pt>
                <c:pt idx="230">
                  <c:v>41446</c:v>
                </c:pt>
                <c:pt idx="231">
                  <c:v>41449</c:v>
                </c:pt>
                <c:pt idx="232">
                  <c:v>41450</c:v>
                </c:pt>
                <c:pt idx="233">
                  <c:v>41451</c:v>
                </c:pt>
                <c:pt idx="234">
                  <c:v>41452</c:v>
                </c:pt>
                <c:pt idx="235">
                  <c:v>41453</c:v>
                </c:pt>
                <c:pt idx="236">
                  <c:v>41457</c:v>
                </c:pt>
                <c:pt idx="237">
                  <c:v>41458</c:v>
                </c:pt>
                <c:pt idx="238">
                  <c:v>41459</c:v>
                </c:pt>
                <c:pt idx="239">
                  <c:v>41460</c:v>
                </c:pt>
                <c:pt idx="240">
                  <c:v>41463</c:v>
                </c:pt>
                <c:pt idx="241">
                  <c:v>41464</c:v>
                </c:pt>
                <c:pt idx="242">
                  <c:v>41465</c:v>
                </c:pt>
                <c:pt idx="243">
                  <c:v>41466</c:v>
                </c:pt>
                <c:pt idx="244">
                  <c:v>41467</c:v>
                </c:pt>
                <c:pt idx="245">
                  <c:v>41470</c:v>
                </c:pt>
                <c:pt idx="246">
                  <c:v>41471</c:v>
                </c:pt>
                <c:pt idx="247">
                  <c:v>41472</c:v>
                </c:pt>
                <c:pt idx="248">
                  <c:v>41473</c:v>
                </c:pt>
                <c:pt idx="249">
                  <c:v>41474</c:v>
                </c:pt>
                <c:pt idx="250">
                  <c:v>41477</c:v>
                </c:pt>
                <c:pt idx="251">
                  <c:v>41478</c:v>
                </c:pt>
                <c:pt idx="252">
                  <c:v>41479</c:v>
                </c:pt>
                <c:pt idx="253">
                  <c:v>41480</c:v>
                </c:pt>
                <c:pt idx="254">
                  <c:v>41481</c:v>
                </c:pt>
                <c:pt idx="255">
                  <c:v>41484</c:v>
                </c:pt>
                <c:pt idx="256">
                  <c:v>41485</c:v>
                </c:pt>
                <c:pt idx="257">
                  <c:v>41486</c:v>
                </c:pt>
                <c:pt idx="258">
                  <c:v>41487</c:v>
                </c:pt>
                <c:pt idx="259">
                  <c:v>41488</c:v>
                </c:pt>
                <c:pt idx="260">
                  <c:v>41492</c:v>
                </c:pt>
                <c:pt idx="261">
                  <c:v>41493</c:v>
                </c:pt>
                <c:pt idx="262">
                  <c:v>41494</c:v>
                </c:pt>
                <c:pt idx="263">
                  <c:v>41495</c:v>
                </c:pt>
                <c:pt idx="264">
                  <c:v>41498</c:v>
                </c:pt>
                <c:pt idx="265">
                  <c:v>41499</c:v>
                </c:pt>
                <c:pt idx="266">
                  <c:v>41500</c:v>
                </c:pt>
                <c:pt idx="267">
                  <c:v>41501</c:v>
                </c:pt>
                <c:pt idx="268">
                  <c:v>41502</c:v>
                </c:pt>
                <c:pt idx="269">
                  <c:v>41505</c:v>
                </c:pt>
                <c:pt idx="270">
                  <c:v>41506</c:v>
                </c:pt>
                <c:pt idx="271">
                  <c:v>41507</c:v>
                </c:pt>
                <c:pt idx="272">
                  <c:v>41508</c:v>
                </c:pt>
                <c:pt idx="273">
                  <c:v>41509</c:v>
                </c:pt>
                <c:pt idx="274">
                  <c:v>41512</c:v>
                </c:pt>
                <c:pt idx="275">
                  <c:v>41513</c:v>
                </c:pt>
                <c:pt idx="276">
                  <c:v>41514</c:v>
                </c:pt>
                <c:pt idx="277">
                  <c:v>41515</c:v>
                </c:pt>
                <c:pt idx="278">
                  <c:v>41516</c:v>
                </c:pt>
                <c:pt idx="279">
                  <c:v>41520</c:v>
                </c:pt>
                <c:pt idx="280">
                  <c:v>41521</c:v>
                </c:pt>
                <c:pt idx="281">
                  <c:v>41522</c:v>
                </c:pt>
                <c:pt idx="282">
                  <c:v>41523</c:v>
                </c:pt>
                <c:pt idx="283">
                  <c:v>41526</c:v>
                </c:pt>
                <c:pt idx="284">
                  <c:v>41527</c:v>
                </c:pt>
                <c:pt idx="285">
                  <c:v>41528</c:v>
                </c:pt>
                <c:pt idx="286">
                  <c:v>41529</c:v>
                </c:pt>
                <c:pt idx="287">
                  <c:v>41530</c:v>
                </c:pt>
                <c:pt idx="288">
                  <c:v>41533</c:v>
                </c:pt>
                <c:pt idx="289">
                  <c:v>41534</c:v>
                </c:pt>
                <c:pt idx="290">
                  <c:v>41535</c:v>
                </c:pt>
                <c:pt idx="291">
                  <c:v>41536</c:v>
                </c:pt>
                <c:pt idx="292">
                  <c:v>41537</c:v>
                </c:pt>
                <c:pt idx="293">
                  <c:v>41540</c:v>
                </c:pt>
                <c:pt idx="294">
                  <c:v>41541</c:v>
                </c:pt>
                <c:pt idx="295">
                  <c:v>41542</c:v>
                </c:pt>
                <c:pt idx="296">
                  <c:v>41543</c:v>
                </c:pt>
                <c:pt idx="297">
                  <c:v>41544</c:v>
                </c:pt>
                <c:pt idx="298">
                  <c:v>41547</c:v>
                </c:pt>
                <c:pt idx="299">
                  <c:v>41548</c:v>
                </c:pt>
                <c:pt idx="300">
                  <c:v>41549</c:v>
                </c:pt>
                <c:pt idx="301">
                  <c:v>41550</c:v>
                </c:pt>
                <c:pt idx="302">
                  <c:v>41551</c:v>
                </c:pt>
                <c:pt idx="303">
                  <c:v>41554</c:v>
                </c:pt>
                <c:pt idx="304">
                  <c:v>41555</c:v>
                </c:pt>
                <c:pt idx="305">
                  <c:v>41556</c:v>
                </c:pt>
                <c:pt idx="306">
                  <c:v>41557</c:v>
                </c:pt>
                <c:pt idx="307">
                  <c:v>41558</c:v>
                </c:pt>
                <c:pt idx="308">
                  <c:v>41562</c:v>
                </c:pt>
                <c:pt idx="309">
                  <c:v>41563</c:v>
                </c:pt>
                <c:pt idx="310">
                  <c:v>41564</c:v>
                </c:pt>
                <c:pt idx="311">
                  <c:v>41565</c:v>
                </c:pt>
                <c:pt idx="312">
                  <c:v>41568</c:v>
                </c:pt>
                <c:pt idx="313">
                  <c:v>41569</c:v>
                </c:pt>
                <c:pt idx="314">
                  <c:v>41570</c:v>
                </c:pt>
                <c:pt idx="315">
                  <c:v>41571</c:v>
                </c:pt>
                <c:pt idx="316">
                  <c:v>41572</c:v>
                </c:pt>
                <c:pt idx="317">
                  <c:v>41575</c:v>
                </c:pt>
                <c:pt idx="318">
                  <c:v>41576</c:v>
                </c:pt>
                <c:pt idx="319">
                  <c:v>41577</c:v>
                </c:pt>
                <c:pt idx="320">
                  <c:v>41578</c:v>
                </c:pt>
                <c:pt idx="321">
                  <c:v>41579</c:v>
                </c:pt>
                <c:pt idx="322">
                  <c:v>41582</c:v>
                </c:pt>
                <c:pt idx="323">
                  <c:v>41583</c:v>
                </c:pt>
                <c:pt idx="324">
                  <c:v>41584</c:v>
                </c:pt>
                <c:pt idx="325">
                  <c:v>41585</c:v>
                </c:pt>
                <c:pt idx="326">
                  <c:v>41586</c:v>
                </c:pt>
                <c:pt idx="327">
                  <c:v>41589</c:v>
                </c:pt>
                <c:pt idx="328">
                  <c:v>41590</c:v>
                </c:pt>
                <c:pt idx="329">
                  <c:v>41591</c:v>
                </c:pt>
                <c:pt idx="330">
                  <c:v>41592</c:v>
                </c:pt>
                <c:pt idx="331">
                  <c:v>41593</c:v>
                </c:pt>
                <c:pt idx="332">
                  <c:v>41596</c:v>
                </c:pt>
                <c:pt idx="333">
                  <c:v>41597</c:v>
                </c:pt>
                <c:pt idx="334">
                  <c:v>41598</c:v>
                </c:pt>
                <c:pt idx="335">
                  <c:v>41599</c:v>
                </c:pt>
                <c:pt idx="336">
                  <c:v>41600</c:v>
                </c:pt>
                <c:pt idx="337">
                  <c:v>41603</c:v>
                </c:pt>
                <c:pt idx="338">
                  <c:v>41604</c:v>
                </c:pt>
                <c:pt idx="339">
                  <c:v>41605</c:v>
                </c:pt>
                <c:pt idx="340">
                  <c:v>41606</c:v>
                </c:pt>
                <c:pt idx="341">
                  <c:v>41607</c:v>
                </c:pt>
                <c:pt idx="342">
                  <c:v>41610</c:v>
                </c:pt>
                <c:pt idx="343">
                  <c:v>41611</c:v>
                </c:pt>
                <c:pt idx="344">
                  <c:v>41612</c:v>
                </c:pt>
                <c:pt idx="345">
                  <c:v>41613</c:v>
                </c:pt>
                <c:pt idx="346">
                  <c:v>41614</c:v>
                </c:pt>
                <c:pt idx="347">
                  <c:v>41617</c:v>
                </c:pt>
                <c:pt idx="348">
                  <c:v>41618</c:v>
                </c:pt>
                <c:pt idx="349">
                  <c:v>41619</c:v>
                </c:pt>
                <c:pt idx="350">
                  <c:v>41620</c:v>
                </c:pt>
                <c:pt idx="351">
                  <c:v>41621</c:v>
                </c:pt>
                <c:pt idx="352">
                  <c:v>41624</c:v>
                </c:pt>
                <c:pt idx="353">
                  <c:v>41625</c:v>
                </c:pt>
                <c:pt idx="354">
                  <c:v>41626</c:v>
                </c:pt>
                <c:pt idx="355">
                  <c:v>41627</c:v>
                </c:pt>
                <c:pt idx="356">
                  <c:v>41628</c:v>
                </c:pt>
                <c:pt idx="357">
                  <c:v>41631</c:v>
                </c:pt>
                <c:pt idx="358">
                  <c:v>41632</c:v>
                </c:pt>
                <c:pt idx="359">
                  <c:v>41635</c:v>
                </c:pt>
                <c:pt idx="360">
                  <c:v>41638</c:v>
                </c:pt>
                <c:pt idx="361">
                  <c:v>41639</c:v>
                </c:pt>
                <c:pt idx="362">
                  <c:v>41641</c:v>
                </c:pt>
                <c:pt idx="363">
                  <c:v>41642</c:v>
                </c:pt>
                <c:pt idx="364">
                  <c:v>41645</c:v>
                </c:pt>
                <c:pt idx="365">
                  <c:v>41646</c:v>
                </c:pt>
                <c:pt idx="366">
                  <c:v>41647</c:v>
                </c:pt>
                <c:pt idx="367">
                  <c:v>41648</c:v>
                </c:pt>
                <c:pt idx="368">
                  <c:v>41649</c:v>
                </c:pt>
                <c:pt idx="369">
                  <c:v>41652</c:v>
                </c:pt>
                <c:pt idx="370">
                  <c:v>41653</c:v>
                </c:pt>
                <c:pt idx="371">
                  <c:v>41654</c:v>
                </c:pt>
                <c:pt idx="372">
                  <c:v>41655</c:v>
                </c:pt>
                <c:pt idx="373">
                  <c:v>41656</c:v>
                </c:pt>
                <c:pt idx="374">
                  <c:v>41659</c:v>
                </c:pt>
                <c:pt idx="375">
                  <c:v>41660</c:v>
                </c:pt>
                <c:pt idx="376">
                  <c:v>41661</c:v>
                </c:pt>
                <c:pt idx="377">
                  <c:v>41662</c:v>
                </c:pt>
                <c:pt idx="378">
                  <c:v>41663</c:v>
                </c:pt>
                <c:pt idx="379">
                  <c:v>41666</c:v>
                </c:pt>
                <c:pt idx="380">
                  <c:v>41667</c:v>
                </c:pt>
                <c:pt idx="381">
                  <c:v>41668</c:v>
                </c:pt>
                <c:pt idx="382">
                  <c:v>41669</c:v>
                </c:pt>
                <c:pt idx="383">
                  <c:v>41670</c:v>
                </c:pt>
                <c:pt idx="384">
                  <c:v>41673</c:v>
                </c:pt>
                <c:pt idx="385">
                  <c:v>41674</c:v>
                </c:pt>
                <c:pt idx="386">
                  <c:v>41675</c:v>
                </c:pt>
                <c:pt idx="387">
                  <c:v>41676</c:v>
                </c:pt>
                <c:pt idx="388">
                  <c:v>41677</c:v>
                </c:pt>
                <c:pt idx="389">
                  <c:v>41680</c:v>
                </c:pt>
                <c:pt idx="390">
                  <c:v>41681</c:v>
                </c:pt>
                <c:pt idx="391">
                  <c:v>41682</c:v>
                </c:pt>
                <c:pt idx="392">
                  <c:v>41683</c:v>
                </c:pt>
                <c:pt idx="393">
                  <c:v>41684</c:v>
                </c:pt>
                <c:pt idx="394">
                  <c:v>41688</c:v>
                </c:pt>
                <c:pt idx="395">
                  <c:v>41689</c:v>
                </c:pt>
                <c:pt idx="396">
                  <c:v>41690</c:v>
                </c:pt>
                <c:pt idx="397">
                  <c:v>41691</c:v>
                </c:pt>
                <c:pt idx="398">
                  <c:v>41694</c:v>
                </c:pt>
                <c:pt idx="399">
                  <c:v>41695</c:v>
                </c:pt>
                <c:pt idx="400">
                  <c:v>41696</c:v>
                </c:pt>
                <c:pt idx="401">
                  <c:v>41697</c:v>
                </c:pt>
                <c:pt idx="402">
                  <c:v>41698</c:v>
                </c:pt>
                <c:pt idx="403">
                  <c:v>41701</c:v>
                </c:pt>
                <c:pt idx="404">
                  <c:v>41702</c:v>
                </c:pt>
                <c:pt idx="405">
                  <c:v>41703</c:v>
                </c:pt>
                <c:pt idx="406">
                  <c:v>41704</c:v>
                </c:pt>
                <c:pt idx="407">
                  <c:v>41705</c:v>
                </c:pt>
                <c:pt idx="408">
                  <c:v>41708</c:v>
                </c:pt>
                <c:pt idx="409">
                  <c:v>41709</c:v>
                </c:pt>
                <c:pt idx="410">
                  <c:v>41710</c:v>
                </c:pt>
                <c:pt idx="411">
                  <c:v>41711</c:v>
                </c:pt>
                <c:pt idx="412">
                  <c:v>41712</c:v>
                </c:pt>
                <c:pt idx="413">
                  <c:v>41715</c:v>
                </c:pt>
                <c:pt idx="414">
                  <c:v>41716</c:v>
                </c:pt>
                <c:pt idx="415">
                  <c:v>41717</c:v>
                </c:pt>
                <c:pt idx="416">
                  <c:v>41718</c:v>
                </c:pt>
                <c:pt idx="417">
                  <c:v>41719</c:v>
                </c:pt>
                <c:pt idx="418">
                  <c:v>41722</c:v>
                </c:pt>
                <c:pt idx="419">
                  <c:v>41723</c:v>
                </c:pt>
                <c:pt idx="420">
                  <c:v>41724</c:v>
                </c:pt>
                <c:pt idx="421">
                  <c:v>41725</c:v>
                </c:pt>
                <c:pt idx="422">
                  <c:v>41726</c:v>
                </c:pt>
                <c:pt idx="423">
                  <c:v>41729</c:v>
                </c:pt>
                <c:pt idx="424">
                  <c:v>41730</c:v>
                </c:pt>
                <c:pt idx="425">
                  <c:v>41731</c:v>
                </c:pt>
                <c:pt idx="426">
                  <c:v>41732</c:v>
                </c:pt>
                <c:pt idx="427">
                  <c:v>41733</c:v>
                </c:pt>
                <c:pt idx="428">
                  <c:v>41736</c:v>
                </c:pt>
                <c:pt idx="429">
                  <c:v>41737</c:v>
                </c:pt>
                <c:pt idx="430">
                  <c:v>41738</c:v>
                </c:pt>
                <c:pt idx="431">
                  <c:v>41739</c:v>
                </c:pt>
                <c:pt idx="432">
                  <c:v>41740</c:v>
                </c:pt>
                <c:pt idx="433">
                  <c:v>41743</c:v>
                </c:pt>
                <c:pt idx="434">
                  <c:v>41744</c:v>
                </c:pt>
                <c:pt idx="435">
                  <c:v>41745</c:v>
                </c:pt>
                <c:pt idx="436">
                  <c:v>41746</c:v>
                </c:pt>
                <c:pt idx="437">
                  <c:v>41750</c:v>
                </c:pt>
                <c:pt idx="438">
                  <c:v>41751</c:v>
                </c:pt>
                <c:pt idx="439">
                  <c:v>41752</c:v>
                </c:pt>
                <c:pt idx="440">
                  <c:v>41753</c:v>
                </c:pt>
                <c:pt idx="441">
                  <c:v>41754</c:v>
                </c:pt>
                <c:pt idx="442">
                  <c:v>41757</c:v>
                </c:pt>
                <c:pt idx="443">
                  <c:v>41758</c:v>
                </c:pt>
                <c:pt idx="444">
                  <c:v>41759</c:v>
                </c:pt>
                <c:pt idx="445">
                  <c:v>41760</c:v>
                </c:pt>
                <c:pt idx="446">
                  <c:v>41761</c:v>
                </c:pt>
                <c:pt idx="447">
                  <c:v>41764</c:v>
                </c:pt>
                <c:pt idx="448">
                  <c:v>41765</c:v>
                </c:pt>
                <c:pt idx="449">
                  <c:v>41766</c:v>
                </c:pt>
                <c:pt idx="450">
                  <c:v>41767</c:v>
                </c:pt>
                <c:pt idx="451">
                  <c:v>41768</c:v>
                </c:pt>
                <c:pt idx="452">
                  <c:v>41771</c:v>
                </c:pt>
                <c:pt idx="453">
                  <c:v>41772</c:v>
                </c:pt>
                <c:pt idx="454">
                  <c:v>41773</c:v>
                </c:pt>
                <c:pt idx="455">
                  <c:v>41774</c:v>
                </c:pt>
                <c:pt idx="456">
                  <c:v>41775</c:v>
                </c:pt>
                <c:pt idx="457">
                  <c:v>41779</c:v>
                </c:pt>
                <c:pt idx="458">
                  <c:v>41780</c:v>
                </c:pt>
                <c:pt idx="459">
                  <c:v>41781</c:v>
                </c:pt>
                <c:pt idx="460">
                  <c:v>41782</c:v>
                </c:pt>
                <c:pt idx="461">
                  <c:v>41785</c:v>
                </c:pt>
                <c:pt idx="462">
                  <c:v>41786</c:v>
                </c:pt>
                <c:pt idx="463">
                  <c:v>41787</c:v>
                </c:pt>
                <c:pt idx="464">
                  <c:v>41788</c:v>
                </c:pt>
                <c:pt idx="465">
                  <c:v>41789</c:v>
                </c:pt>
                <c:pt idx="466">
                  <c:v>41792</c:v>
                </c:pt>
                <c:pt idx="467">
                  <c:v>41793</c:v>
                </c:pt>
                <c:pt idx="468">
                  <c:v>41794</c:v>
                </c:pt>
                <c:pt idx="469">
                  <c:v>41795</c:v>
                </c:pt>
                <c:pt idx="470">
                  <c:v>41796</c:v>
                </c:pt>
                <c:pt idx="471">
                  <c:v>41799</c:v>
                </c:pt>
                <c:pt idx="472">
                  <c:v>41800</c:v>
                </c:pt>
                <c:pt idx="473">
                  <c:v>41801</c:v>
                </c:pt>
                <c:pt idx="474">
                  <c:v>41802</c:v>
                </c:pt>
                <c:pt idx="475">
                  <c:v>41803</c:v>
                </c:pt>
                <c:pt idx="476">
                  <c:v>41806</c:v>
                </c:pt>
                <c:pt idx="477">
                  <c:v>41807</c:v>
                </c:pt>
                <c:pt idx="478">
                  <c:v>41808</c:v>
                </c:pt>
                <c:pt idx="479">
                  <c:v>41809</c:v>
                </c:pt>
                <c:pt idx="480">
                  <c:v>41810</c:v>
                </c:pt>
                <c:pt idx="481">
                  <c:v>41813</c:v>
                </c:pt>
                <c:pt idx="482">
                  <c:v>41814</c:v>
                </c:pt>
                <c:pt idx="483">
                  <c:v>41815</c:v>
                </c:pt>
                <c:pt idx="484">
                  <c:v>41816</c:v>
                </c:pt>
                <c:pt idx="485">
                  <c:v>41817</c:v>
                </c:pt>
                <c:pt idx="486">
                  <c:v>41820</c:v>
                </c:pt>
                <c:pt idx="487">
                  <c:v>41822</c:v>
                </c:pt>
                <c:pt idx="488">
                  <c:v>41823</c:v>
                </c:pt>
                <c:pt idx="489">
                  <c:v>41824</c:v>
                </c:pt>
                <c:pt idx="490">
                  <c:v>41827</c:v>
                </c:pt>
                <c:pt idx="491">
                  <c:v>41828</c:v>
                </c:pt>
                <c:pt idx="492">
                  <c:v>41829</c:v>
                </c:pt>
                <c:pt idx="493">
                  <c:v>41830</c:v>
                </c:pt>
                <c:pt idx="494">
                  <c:v>41831</c:v>
                </c:pt>
                <c:pt idx="495">
                  <c:v>41834</c:v>
                </c:pt>
                <c:pt idx="496">
                  <c:v>41835</c:v>
                </c:pt>
                <c:pt idx="497">
                  <c:v>41836</c:v>
                </c:pt>
                <c:pt idx="498">
                  <c:v>41837</c:v>
                </c:pt>
                <c:pt idx="499">
                  <c:v>41838</c:v>
                </c:pt>
                <c:pt idx="500">
                  <c:v>41841</c:v>
                </c:pt>
                <c:pt idx="501">
                  <c:v>41842</c:v>
                </c:pt>
                <c:pt idx="502">
                  <c:v>41843</c:v>
                </c:pt>
                <c:pt idx="503">
                  <c:v>41844</c:v>
                </c:pt>
                <c:pt idx="504">
                  <c:v>41845</c:v>
                </c:pt>
                <c:pt idx="505">
                  <c:v>41848</c:v>
                </c:pt>
                <c:pt idx="506">
                  <c:v>41849</c:v>
                </c:pt>
                <c:pt idx="507">
                  <c:v>41850</c:v>
                </c:pt>
                <c:pt idx="508">
                  <c:v>41851</c:v>
                </c:pt>
                <c:pt idx="509">
                  <c:v>41852</c:v>
                </c:pt>
                <c:pt idx="510">
                  <c:v>41856</c:v>
                </c:pt>
                <c:pt idx="511">
                  <c:v>41857</c:v>
                </c:pt>
                <c:pt idx="512">
                  <c:v>41858</c:v>
                </c:pt>
                <c:pt idx="513">
                  <c:v>41859</c:v>
                </c:pt>
                <c:pt idx="514">
                  <c:v>41862</c:v>
                </c:pt>
                <c:pt idx="515">
                  <c:v>41863</c:v>
                </c:pt>
                <c:pt idx="516">
                  <c:v>41864</c:v>
                </c:pt>
                <c:pt idx="517">
                  <c:v>41865</c:v>
                </c:pt>
                <c:pt idx="518">
                  <c:v>41866</c:v>
                </c:pt>
                <c:pt idx="519">
                  <c:v>41869</c:v>
                </c:pt>
                <c:pt idx="520">
                  <c:v>41870</c:v>
                </c:pt>
                <c:pt idx="521">
                  <c:v>41871</c:v>
                </c:pt>
                <c:pt idx="522">
                  <c:v>41872</c:v>
                </c:pt>
                <c:pt idx="523">
                  <c:v>41873</c:v>
                </c:pt>
                <c:pt idx="524">
                  <c:v>41876</c:v>
                </c:pt>
                <c:pt idx="525">
                  <c:v>41877</c:v>
                </c:pt>
                <c:pt idx="526">
                  <c:v>41878</c:v>
                </c:pt>
                <c:pt idx="527">
                  <c:v>41879</c:v>
                </c:pt>
                <c:pt idx="528">
                  <c:v>41880</c:v>
                </c:pt>
                <c:pt idx="529">
                  <c:v>41884</c:v>
                </c:pt>
                <c:pt idx="530">
                  <c:v>41885</c:v>
                </c:pt>
                <c:pt idx="531">
                  <c:v>41886</c:v>
                </c:pt>
                <c:pt idx="532">
                  <c:v>41887</c:v>
                </c:pt>
                <c:pt idx="533">
                  <c:v>41890</c:v>
                </c:pt>
                <c:pt idx="534">
                  <c:v>41891</c:v>
                </c:pt>
                <c:pt idx="535">
                  <c:v>41892</c:v>
                </c:pt>
                <c:pt idx="536">
                  <c:v>41893</c:v>
                </c:pt>
                <c:pt idx="537">
                  <c:v>41894</c:v>
                </c:pt>
                <c:pt idx="538">
                  <c:v>41897</c:v>
                </c:pt>
                <c:pt idx="539">
                  <c:v>41898</c:v>
                </c:pt>
                <c:pt idx="540">
                  <c:v>41899</c:v>
                </c:pt>
                <c:pt idx="541">
                  <c:v>41900</c:v>
                </c:pt>
                <c:pt idx="542">
                  <c:v>41901</c:v>
                </c:pt>
                <c:pt idx="543">
                  <c:v>41904</c:v>
                </c:pt>
                <c:pt idx="544">
                  <c:v>41905</c:v>
                </c:pt>
                <c:pt idx="545">
                  <c:v>41906</c:v>
                </c:pt>
                <c:pt idx="546">
                  <c:v>41907</c:v>
                </c:pt>
                <c:pt idx="547">
                  <c:v>41908</c:v>
                </c:pt>
                <c:pt idx="548">
                  <c:v>41911</c:v>
                </c:pt>
                <c:pt idx="549">
                  <c:v>41912</c:v>
                </c:pt>
                <c:pt idx="550">
                  <c:v>41913</c:v>
                </c:pt>
                <c:pt idx="551">
                  <c:v>41914</c:v>
                </c:pt>
                <c:pt idx="552">
                  <c:v>41915</c:v>
                </c:pt>
                <c:pt idx="553">
                  <c:v>41918</c:v>
                </c:pt>
                <c:pt idx="554">
                  <c:v>41919</c:v>
                </c:pt>
                <c:pt idx="555">
                  <c:v>41920</c:v>
                </c:pt>
                <c:pt idx="556">
                  <c:v>41921</c:v>
                </c:pt>
                <c:pt idx="557">
                  <c:v>41922</c:v>
                </c:pt>
                <c:pt idx="558">
                  <c:v>41926</c:v>
                </c:pt>
                <c:pt idx="559">
                  <c:v>41927</c:v>
                </c:pt>
                <c:pt idx="560">
                  <c:v>41928</c:v>
                </c:pt>
                <c:pt idx="561">
                  <c:v>41929</c:v>
                </c:pt>
                <c:pt idx="562">
                  <c:v>41932</c:v>
                </c:pt>
                <c:pt idx="563">
                  <c:v>41933</c:v>
                </c:pt>
                <c:pt idx="564">
                  <c:v>41934</c:v>
                </c:pt>
                <c:pt idx="565">
                  <c:v>41935</c:v>
                </c:pt>
                <c:pt idx="566">
                  <c:v>41936</c:v>
                </c:pt>
                <c:pt idx="567">
                  <c:v>41939</c:v>
                </c:pt>
                <c:pt idx="568">
                  <c:v>41940</c:v>
                </c:pt>
                <c:pt idx="569">
                  <c:v>41941</c:v>
                </c:pt>
                <c:pt idx="570">
                  <c:v>41942</c:v>
                </c:pt>
                <c:pt idx="571">
                  <c:v>41943</c:v>
                </c:pt>
                <c:pt idx="572">
                  <c:v>41946</c:v>
                </c:pt>
                <c:pt idx="573">
                  <c:v>41947</c:v>
                </c:pt>
                <c:pt idx="574">
                  <c:v>41948</c:v>
                </c:pt>
                <c:pt idx="575">
                  <c:v>41949</c:v>
                </c:pt>
                <c:pt idx="576">
                  <c:v>41950</c:v>
                </c:pt>
                <c:pt idx="577">
                  <c:v>41953</c:v>
                </c:pt>
                <c:pt idx="578">
                  <c:v>41954</c:v>
                </c:pt>
                <c:pt idx="579">
                  <c:v>41955</c:v>
                </c:pt>
                <c:pt idx="580">
                  <c:v>41956</c:v>
                </c:pt>
                <c:pt idx="581">
                  <c:v>41957</c:v>
                </c:pt>
                <c:pt idx="582">
                  <c:v>41960</c:v>
                </c:pt>
                <c:pt idx="583">
                  <c:v>41961</c:v>
                </c:pt>
                <c:pt idx="584">
                  <c:v>41962</c:v>
                </c:pt>
                <c:pt idx="585">
                  <c:v>41963</c:v>
                </c:pt>
                <c:pt idx="586">
                  <c:v>41964</c:v>
                </c:pt>
                <c:pt idx="587">
                  <c:v>41967</c:v>
                </c:pt>
                <c:pt idx="588">
                  <c:v>41968</c:v>
                </c:pt>
                <c:pt idx="589">
                  <c:v>41969</c:v>
                </c:pt>
                <c:pt idx="590">
                  <c:v>41970</c:v>
                </c:pt>
                <c:pt idx="591">
                  <c:v>41971</c:v>
                </c:pt>
                <c:pt idx="592">
                  <c:v>41974</c:v>
                </c:pt>
                <c:pt idx="593">
                  <c:v>41975</c:v>
                </c:pt>
                <c:pt idx="594">
                  <c:v>41976</c:v>
                </c:pt>
                <c:pt idx="595">
                  <c:v>41977</c:v>
                </c:pt>
                <c:pt idx="596">
                  <c:v>41978</c:v>
                </c:pt>
                <c:pt idx="597">
                  <c:v>41981</c:v>
                </c:pt>
                <c:pt idx="598">
                  <c:v>41982</c:v>
                </c:pt>
                <c:pt idx="599">
                  <c:v>41983</c:v>
                </c:pt>
                <c:pt idx="600">
                  <c:v>41984</c:v>
                </c:pt>
                <c:pt idx="601">
                  <c:v>41985</c:v>
                </c:pt>
                <c:pt idx="602">
                  <c:v>41988</c:v>
                </c:pt>
                <c:pt idx="603">
                  <c:v>41989</c:v>
                </c:pt>
                <c:pt idx="604">
                  <c:v>41990</c:v>
                </c:pt>
                <c:pt idx="605">
                  <c:v>41991</c:v>
                </c:pt>
                <c:pt idx="606">
                  <c:v>41992</c:v>
                </c:pt>
                <c:pt idx="607">
                  <c:v>41995</c:v>
                </c:pt>
                <c:pt idx="608">
                  <c:v>41996</c:v>
                </c:pt>
                <c:pt idx="609">
                  <c:v>41997</c:v>
                </c:pt>
                <c:pt idx="610">
                  <c:v>42002</c:v>
                </c:pt>
                <c:pt idx="611">
                  <c:v>42003</c:v>
                </c:pt>
                <c:pt idx="612">
                  <c:v>42004</c:v>
                </c:pt>
                <c:pt idx="613">
                  <c:v>42006</c:v>
                </c:pt>
                <c:pt idx="614">
                  <c:v>42009</c:v>
                </c:pt>
                <c:pt idx="615">
                  <c:v>42010</c:v>
                </c:pt>
                <c:pt idx="616">
                  <c:v>42011</c:v>
                </c:pt>
                <c:pt idx="617">
                  <c:v>42012</c:v>
                </c:pt>
                <c:pt idx="618">
                  <c:v>42013</c:v>
                </c:pt>
                <c:pt idx="619">
                  <c:v>42016</c:v>
                </c:pt>
                <c:pt idx="620">
                  <c:v>42017</c:v>
                </c:pt>
                <c:pt idx="621">
                  <c:v>42018</c:v>
                </c:pt>
                <c:pt idx="622">
                  <c:v>42019</c:v>
                </c:pt>
                <c:pt idx="623">
                  <c:v>42020</c:v>
                </c:pt>
                <c:pt idx="624">
                  <c:v>42023</c:v>
                </c:pt>
                <c:pt idx="625">
                  <c:v>42024</c:v>
                </c:pt>
                <c:pt idx="626">
                  <c:v>42025</c:v>
                </c:pt>
                <c:pt idx="627">
                  <c:v>42026</c:v>
                </c:pt>
                <c:pt idx="628">
                  <c:v>42027</c:v>
                </c:pt>
                <c:pt idx="629">
                  <c:v>42030</c:v>
                </c:pt>
                <c:pt idx="630">
                  <c:v>42031</c:v>
                </c:pt>
                <c:pt idx="631">
                  <c:v>42032</c:v>
                </c:pt>
                <c:pt idx="632">
                  <c:v>42033</c:v>
                </c:pt>
                <c:pt idx="633">
                  <c:v>42034</c:v>
                </c:pt>
                <c:pt idx="634">
                  <c:v>42037</c:v>
                </c:pt>
                <c:pt idx="635">
                  <c:v>42038</c:v>
                </c:pt>
                <c:pt idx="636">
                  <c:v>42039</c:v>
                </c:pt>
                <c:pt idx="637">
                  <c:v>42040</c:v>
                </c:pt>
                <c:pt idx="638">
                  <c:v>42041</c:v>
                </c:pt>
                <c:pt idx="639">
                  <c:v>42044</c:v>
                </c:pt>
                <c:pt idx="640">
                  <c:v>42045</c:v>
                </c:pt>
                <c:pt idx="641">
                  <c:v>42046</c:v>
                </c:pt>
                <c:pt idx="642">
                  <c:v>42047</c:v>
                </c:pt>
                <c:pt idx="643">
                  <c:v>42048</c:v>
                </c:pt>
                <c:pt idx="644">
                  <c:v>42052</c:v>
                </c:pt>
                <c:pt idx="645">
                  <c:v>42053</c:v>
                </c:pt>
                <c:pt idx="646">
                  <c:v>42054</c:v>
                </c:pt>
                <c:pt idx="647">
                  <c:v>42055</c:v>
                </c:pt>
                <c:pt idx="648">
                  <c:v>42058</c:v>
                </c:pt>
                <c:pt idx="649">
                  <c:v>42059</c:v>
                </c:pt>
                <c:pt idx="650">
                  <c:v>42060</c:v>
                </c:pt>
                <c:pt idx="651">
                  <c:v>42061</c:v>
                </c:pt>
                <c:pt idx="652">
                  <c:v>42062</c:v>
                </c:pt>
                <c:pt idx="653">
                  <c:v>42065</c:v>
                </c:pt>
                <c:pt idx="654">
                  <c:v>42066</c:v>
                </c:pt>
                <c:pt idx="655">
                  <c:v>42067</c:v>
                </c:pt>
                <c:pt idx="656">
                  <c:v>42068</c:v>
                </c:pt>
                <c:pt idx="657">
                  <c:v>42069</c:v>
                </c:pt>
                <c:pt idx="658">
                  <c:v>42072</c:v>
                </c:pt>
                <c:pt idx="659">
                  <c:v>42073</c:v>
                </c:pt>
                <c:pt idx="660">
                  <c:v>42074</c:v>
                </c:pt>
                <c:pt idx="661">
                  <c:v>42075</c:v>
                </c:pt>
                <c:pt idx="662">
                  <c:v>42076</c:v>
                </c:pt>
                <c:pt idx="663">
                  <c:v>42079</c:v>
                </c:pt>
                <c:pt idx="664">
                  <c:v>42080</c:v>
                </c:pt>
                <c:pt idx="665">
                  <c:v>42081</c:v>
                </c:pt>
                <c:pt idx="666">
                  <c:v>42082</c:v>
                </c:pt>
                <c:pt idx="667">
                  <c:v>42083</c:v>
                </c:pt>
                <c:pt idx="668">
                  <c:v>42086</c:v>
                </c:pt>
                <c:pt idx="669">
                  <c:v>42087</c:v>
                </c:pt>
                <c:pt idx="670">
                  <c:v>42088</c:v>
                </c:pt>
                <c:pt idx="671">
                  <c:v>42089</c:v>
                </c:pt>
                <c:pt idx="672">
                  <c:v>42090</c:v>
                </c:pt>
                <c:pt idx="673">
                  <c:v>42093</c:v>
                </c:pt>
                <c:pt idx="674">
                  <c:v>42094</c:v>
                </c:pt>
                <c:pt idx="675">
                  <c:v>42095</c:v>
                </c:pt>
                <c:pt idx="676">
                  <c:v>42096</c:v>
                </c:pt>
                <c:pt idx="677">
                  <c:v>42100</c:v>
                </c:pt>
                <c:pt idx="678">
                  <c:v>42101</c:v>
                </c:pt>
                <c:pt idx="679">
                  <c:v>42102</c:v>
                </c:pt>
                <c:pt idx="680">
                  <c:v>42103</c:v>
                </c:pt>
                <c:pt idx="681">
                  <c:v>42104</c:v>
                </c:pt>
                <c:pt idx="682">
                  <c:v>42107</c:v>
                </c:pt>
                <c:pt idx="683">
                  <c:v>42108</c:v>
                </c:pt>
                <c:pt idx="684">
                  <c:v>42109</c:v>
                </c:pt>
                <c:pt idx="685">
                  <c:v>42110</c:v>
                </c:pt>
                <c:pt idx="686">
                  <c:v>42111</c:v>
                </c:pt>
                <c:pt idx="687">
                  <c:v>42114</c:v>
                </c:pt>
                <c:pt idx="688">
                  <c:v>42115</c:v>
                </c:pt>
                <c:pt idx="689">
                  <c:v>42116</c:v>
                </c:pt>
                <c:pt idx="690">
                  <c:v>42117</c:v>
                </c:pt>
                <c:pt idx="691">
                  <c:v>42118</c:v>
                </c:pt>
                <c:pt idx="692">
                  <c:v>42121</c:v>
                </c:pt>
                <c:pt idx="693">
                  <c:v>42122</c:v>
                </c:pt>
                <c:pt idx="694">
                  <c:v>42123</c:v>
                </c:pt>
                <c:pt idx="695">
                  <c:v>42124</c:v>
                </c:pt>
                <c:pt idx="696">
                  <c:v>42125</c:v>
                </c:pt>
                <c:pt idx="697">
                  <c:v>42128</c:v>
                </c:pt>
                <c:pt idx="698">
                  <c:v>42129</c:v>
                </c:pt>
                <c:pt idx="699">
                  <c:v>42130</c:v>
                </c:pt>
                <c:pt idx="700">
                  <c:v>42131</c:v>
                </c:pt>
                <c:pt idx="701">
                  <c:v>42132</c:v>
                </c:pt>
                <c:pt idx="702">
                  <c:v>42135</c:v>
                </c:pt>
                <c:pt idx="703">
                  <c:v>42136</c:v>
                </c:pt>
                <c:pt idx="704">
                  <c:v>42137</c:v>
                </c:pt>
                <c:pt idx="705">
                  <c:v>42138</c:v>
                </c:pt>
                <c:pt idx="706">
                  <c:v>42139</c:v>
                </c:pt>
                <c:pt idx="707">
                  <c:v>42143</c:v>
                </c:pt>
                <c:pt idx="708">
                  <c:v>42144</c:v>
                </c:pt>
                <c:pt idx="709">
                  <c:v>42145</c:v>
                </c:pt>
                <c:pt idx="710">
                  <c:v>42146</c:v>
                </c:pt>
                <c:pt idx="711">
                  <c:v>42149</c:v>
                </c:pt>
                <c:pt idx="712">
                  <c:v>42150</c:v>
                </c:pt>
                <c:pt idx="713">
                  <c:v>42151</c:v>
                </c:pt>
                <c:pt idx="714">
                  <c:v>42152</c:v>
                </c:pt>
                <c:pt idx="715">
                  <c:v>42153</c:v>
                </c:pt>
                <c:pt idx="716">
                  <c:v>42156</c:v>
                </c:pt>
                <c:pt idx="717">
                  <c:v>42157</c:v>
                </c:pt>
                <c:pt idx="718">
                  <c:v>42158</c:v>
                </c:pt>
                <c:pt idx="719">
                  <c:v>42159</c:v>
                </c:pt>
                <c:pt idx="720">
                  <c:v>42160</c:v>
                </c:pt>
                <c:pt idx="721">
                  <c:v>42163</c:v>
                </c:pt>
                <c:pt idx="722">
                  <c:v>42164</c:v>
                </c:pt>
                <c:pt idx="723">
                  <c:v>42165</c:v>
                </c:pt>
                <c:pt idx="724">
                  <c:v>42166</c:v>
                </c:pt>
                <c:pt idx="725">
                  <c:v>42167</c:v>
                </c:pt>
                <c:pt idx="726">
                  <c:v>42170</c:v>
                </c:pt>
                <c:pt idx="727">
                  <c:v>42171</c:v>
                </c:pt>
                <c:pt idx="728">
                  <c:v>42172</c:v>
                </c:pt>
                <c:pt idx="729">
                  <c:v>42173</c:v>
                </c:pt>
                <c:pt idx="730">
                  <c:v>42174</c:v>
                </c:pt>
                <c:pt idx="731">
                  <c:v>42177</c:v>
                </c:pt>
                <c:pt idx="732">
                  <c:v>42178</c:v>
                </c:pt>
                <c:pt idx="733">
                  <c:v>42179</c:v>
                </c:pt>
                <c:pt idx="734">
                  <c:v>42180</c:v>
                </c:pt>
                <c:pt idx="735">
                  <c:v>42181</c:v>
                </c:pt>
                <c:pt idx="736">
                  <c:v>42184</c:v>
                </c:pt>
                <c:pt idx="737">
                  <c:v>42185</c:v>
                </c:pt>
                <c:pt idx="738">
                  <c:v>42187</c:v>
                </c:pt>
                <c:pt idx="739">
                  <c:v>42188</c:v>
                </c:pt>
                <c:pt idx="740">
                  <c:v>42191</c:v>
                </c:pt>
                <c:pt idx="741">
                  <c:v>42192</c:v>
                </c:pt>
                <c:pt idx="742">
                  <c:v>42193</c:v>
                </c:pt>
                <c:pt idx="743">
                  <c:v>42194</c:v>
                </c:pt>
                <c:pt idx="744">
                  <c:v>42195</c:v>
                </c:pt>
                <c:pt idx="745">
                  <c:v>42198</c:v>
                </c:pt>
                <c:pt idx="746">
                  <c:v>42199</c:v>
                </c:pt>
                <c:pt idx="747">
                  <c:v>42200</c:v>
                </c:pt>
                <c:pt idx="748">
                  <c:v>42201</c:v>
                </c:pt>
                <c:pt idx="749">
                  <c:v>42202</c:v>
                </c:pt>
                <c:pt idx="750">
                  <c:v>42205</c:v>
                </c:pt>
                <c:pt idx="751">
                  <c:v>42206</c:v>
                </c:pt>
                <c:pt idx="752">
                  <c:v>42207</c:v>
                </c:pt>
                <c:pt idx="753">
                  <c:v>42208</c:v>
                </c:pt>
                <c:pt idx="754">
                  <c:v>42209</c:v>
                </c:pt>
                <c:pt idx="755">
                  <c:v>42212</c:v>
                </c:pt>
                <c:pt idx="756">
                  <c:v>42213</c:v>
                </c:pt>
                <c:pt idx="757">
                  <c:v>42214</c:v>
                </c:pt>
                <c:pt idx="758">
                  <c:v>42215</c:v>
                </c:pt>
                <c:pt idx="759">
                  <c:v>42216</c:v>
                </c:pt>
                <c:pt idx="760">
                  <c:v>42220</c:v>
                </c:pt>
                <c:pt idx="761">
                  <c:v>42221</c:v>
                </c:pt>
                <c:pt idx="762">
                  <c:v>42222</c:v>
                </c:pt>
                <c:pt idx="763">
                  <c:v>42223</c:v>
                </c:pt>
                <c:pt idx="764">
                  <c:v>42226</c:v>
                </c:pt>
                <c:pt idx="765">
                  <c:v>42227</c:v>
                </c:pt>
                <c:pt idx="766">
                  <c:v>42228</c:v>
                </c:pt>
                <c:pt idx="767">
                  <c:v>42229</c:v>
                </c:pt>
                <c:pt idx="768">
                  <c:v>42230</c:v>
                </c:pt>
                <c:pt idx="769">
                  <c:v>42233</c:v>
                </c:pt>
                <c:pt idx="770">
                  <c:v>42234</c:v>
                </c:pt>
                <c:pt idx="771">
                  <c:v>42235</c:v>
                </c:pt>
                <c:pt idx="772">
                  <c:v>42236</c:v>
                </c:pt>
                <c:pt idx="773">
                  <c:v>42237</c:v>
                </c:pt>
                <c:pt idx="774">
                  <c:v>42240</c:v>
                </c:pt>
                <c:pt idx="775">
                  <c:v>42241</c:v>
                </c:pt>
                <c:pt idx="776">
                  <c:v>42242</c:v>
                </c:pt>
                <c:pt idx="777">
                  <c:v>42243</c:v>
                </c:pt>
                <c:pt idx="778">
                  <c:v>42244</c:v>
                </c:pt>
                <c:pt idx="779">
                  <c:v>42247</c:v>
                </c:pt>
                <c:pt idx="780">
                  <c:v>42248</c:v>
                </c:pt>
                <c:pt idx="781">
                  <c:v>42249</c:v>
                </c:pt>
                <c:pt idx="782">
                  <c:v>42250</c:v>
                </c:pt>
                <c:pt idx="783">
                  <c:v>42251</c:v>
                </c:pt>
                <c:pt idx="784">
                  <c:v>42255</c:v>
                </c:pt>
                <c:pt idx="785">
                  <c:v>42256</c:v>
                </c:pt>
                <c:pt idx="786">
                  <c:v>42257</c:v>
                </c:pt>
                <c:pt idx="787">
                  <c:v>42258</c:v>
                </c:pt>
                <c:pt idx="788">
                  <c:v>42261</c:v>
                </c:pt>
                <c:pt idx="789">
                  <c:v>42262</c:v>
                </c:pt>
                <c:pt idx="790">
                  <c:v>42263</c:v>
                </c:pt>
                <c:pt idx="791">
                  <c:v>42264</c:v>
                </c:pt>
                <c:pt idx="792">
                  <c:v>42265</c:v>
                </c:pt>
                <c:pt idx="793">
                  <c:v>42268</c:v>
                </c:pt>
                <c:pt idx="794">
                  <c:v>42269</c:v>
                </c:pt>
                <c:pt idx="795">
                  <c:v>42270</c:v>
                </c:pt>
                <c:pt idx="796">
                  <c:v>42271</c:v>
                </c:pt>
                <c:pt idx="797">
                  <c:v>42272</c:v>
                </c:pt>
                <c:pt idx="798">
                  <c:v>42275</c:v>
                </c:pt>
                <c:pt idx="799">
                  <c:v>42276</c:v>
                </c:pt>
                <c:pt idx="800">
                  <c:v>42277</c:v>
                </c:pt>
                <c:pt idx="801">
                  <c:v>42278</c:v>
                </c:pt>
                <c:pt idx="802">
                  <c:v>42279</c:v>
                </c:pt>
                <c:pt idx="803">
                  <c:v>42282</c:v>
                </c:pt>
                <c:pt idx="804">
                  <c:v>42283</c:v>
                </c:pt>
                <c:pt idx="805">
                  <c:v>42284</c:v>
                </c:pt>
                <c:pt idx="806">
                  <c:v>42285</c:v>
                </c:pt>
                <c:pt idx="807">
                  <c:v>42286</c:v>
                </c:pt>
                <c:pt idx="808">
                  <c:v>42290</c:v>
                </c:pt>
                <c:pt idx="809">
                  <c:v>42291</c:v>
                </c:pt>
                <c:pt idx="810">
                  <c:v>42292</c:v>
                </c:pt>
                <c:pt idx="811">
                  <c:v>42293</c:v>
                </c:pt>
                <c:pt idx="812">
                  <c:v>42296</c:v>
                </c:pt>
                <c:pt idx="813">
                  <c:v>42297</c:v>
                </c:pt>
                <c:pt idx="814">
                  <c:v>42298</c:v>
                </c:pt>
                <c:pt idx="815">
                  <c:v>42299</c:v>
                </c:pt>
                <c:pt idx="816">
                  <c:v>42300</c:v>
                </c:pt>
                <c:pt idx="817">
                  <c:v>42303</c:v>
                </c:pt>
                <c:pt idx="818">
                  <c:v>42304</c:v>
                </c:pt>
                <c:pt idx="819">
                  <c:v>42305</c:v>
                </c:pt>
                <c:pt idx="820">
                  <c:v>42306</c:v>
                </c:pt>
                <c:pt idx="821">
                  <c:v>42307</c:v>
                </c:pt>
                <c:pt idx="822">
                  <c:v>42310</c:v>
                </c:pt>
                <c:pt idx="823">
                  <c:v>42311</c:v>
                </c:pt>
                <c:pt idx="824">
                  <c:v>42312</c:v>
                </c:pt>
                <c:pt idx="825">
                  <c:v>42313</c:v>
                </c:pt>
                <c:pt idx="826">
                  <c:v>42314</c:v>
                </c:pt>
                <c:pt idx="827">
                  <c:v>42317</c:v>
                </c:pt>
                <c:pt idx="828">
                  <c:v>42318</c:v>
                </c:pt>
                <c:pt idx="829">
                  <c:v>42319</c:v>
                </c:pt>
                <c:pt idx="830">
                  <c:v>42320</c:v>
                </c:pt>
                <c:pt idx="831">
                  <c:v>42321</c:v>
                </c:pt>
                <c:pt idx="832">
                  <c:v>42324</c:v>
                </c:pt>
                <c:pt idx="833">
                  <c:v>42325</c:v>
                </c:pt>
                <c:pt idx="834">
                  <c:v>42326</c:v>
                </c:pt>
                <c:pt idx="835">
                  <c:v>42327</c:v>
                </c:pt>
                <c:pt idx="836">
                  <c:v>42328</c:v>
                </c:pt>
                <c:pt idx="837">
                  <c:v>42331</c:v>
                </c:pt>
                <c:pt idx="838">
                  <c:v>42332</c:v>
                </c:pt>
                <c:pt idx="839">
                  <c:v>42333</c:v>
                </c:pt>
                <c:pt idx="840">
                  <c:v>42334</c:v>
                </c:pt>
                <c:pt idx="841">
                  <c:v>42335</c:v>
                </c:pt>
                <c:pt idx="842">
                  <c:v>42338</c:v>
                </c:pt>
                <c:pt idx="843">
                  <c:v>42339</c:v>
                </c:pt>
                <c:pt idx="844">
                  <c:v>42340</c:v>
                </c:pt>
                <c:pt idx="845">
                  <c:v>42341</c:v>
                </c:pt>
                <c:pt idx="846">
                  <c:v>42342</c:v>
                </c:pt>
                <c:pt idx="847">
                  <c:v>42345</c:v>
                </c:pt>
                <c:pt idx="848">
                  <c:v>42346</c:v>
                </c:pt>
                <c:pt idx="849">
                  <c:v>42347</c:v>
                </c:pt>
                <c:pt idx="850">
                  <c:v>42348</c:v>
                </c:pt>
                <c:pt idx="851">
                  <c:v>42349</c:v>
                </c:pt>
                <c:pt idx="852">
                  <c:v>42352</c:v>
                </c:pt>
                <c:pt idx="853">
                  <c:v>42353</c:v>
                </c:pt>
                <c:pt idx="854">
                  <c:v>42354</c:v>
                </c:pt>
                <c:pt idx="855">
                  <c:v>42355</c:v>
                </c:pt>
                <c:pt idx="856">
                  <c:v>42356</c:v>
                </c:pt>
                <c:pt idx="857">
                  <c:v>42359</c:v>
                </c:pt>
                <c:pt idx="858">
                  <c:v>42360</c:v>
                </c:pt>
                <c:pt idx="859">
                  <c:v>42361</c:v>
                </c:pt>
                <c:pt idx="860">
                  <c:v>42362</c:v>
                </c:pt>
                <c:pt idx="861">
                  <c:v>42367</c:v>
                </c:pt>
                <c:pt idx="862">
                  <c:v>42368</c:v>
                </c:pt>
                <c:pt idx="863">
                  <c:v>42369</c:v>
                </c:pt>
                <c:pt idx="864">
                  <c:v>42373</c:v>
                </c:pt>
                <c:pt idx="865">
                  <c:v>42374</c:v>
                </c:pt>
                <c:pt idx="866">
                  <c:v>42375</c:v>
                </c:pt>
                <c:pt idx="867">
                  <c:v>42376</c:v>
                </c:pt>
                <c:pt idx="868">
                  <c:v>42377</c:v>
                </c:pt>
                <c:pt idx="869">
                  <c:v>42380</c:v>
                </c:pt>
                <c:pt idx="870">
                  <c:v>42381</c:v>
                </c:pt>
                <c:pt idx="871">
                  <c:v>42382</c:v>
                </c:pt>
                <c:pt idx="872">
                  <c:v>42383</c:v>
                </c:pt>
                <c:pt idx="873">
                  <c:v>42384</c:v>
                </c:pt>
                <c:pt idx="874">
                  <c:v>42387</c:v>
                </c:pt>
                <c:pt idx="875">
                  <c:v>42388</c:v>
                </c:pt>
                <c:pt idx="876">
                  <c:v>42389</c:v>
                </c:pt>
                <c:pt idx="877">
                  <c:v>42390</c:v>
                </c:pt>
                <c:pt idx="878">
                  <c:v>42391</c:v>
                </c:pt>
                <c:pt idx="879">
                  <c:v>42394</c:v>
                </c:pt>
                <c:pt idx="880">
                  <c:v>42395</c:v>
                </c:pt>
                <c:pt idx="881">
                  <c:v>42396</c:v>
                </c:pt>
                <c:pt idx="882">
                  <c:v>42397</c:v>
                </c:pt>
                <c:pt idx="883">
                  <c:v>42398</c:v>
                </c:pt>
                <c:pt idx="884">
                  <c:v>42401</c:v>
                </c:pt>
                <c:pt idx="885">
                  <c:v>42402</c:v>
                </c:pt>
                <c:pt idx="886">
                  <c:v>42403</c:v>
                </c:pt>
                <c:pt idx="887">
                  <c:v>42404</c:v>
                </c:pt>
                <c:pt idx="888">
                  <c:v>42405</c:v>
                </c:pt>
                <c:pt idx="889">
                  <c:v>42408</c:v>
                </c:pt>
                <c:pt idx="890">
                  <c:v>42409</c:v>
                </c:pt>
                <c:pt idx="891">
                  <c:v>42410</c:v>
                </c:pt>
                <c:pt idx="892">
                  <c:v>42411</c:v>
                </c:pt>
                <c:pt idx="893">
                  <c:v>42412</c:v>
                </c:pt>
                <c:pt idx="894">
                  <c:v>42416</c:v>
                </c:pt>
                <c:pt idx="895">
                  <c:v>42417</c:v>
                </c:pt>
                <c:pt idx="896">
                  <c:v>42418</c:v>
                </c:pt>
                <c:pt idx="897">
                  <c:v>42419</c:v>
                </c:pt>
                <c:pt idx="898">
                  <c:v>42422</c:v>
                </c:pt>
                <c:pt idx="899">
                  <c:v>42423</c:v>
                </c:pt>
                <c:pt idx="900">
                  <c:v>42424</c:v>
                </c:pt>
                <c:pt idx="901">
                  <c:v>42425</c:v>
                </c:pt>
                <c:pt idx="902">
                  <c:v>42426</c:v>
                </c:pt>
                <c:pt idx="903">
                  <c:v>42429</c:v>
                </c:pt>
                <c:pt idx="904">
                  <c:v>42430</c:v>
                </c:pt>
                <c:pt idx="905">
                  <c:v>42431</c:v>
                </c:pt>
                <c:pt idx="906">
                  <c:v>42432</c:v>
                </c:pt>
                <c:pt idx="907">
                  <c:v>42433</c:v>
                </c:pt>
                <c:pt idx="908">
                  <c:v>42436</c:v>
                </c:pt>
                <c:pt idx="909">
                  <c:v>42437</c:v>
                </c:pt>
                <c:pt idx="910">
                  <c:v>42438</c:v>
                </c:pt>
                <c:pt idx="911">
                  <c:v>42439</c:v>
                </c:pt>
                <c:pt idx="912">
                  <c:v>42440</c:v>
                </c:pt>
                <c:pt idx="913">
                  <c:v>42443</c:v>
                </c:pt>
                <c:pt idx="914">
                  <c:v>42444</c:v>
                </c:pt>
                <c:pt idx="915">
                  <c:v>42445</c:v>
                </c:pt>
                <c:pt idx="916">
                  <c:v>42446</c:v>
                </c:pt>
                <c:pt idx="917">
                  <c:v>42447</c:v>
                </c:pt>
                <c:pt idx="918">
                  <c:v>42450</c:v>
                </c:pt>
                <c:pt idx="919">
                  <c:v>42451</c:v>
                </c:pt>
                <c:pt idx="920">
                  <c:v>42452</c:v>
                </c:pt>
                <c:pt idx="921">
                  <c:v>42453</c:v>
                </c:pt>
                <c:pt idx="922">
                  <c:v>42457</c:v>
                </c:pt>
                <c:pt idx="923">
                  <c:v>42458</c:v>
                </c:pt>
                <c:pt idx="924">
                  <c:v>42459</c:v>
                </c:pt>
                <c:pt idx="925">
                  <c:v>42460</c:v>
                </c:pt>
                <c:pt idx="926">
                  <c:v>42461</c:v>
                </c:pt>
                <c:pt idx="927">
                  <c:v>42464</c:v>
                </c:pt>
                <c:pt idx="928">
                  <c:v>42465</c:v>
                </c:pt>
                <c:pt idx="929">
                  <c:v>42466</c:v>
                </c:pt>
                <c:pt idx="930">
                  <c:v>42467</c:v>
                </c:pt>
                <c:pt idx="931">
                  <c:v>42468</c:v>
                </c:pt>
                <c:pt idx="932">
                  <c:v>42471</c:v>
                </c:pt>
                <c:pt idx="933">
                  <c:v>42472</c:v>
                </c:pt>
                <c:pt idx="934">
                  <c:v>42473</c:v>
                </c:pt>
                <c:pt idx="935">
                  <c:v>42474</c:v>
                </c:pt>
                <c:pt idx="936">
                  <c:v>42475</c:v>
                </c:pt>
                <c:pt idx="937">
                  <c:v>42478</c:v>
                </c:pt>
                <c:pt idx="938">
                  <c:v>42479</c:v>
                </c:pt>
                <c:pt idx="939">
                  <c:v>42480</c:v>
                </c:pt>
                <c:pt idx="940">
                  <c:v>42481</c:v>
                </c:pt>
                <c:pt idx="941">
                  <c:v>42482</c:v>
                </c:pt>
                <c:pt idx="942">
                  <c:v>42485</c:v>
                </c:pt>
                <c:pt idx="943">
                  <c:v>42486</c:v>
                </c:pt>
                <c:pt idx="944">
                  <c:v>42487</c:v>
                </c:pt>
                <c:pt idx="945">
                  <c:v>42488</c:v>
                </c:pt>
                <c:pt idx="946">
                  <c:v>42489</c:v>
                </c:pt>
                <c:pt idx="947">
                  <c:v>42492</c:v>
                </c:pt>
                <c:pt idx="948">
                  <c:v>42493</c:v>
                </c:pt>
                <c:pt idx="949">
                  <c:v>42494</c:v>
                </c:pt>
                <c:pt idx="950">
                  <c:v>42495</c:v>
                </c:pt>
                <c:pt idx="951">
                  <c:v>42496</c:v>
                </c:pt>
                <c:pt idx="952">
                  <c:v>42499</c:v>
                </c:pt>
                <c:pt idx="953">
                  <c:v>42500</c:v>
                </c:pt>
                <c:pt idx="954">
                  <c:v>42501</c:v>
                </c:pt>
                <c:pt idx="955">
                  <c:v>42502</c:v>
                </c:pt>
                <c:pt idx="956">
                  <c:v>42503</c:v>
                </c:pt>
                <c:pt idx="957">
                  <c:v>42506</c:v>
                </c:pt>
                <c:pt idx="958">
                  <c:v>42507</c:v>
                </c:pt>
                <c:pt idx="959">
                  <c:v>42508</c:v>
                </c:pt>
                <c:pt idx="960">
                  <c:v>42509</c:v>
                </c:pt>
                <c:pt idx="961">
                  <c:v>42510</c:v>
                </c:pt>
                <c:pt idx="962">
                  <c:v>42514</c:v>
                </c:pt>
                <c:pt idx="963">
                  <c:v>42515</c:v>
                </c:pt>
                <c:pt idx="964">
                  <c:v>42516</c:v>
                </c:pt>
                <c:pt idx="965">
                  <c:v>42517</c:v>
                </c:pt>
                <c:pt idx="966">
                  <c:v>42520</c:v>
                </c:pt>
                <c:pt idx="967">
                  <c:v>42521</c:v>
                </c:pt>
                <c:pt idx="968">
                  <c:v>42522</c:v>
                </c:pt>
                <c:pt idx="969">
                  <c:v>42523</c:v>
                </c:pt>
                <c:pt idx="970">
                  <c:v>42524</c:v>
                </c:pt>
                <c:pt idx="971">
                  <c:v>42527</c:v>
                </c:pt>
                <c:pt idx="972">
                  <c:v>42528</c:v>
                </c:pt>
                <c:pt idx="973">
                  <c:v>42529</c:v>
                </c:pt>
                <c:pt idx="974">
                  <c:v>42530</c:v>
                </c:pt>
                <c:pt idx="975">
                  <c:v>42531</c:v>
                </c:pt>
                <c:pt idx="976">
                  <c:v>42534</c:v>
                </c:pt>
                <c:pt idx="977">
                  <c:v>42535</c:v>
                </c:pt>
                <c:pt idx="978">
                  <c:v>42536</c:v>
                </c:pt>
                <c:pt idx="979">
                  <c:v>42537</c:v>
                </c:pt>
                <c:pt idx="980">
                  <c:v>42538</c:v>
                </c:pt>
                <c:pt idx="981">
                  <c:v>42541</c:v>
                </c:pt>
                <c:pt idx="982">
                  <c:v>42542</c:v>
                </c:pt>
                <c:pt idx="983">
                  <c:v>42543</c:v>
                </c:pt>
                <c:pt idx="984">
                  <c:v>42544</c:v>
                </c:pt>
                <c:pt idx="985">
                  <c:v>42545</c:v>
                </c:pt>
                <c:pt idx="986">
                  <c:v>42548</c:v>
                </c:pt>
                <c:pt idx="987">
                  <c:v>42549</c:v>
                </c:pt>
                <c:pt idx="988">
                  <c:v>42550</c:v>
                </c:pt>
                <c:pt idx="989">
                  <c:v>42551</c:v>
                </c:pt>
                <c:pt idx="990">
                  <c:v>42555</c:v>
                </c:pt>
                <c:pt idx="991">
                  <c:v>42556</c:v>
                </c:pt>
                <c:pt idx="992">
                  <c:v>42557</c:v>
                </c:pt>
                <c:pt idx="993">
                  <c:v>42558</c:v>
                </c:pt>
                <c:pt idx="994">
                  <c:v>42559</c:v>
                </c:pt>
                <c:pt idx="995">
                  <c:v>42562</c:v>
                </c:pt>
                <c:pt idx="996">
                  <c:v>42563</c:v>
                </c:pt>
                <c:pt idx="997">
                  <c:v>42564</c:v>
                </c:pt>
                <c:pt idx="998">
                  <c:v>42565</c:v>
                </c:pt>
                <c:pt idx="999">
                  <c:v>42566</c:v>
                </c:pt>
                <c:pt idx="1000">
                  <c:v>42569</c:v>
                </c:pt>
                <c:pt idx="1001">
                  <c:v>42570</c:v>
                </c:pt>
                <c:pt idx="1002">
                  <c:v>42571</c:v>
                </c:pt>
                <c:pt idx="1003">
                  <c:v>42572</c:v>
                </c:pt>
                <c:pt idx="1004">
                  <c:v>42573</c:v>
                </c:pt>
                <c:pt idx="1005">
                  <c:v>42576</c:v>
                </c:pt>
                <c:pt idx="1006">
                  <c:v>42577</c:v>
                </c:pt>
                <c:pt idx="1007">
                  <c:v>42578</c:v>
                </c:pt>
                <c:pt idx="1008">
                  <c:v>42579</c:v>
                </c:pt>
                <c:pt idx="1009">
                  <c:v>42580</c:v>
                </c:pt>
                <c:pt idx="1010">
                  <c:v>42584</c:v>
                </c:pt>
                <c:pt idx="1011">
                  <c:v>42585</c:v>
                </c:pt>
                <c:pt idx="1012">
                  <c:v>42586</c:v>
                </c:pt>
                <c:pt idx="1013">
                  <c:v>42587</c:v>
                </c:pt>
                <c:pt idx="1014">
                  <c:v>42590</c:v>
                </c:pt>
                <c:pt idx="1015">
                  <c:v>42591</c:v>
                </c:pt>
                <c:pt idx="1016">
                  <c:v>42592</c:v>
                </c:pt>
                <c:pt idx="1017">
                  <c:v>42593</c:v>
                </c:pt>
                <c:pt idx="1018">
                  <c:v>42594</c:v>
                </c:pt>
                <c:pt idx="1019">
                  <c:v>42597</c:v>
                </c:pt>
                <c:pt idx="1020">
                  <c:v>42598</c:v>
                </c:pt>
                <c:pt idx="1021">
                  <c:v>42599</c:v>
                </c:pt>
                <c:pt idx="1022">
                  <c:v>42600</c:v>
                </c:pt>
                <c:pt idx="1023">
                  <c:v>42601</c:v>
                </c:pt>
                <c:pt idx="1024">
                  <c:v>42604</c:v>
                </c:pt>
                <c:pt idx="1025">
                  <c:v>42605</c:v>
                </c:pt>
                <c:pt idx="1026">
                  <c:v>42606</c:v>
                </c:pt>
                <c:pt idx="1027">
                  <c:v>42607</c:v>
                </c:pt>
                <c:pt idx="1028">
                  <c:v>42608</c:v>
                </c:pt>
                <c:pt idx="1029">
                  <c:v>42611</c:v>
                </c:pt>
                <c:pt idx="1030">
                  <c:v>42612</c:v>
                </c:pt>
                <c:pt idx="1031">
                  <c:v>42613</c:v>
                </c:pt>
                <c:pt idx="1032">
                  <c:v>42614</c:v>
                </c:pt>
                <c:pt idx="1033">
                  <c:v>42615</c:v>
                </c:pt>
                <c:pt idx="1034">
                  <c:v>42619</c:v>
                </c:pt>
                <c:pt idx="1035">
                  <c:v>42620</c:v>
                </c:pt>
                <c:pt idx="1036">
                  <c:v>42621</c:v>
                </c:pt>
                <c:pt idx="1037">
                  <c:v>42622</c:v>
                </c:pt>
                <c:pt idx="1038">
                  <c:v>42625</c:v>
                </c:pt>
                <c:pt idx="1039">
                  <c:v>42626</c:v>
                </c:pt>
                <c:pt idx="1040">
                  <c:v>42627</c:v>
                </c:pt>
                <c:pt idx="1041">
                  <c:v>42628</c:v>
                </c:pt>
                <c:pt idx="1042">
                  <c:v>42629</c:v>
                </c:pt>
                <c:pt idx="1043">
                  <c:v>42632</c:v>
                </c:pt>
                <c:pt idx="1044">
                  <c:v>42633</c:v>
                </c:pt>
                <c:pt idx="1045">
                  <c:v>42634</c:v>
                </c:pt>
                <c:pt idx="1046">
                  <c:v>42635</c:v>
                </c:pt>
                <c:pt idx="1047">
                  <c:v>42636</c:v>
                </c:pt>
                <c:pt idx="1048">
                  <c:v>42639</c:v>
                </c:pt>
                <c:pt idx="1049">
                  <c:v>42640</c:v>
                </c:pt>
                <c:pt idx="1050">
                  <c:v>42641</c:v>
                </c:pt>
                <c:pt idx="1051">
                  <c:v>42642</c:v>
                </c:pt>
                <c:pt idx="1052">
                  <c:v>42643</c:v>
                </c:pt>
                <c:pt idx="1053">
                  <c:v>42646</c:v>
                </c:pt>
                <c:pt idx="1054">
                  <c:v>42647</c:v>
                </c:pt>
                <c:pt idx="1055">
                  <c:v>42648</c:v>
                </c:pt>
                <c:pt idx="1056">
                  <c:v>42649</c:v>
                </c:pt>
                <c:pt idx="1057">
                  <c:v>42650</c:v>
                </c:pt>
                <c:pt idx="1058">
                  <c:v>42654</c:v>
                </c:pt>
                <c:pt idx="1059">
                  <c:v>42655</c:v>
                </c:pt>
                <c:pt idx="1060">
                  <c:v>42656</c:v>
                </c:pt>
                <c:pt idx="1061">
                  <c:v>42657</c:v>
                </c:pt>
                <c:pt idx="1062">
                  <c:v>42660</c:v>
                </c:pt>
                <c:pt idx="1063">
                  <c:v>42661</c:v>
                </c:pt>
                <c:pt idx="1064">
                  <c:v>42662</c:v>
                </c:pt>
                <c:pt idx="1065">
                  <c:v>42663</c:v>
                </c:pt>
                <c:pt idx="1066">
                  <c:v>42664</c:v>
                </c:pt>
                <c:pt idx="1067">
                  <c:v>42667</c:v>
                </c:pt>
                <c:pt idx="1068">
                  <c:v>42668</c:v>
                </c:pt>
                <c:pt idx="1069">
                  <c:v>42669</c:v>
                </c:pt>
                <c:pt idx="1070">
                  <c:v>42670</c:v>
                </c:pt>
                <c:pt idx="1071">
                  <c:v>42671</c:v>
                </c:pt>
                <c:pt idx="1072">
                  <c:v>42674</c:v>
                </c:pt>
                <c:pt idx="1073">
                  <c:v>42675</c:v>
                </c:pt>
                <c:pt idx="1074">
                  <c:v>42676</c:v>
                </c:pt>
                <c:pt idx="1075">
                  <c:v>42677</c:v>
                </c:pt>
                <c:pt idx="1076">
                  <c:v>42678</c:v>
                </c:pt>
                <c:pt idx="1077">
                  <c:v>42681</c:v>
                </c:pt>
                <c:pt idx="1078">
                  <c:v>42682</c:v>
                </c:pt>
                <c:pt idx="1079">
                  <c:v>42683</c:v>
                </c:pt>
                <c:pt idx="1080">
                  <c:v>42684</c:v>
                </c:pt>
                <c:pt idx="1081">
                  <c:v>42685</c:v>
                </c:pt>
                <c:pt idx="1082">
                  <c:v>42688</c:v>
                </c:pt>
                <c:pt idx="1083">
                  <c:v>42689</c:v>
                </c:pt>
                <c:pt idx="1084">
                  <c:v>42690</c:v>
                </c:pt>
                <c:pt idx="1085">
                  <c:v>42691</c:v>
                </c:pt>
                <c:pt idx="1086">
                  <c:v>42692</c:v>
                </c:pt>
                <c:pt idx="1087">
                  <c:v>42695</c:v>
                </c:pt>
                <c:pt idx="1088">
                  <c:v>42696</c:v>
                </c:pt>
                <c:pt idx="1089">
                  <c:v>42697</c:v>
                </c:pt>
                <c:pt idx="1090">
                  <c:v>42698</c:v>
                </c:pt>
                <c:pt idx="1091">
                  <c:v>42699</c:v>
                </c:pt>
                <c:pt idx="1092">
                  <c:v>42702</c:v>
                </c:pt>
                <c:pt idx="1093">
                  <c:v>42703</c:v>
                </c:pt>
                <c:pt idx="1094">
                  <c:v>42704</c:v>
                </c:pt>
                <c:pt idx="1095">
                  <c:v>42705</c:v>
                </c:pt>
                <c:pt idx="1096">
                  <c:v>42706</c:v>
                </c:pt>
                <c:pt idx="1097">
                  <c:v>42709</c:v>
                </c:pt>
                <c:pt idx="1098">
                  <c:v>42710</c:v>
                </c:pt>
                <c:pt idx="1099">
                  <c:v>42711</c:v>
                </c:pt>
                <c:pt idx="1100">
                  <c:v>42712</c:v>
                </c:pt>
                <c:pt idx="1101">
                  <c:v>42713</c:v>
                </c:pt>
                <c:pt idx="1102">
                  <c:v>42716</c:v>
                </c:pt>
                <c:pt idx="1103">
                  <c:v>42717</c:v>
                </c:pt>
                <c:pt idx="1104">
                  <c:v>42718</c:v>
                </c:pt>
                <c:pt idx="1105">
                  <c:v>42719</c:v>
                </c:pt>
                <c:pt idx="1106">
                  <c:v>42720</c:v>
                </c:pt>
                <c:pt idx="1107">
                  <c:v>42723</c:v>
                </c:pt>
                <c:pt idx="1108">
                  <c:v>42724</c:v>
                </c:pt>
                <c:pt idx="1109">
                  <c:v>42725</c:v>
                </c:pt>
                <c:pt idx="1110">
                  <c:v>42726</c:v>
                </c:pt>
                <c:pt idx="1111">
                  <c:v>42727</c:v>
                </c:pt>
                <c:pt idx="1112">
                  <c:v>42732</c:v>
                </c:pt>
                <c:pt idx="1113">
                  <c:v>42733</c:v>
                </c:pt>
                <c:pt idx="1114">
                  <c:v>42734</c:v>
                </c:pt>
                <c:pt idx="1115">
                  <c:v>42738</c:v>
                </c:pt>
                <c:pt idx="1116">
                  <c:v>42739</c:v>
                </c:pt>
                <c:pt idx="1117">
                  <c:v>42740</c:v>
                </c:pt>
                <c:pt idx="1118">
                  <c:v>42741</c:v>
                </c:pt>
                <c:pt idx="1119">
                  <c:v>42744</c:v>
                </c:pt>
                <c:pt idx="1120">
                  <c:v>42745</c:v>
                </c:pt>
                <c:pt idx="1121">
                  <c:v>42746</c:v>
                </c:pt>
                <c:pt idx="1122">
                  <c:v>42747</c:v>
                </c:pt>
                <c:pt idx="1123">
                  <c:v>42748</c:v>
                </c:pt>
                <c:pt idx="1124">
                  <c:v>42751</c:v>
                </c:pt>
                <c:pt idx="1125">
                  <c:v>42752</c:v>
                </c:pt>
                <c:pt idx="1126">
                  <c:v>42753</c:v>
                </c:pt>
                <c:pt idx="1127">
                  <c:v>42754</c:v>
                </c:pt>
                <c:pt idx="1128">
                  <c:v>42755</c:v>
                </c:pt>
                <c:pt idx="1129">
                  <c:v>42758</c:v>
                </c:pt>
                <c:pt idx="1130">
                  <c:v>42759</c:v>
                </c:pt>
                <c:pt idx="1131">
                  <c:v>42760</c:v>
                </c:pt>
                <c:pt idx="1132">
                  <c:v>42761</c:v>
                </c:pt>
                <c:pt idx="1133">
                  <c:v>42762</c:v>
                </c:pt>
                <c:pt idx="1134">
                  <c:v>42765</c:v>
                </c:pt>
                <c:pt idx="1135">
                  <c:v>42766</c:v>
                </c:pt>
                <c:pt idx="1136">
                  <c:v>42767</c:v>
                </c:pt>
                <c:pt idx="1137">
                  <c:v>42768</c:v>
                </c:pt>
                <c:pt idx="1138">
                  <c:v>42769</c:v>
                </c:pt>
                <c:pt idx="1139">
                  <c:v>42772</c:v>
                </c:pt>
                <c:pt idx="1140">
                  <c:v>42773</c:v>
                </c:pt>
                <c:pt idx="1141">
                  <c:v>42774</c:v>
                </c:pt>
                <c:pt idx="1142">
                  <c:v>42775</c:v>
                </c:pt>
                <c:pt idx="1143">
                  <c:v>42776</c:v>
                </c:pt>
                <c:pt idx="1144">
                  <c:v>42779</c:v>
                </c:pt>
                <c:pt idx="1145">
                  <c:v>42780</c:v>
                </c:pt>
                <c:pt idx="1146">
                  <c:v>42781</c:v>
                </c:pt>
                <c:pt idx="1147">
                  <c:v>42782</c:v>
                </c:pt>
                <c:pt idx="1148">
                  <c:v>42783</c:v>
                </c:pt>
                <c:pt idx="1149">
                  <c:v>42787</c:v>
                </c:pt>
                <c:pt idx="1150">
                  <c:v>42788</c:v>
                </c:pt>
                <c:pt idx="1151">
                  <c:v>42789</c:v>
                </c:pt>
                <c:pt idx="1152">
                  <c:v>42790</c:v>
                </c:pt>
                <c:pt idx="1153">
                  <c:v>42793</c:v>
                </c:pt>
                <c:pt idx="1154">
                  <c:v>42794</c:v>
                </c:pt>
                <c:pt idx="1155">
                  <c:v>42795</c:v>
                </c:pt>
                <c:pt idx="1156">
                  <c:v>42796</c:v>
                </c:pt>
                <c:pt idx="1157">
                  <c:v>42797</c:v>
                </c:pt>
                <c:pt idx="1158">
                  <c:v>42800</c:v>
                </c:pt>
                <c:pt idx="1159">
                  <c:v>42801</c:v>
                </c:pt>
                <c:pt idx="1160">
                  <c:v>42802</c:v>
                </c:pt>
                <c:pt idx="1161">
                  <c:v>42803</c:v>
                </c:pt>
                <c:pt idx="1162">
                  <c:v>42804</c:v>
                </c:pt>
                <c:pt idx="1163">
                  <c:v>42807</c:v>
                </c:pt>
                <c:pt idx="1164">
                  <c:v>42808</c:v>
                </c:pt>
                <c:pt idx="1165">
                  <c:v>42809</c:v>
                </c:pt>
                <c:pt idx="1166">
                  <c:v>42810</c:v>
                </c:pt>
                <c:pt idx="1167">
                  <c:v>42811</c:v>
                </c:pt>
                <c:pt idx="1168">
                  <c:v>42814</c:v>
                </c:pt>
                <c:pt idx="1169">
                  <c:v>42815</c:v>
                </c:pt>
                <c:pt idx="1170">
                  <c:v>42816</c:v>
                </c:pt>
                <c:pt idx="1171">
                  <c:v>42817</c:v>
                </c:pt>
                <c:pt idx="1172">
                  <c:v>42818</c:v>
                </c:pt>
                <c:pt idx="1173">
                  <c:v>42821</c:v>
                </c:pt>
                <c:pt idx="1174">
                  <c:v>42822</c:v>
                </c:pt>
                <c:pt idx="1175">
                  <c:v>42823</c:v>
                </c:pt>
                <c:pt idx="1176">
                  <c:v>42824</c:v>
                </c:pt>
                <c:pt idx="1177">
                  <c:v>42825</c:v>
                </c:pt>
                <c:pt idx="1178">
                  <c:v>42828</c:v>
                </c:pt>
                <c:pt idx="1179">
                  <c:v>42829</c:v>
                </c:pt>
                <c:pt idx="1180">
                  <c:v>42830</c:v>
                </c:pt>
                <c:pt idx="1181">
                  <c:v>42831</c:v>
                </c:pt>
                <c:pt idx="1182">
                  <c:v>42832</c:v>
                </c:pt>
                <c:pt idx="1183">
                  <c:v>42835</c:v>
                </c:pt>
                <c:pt idx="1184">
                  <c:v>42836</c:v>
                </c:pt>
                <c:pt idx="1185">
                  <c:v>42837</c:v>
                </c:pt>
                <c:pt idx="1186">
                  <c:v>42838</c:v>
                </c:pt>
                <c:pt idx="1187">
                  <c:v>42842</c:v>
                </c:pt>
                <c:pt idx="1188">
                  <c:v>42843</c:v>
                </c:pt>
                <c:pt idx="1189">
                  <c:v>42844</c:v>
                </c:pt>
                <c:pt idx="1190">
                  <c:v>42845</c:v>
                </c:pt>
                <c:pt idx="1191">
                  <c:v>42846</c:v>
                </c:pt>
                <c:pt idx="1192">
                  <c:v>42849</c:v>
                </c:pt>
                <c:pt idx="1193">
                  <c:v>42850</c:v>
                </c:pt>
                <c:pt idx="1194">
                  <c:v>42851</c:v>
                </c:pt>
                <c:pt idx="1195">
                  <c:v>42852</c:v>
                </c:pt>
                <c:pt idx="1196">
                  <c:v>42853</c:v>
                </c:pt>
                <c:pt idx="1197">
                  <c:v>42856</c:v>
                </c:pt>
                <c:pt idx="1198">
                  <c:v>42857</c:v>
                </c:pt>
                <c:pt idx="1199">
                  <c:v>42858</c:v>
                </c:pt>
                <c:pt idx="1200">
                  <c:v>42859</c:v>
                </c:pt>
                <c:pt idx="1201">
                  <c:v>42860</c:v>
                </c:pt>
                <c:pt idx="1202">
                  <c:v>42863</c:v>
                </c:pt>
                <c:pt idx="1203">
                  <c:v>42864</c:v>
                </c:pt>
                <c:pt idx="1204">
                  <c:v>42865</c:v>
                </c:pt>
                <c:pt idx="1205">
                  <c:v>42866</c:v>
                </c:pt>
                <c:pt idx="1206">
                  <c:v>42867</c:v>
                </c:pt>
                <c:pt idx="1207">
                  <c:v>42870</c:v>
                </c:pt>
                <c:pt idx="1208">
                  <c:v>42871</c:v>
                </c:pt>
                <c:pt idx="1209">
                  <c:v>42872</c:v>
                </c:pt>
                <c:pt idx="1210">
                  <c:v>42873</c:v>
                </c:pt>
                <c:pt idx="1211">
                  <c:v>42874</c:v>
                </c:pt>
                <c:pt idx="1212">
                  <c:v>42878</c:v>
                </c:pt>
                <c:pt idx="1213">
                  <c:v>42879</c:v>
                </c:pt>
                <c:pt idx="1214">
                  <c:v>42880</c:v>
                </c:pt>
                <c:pt idx="1215">
                  <c:v>42881</c:v>
                </c:pt>
                <c:pt idx="1216">
                  <c:v>42884</c:v>
                </c:pt>
                <c:pt idx="1217">
                  <c:v>42885</c:v>
                </c:pt>
                <c:pt idx="1218">
                  <c:v>42886</c:v>
                </c:pt>
                <c:pt idx="1219">
                  <c:v>42887</c:v>
                </c:pt>
                <c:pt idx="1220">
                  <c:v>42888</c:v>
                </c:pt>
                <c:pt idx="1221">
                  <c:v>42891</c:v>
                </c:pt>
                <c:pt idx="1222">
                  <c:v>42892</c:v>
                </c:pt>
                <c:pt idx="1223">
                  <c:v>42893</c:v>
                </c:pt>
                <c:pt idx="1224">
                  <c:v>42894</c:v>
                </c:pt>
                <c:pt idx="1225">
                  <c:v>42895</c:v>
                </c:pt>
                <c:pt idx="1226">
                  <c:v>42898</c:v>
                </c:pt>
                <c:pt idx="1227">
                  <c:v>42899</c:v>
                </c:pt>
                <c:pt idx="1228">
                  <c:v>42900</c:v>
                </c:pt>
                <c:pt idx="1229">
                  <c:v>42901</c:v>
                </c:pt>
                <c:pt idx="1230">
                  <c:v>42902</c:v>
                </c:pt>
                <c:pt idx="1231">
                  <c:v>42905</c:v>
                </c:pt>
                <c:pt idx="1232">
                  <c:v>42906</c:v>
                </c:pt>
                <c:pt idx="1233">
                  <c:v>42907</c:v>
                </c:pt>
                <c:pt idx="1234">
                  <c:v>42908</c:v>
                </c:pt>
                <c:pt idx="1235">
                  <c:v>42909</c:v>
                </c:pt>
                <c:pt idx="1236">
                  <c:v>42912</c:v>
                </c:pt>
                <c:pt idx="1237">
                  <c:v>42913</c:v>
                </c:pt>
                <c:pt idx="1238">
                  <c:v>42914</c:v>
                </c:pt>
                <c:pt idx="1239">
                  <c:v>42915</c:v>
                </c:pt>
                <c:pt idx="1240">
                  <c:v>42916</c:v>
                </c:pt>
                <c:pt idx="1241">
                  <c:v>42920</c:v>
                </c:pt>
                <c:pt idx="1242">
                  <c:v>42921</c:v>
                </c:pt>
                <c:pt idx="1243">
                  <c:v>42922</c:v>
                </c:pt>
                <c:pt idx="1244">
                  <c:v>42923</c:v>
                </c:pt>
                <c:pt idx="1245">
                  <c:v>42926</c:v>
                </c:pt>
                <c:pt idx="1246">
                  <c:v>42927</c:v>
                </c:pt>
                <c:pt idx="1247">
                  <c:v>42928</c:v>
                </c:pt>
                <c:pt idx="1248">
                  <c:v>42929</c:v>
                </c:pt>
                <c:pt idx="1249">
                  <c:v>42930</c:v>
                </c:pt>
                <c:pt idx="1250">
                  <c:v>42933</c:v>
                </c:pt>
                <c:pt idx="1251">
                  <c:v>42934</c:v>
                </c:pt>
                <c:pt idx="1252">
                  <c:v>42935</c:v>
                </c:pt>
                <c:pt idx="1253">
                  <c:v>42936</c:v>
                </c:pt>
                <c:pt idx="1254">
                  <c:v>42937</c:v>
                </c:pt>
              </c:numCache>
            </c:numRef>
          </c:cat>
          <c:val>
            <c:numRef>
              <c:f>'Price History'!$G$5:$G$4964</c:f>
              <c:numCache>
                <c:formatCode>General</c:formatCode>
                <c:ptCount val="4960"/>
                <c:pt idx="0">
                  <c:v>6.77</c:v>
                </c:pt>
                <c:pt idx="1">
                  <c:v>6.79</c:v>
                </c:pt>
                <c:pt idx="2">
                  <c:v>6.73</c:v>
                </c:pt>
                <c:pt idx="3">
                  <c:v>6.67</c:v>
                </c:pt>
                <c:pt idx="4">
                  <c:v>6.78</c:v>
                </c:pt>
                <c:pt idx="5">
                  <c:v>6.65</c:v>
                </c:pt>
                <c:pt idx="6">
                  <c:v>6.58</c:v>
                </c:pt>
                <c:pt idx="7">
                  <c:v>6.58</c:v>
                </c:pt>
                <c:pt idx="8">
                  <c:v>6.59</c:v>
                </c:pt>
                <c:pt idx="9">
                  <c:v>6.65</c:v>
                </c:pt>
                <c:pt idx="10">
                  <c:v>6.65</c:v>
                </c:pt>
                <c:pt idx="11">
                  <c:v>6.61</c:v>
                </c:pt>
                <c:pt idx="12">
                  <c:v>6.57</c:v>
                </c:pt>
                <c:pt idx="13">
                  <c:v>6.68</c:v>
                </c:pt>
                <c:pt idx="14">
                  <c:v>6.68</c:v>
                </c:pt>
                <c:pt idx="15">
                  <c:v>6.65</c:v>
                </c:pt>
                <c:pt idx="16">
                  <c:v>6.52</c:v>
                </c:pt>
                <c:pt idx="17">
                  <c:v>6.57</c:v>
                </c:pt>
                <c:pt idx="18">
                  <c:v>6.62</c:v>
                </c:pt>
                <c:pt idx="19">
                  <c:v>6.58</c:v>
                </c:pt>
                <c:pt idx="20">
                  <c:v>6.6</c:v>
                </c:pt>
                <c:pt idx="21">
                  <c:v>6.68</c:v>
                </c:pt>
                <c:pt idx="22">
                  <c:v>6.74</c:v>
                </c:pt>
                <c:pt idx="23">
                  <c:v>6.78</c:v>
                </c:pt>
                <c:pt idx="24">
                  <c:v>6.75</c:v>
                </c:pt>
                <c:pt idx="25">
                  <c:v>6.68</c:v>
                </c:pt>
                <c:pt idx="26">
                  <c:v>6.66</c:v>
                </c:pt>
                <c:pt idx="27">
                  <c:v>6.65</c:v>
                </c:pt>
                <c:pt idx="28">
                  <c:v>6.63</c:v>
                </c:pt>
                <c:pt idx="29">
                  <c:v>6.6</c:v>
                </c:pt>
                <c:pt idx="30">
                  <c:v>6.63</c:v>
                </c:pt>
                <c:pt idx="31">
                  <c:v>6.58</c:v>
                </c:pt>
                <c:pt idx="32">
                  <c:v>6.62</c:v>
                </c:pt>
                <c:pt idx="33">
                  <c:v>6.61</c:v>
                </c:pt>
                <c:pt idx="34">
                  <c:v>6.61</c:v>
                </c:pt>
                <c:pt idx="35">
                  <c:v>6.64</c:v>
                </c:pt>
                <c:pt idx="36">
                  <c:v>6.61</c:v>
                </c:pt>
                <c:pt idx="37">
                  <c:v>6.61</c:v>
                </c:pt>
                <c:pt idx="38">
                  <c:v>6.61</c:v>
                </c:pt>
                <c:pt idx="39">
                  <c:v>6.55</c:v>
                </c:pt>
                <c:pt idx="40">
                  <c:v>6.54</c:v>
                </c:pt>
                <c:pt idx="41">
                  <c:v>6.61</c:v>
                </c:pt>
                <c:pt idx="42">
                  <c:v>6.41</c:v>
                </c:pt>
                <c:pt idx="43">
                  <c:v>6.48</c:v>
                </c:pt>
                <c:pt idx="44">
                  <c:v>6.56</c:v>
                </c:pt>
                <c:pt idx="45">
                  <c:v>6.51</c:v>
                </c:pt>
                <c:pt idx="46">
                  <c:v>6.54</c:v>
                </c:pt>
                <c:pt idx="47">
                  <c:v>6.56</c:v>
                </c:pt>
                <c:pt idx="48">
                  <c:v>6.64</c:v>
                </c:pt>
                <c:pt idx="49">
                  <c:v>6.61</c:v>
                </c:pt>
                <c:pt idx="50">
                  <c:v>6.65</c:v>
                </c:pt>
                <c:pt idx="51">
                  <c:v>6.71</c:v>
                </c:pt>
                <c:pt idx="52">
                  <c:v>6.71</c:v>
                </c:pt>
                <c:pt idx="53">
                  <c:v>6.72</c:v>
                </c:pt>
                <c:pt idx="54">
                  <c:v>6.72</c:v>
                </c:pt>
                <c:pt idx="55">
                  <c:v>6.68</c:v>
                </c:pt>
                <c:pt idx="56">
                  <c:v>6.6</c:v>
                </c:pt>
                <c:pt idx="57">
                  <c:v>6.64</c:v>
                </c:pt>
                <c:pt idx="58">
                  <c:v>6.74</c:v>
                </c:pt>
                <c:pt idx="59">
                  <c:v>6.8</c:v>
                </c:pt>
                <c:pt idx="60">
                  <c:v>6.85</c:v>
                </c:pt>
                <c:pt idx="61">
                  <c:v>6.78</c:v>
                </c:pt>
                <c:pt idx="62">
                  <c:v>6.82</c:v>
                </c:pt>
                <c:pt idx="63">
                  <c:v>6.75</c:v>
                </c:pt>
                <c:pt idx="64">
                  <c:v>6.81</c:v>
                </c:pt>
                <c:pt idx="65">
                  <c:v>6.81</c:v>
                </c:pt>
                <c:pt idx="66">
                  <c:v>6.83</c:v>
                </c:pt>
                <c:pt idx="67">
                  <c:v>6.81</c:v>
                </c:pt>
                <c:pt idx="68">
                  <c:v>6.9</c:v>
                </c:pt>
                <c:pt idx="69">
                  <c:v>6.88</c:v>
                </c:pt>
                <c:pt idx="70">
                  <c:v>6.81</c:v>
                </c:pt>
                <c:pt idx="71">
                  <c:v>6.86</c:v>
                </c:pt>
                <c:pt idx="72">
                  <c:v>6.85</c:v>
                </c:pt>
                <c:pt idx="73">
                  <c:v>6.83</c:v>
                </c:pt>
                <c:pt idx="74">
                  <c:v>6.79</c:v>
                </c:pt>
                <c:pt idx="75">
                  <c:v>6.72</c:v>
                </c:pt>
                <c:pt idx="76">
                  <c:v>6.77</c:v>
                </c:pt>
                <c:pt idx="77">
                  <c:v>6.78</c:v>
                </c:pt>
                <c:pt idx="78">
                  <c:v>6.73</c:v>
                </c:pt>
                <c:pt idx="79">
                  <c:v>6.69</c:v>
                </c:pt>
                <c:pt idx="80">
                  <c:v>5.93</c:v>
                </c:pt>
                <c:pt idx="81">
                  <c:v>6.53</c:v>
                </c:pt>
                <c:pt idx="82">
                  <c:v>6.71</c:v>
                </c:pt>
                <c:pt idx="83">
                  <c:v>6.56</c:v>
                </c:pt>
                <c:pt idx="84">
                  <c:v>6.46</c:v>
                </c:pt>
                <c:pt idx="85">
                  <c:v>6.59</c:v>
                </c:pt>
                <c:pt idx="86">
                  <c:v>6.6</c:v>
                </c:pt>
                <c:pt idx="87">
                  <c:v>6.63</c:v>
                </c:pt>
                <c:pt idx="88">
                  <c:v>6.6</c:v>
                </c:pt>
                <c:pt idx="89">
                  <c:v>6.58</c:v>
                </c:pt>
                <c:pt idx="90">
                  <c:v>6.52</c:v>
                </c:pt>
                <c:pt idx="91">
                  <c:v>6.58</c:v>
                </c:pt>
                <c:pt idx="92">
                  <c:v>6.55</c:v>
                </c:pt>
                <c:pt idx="93">
                  <c:v>6.54</c:v>
                </c:pt>
                <c:pt idx="94">
                  <c:v>6.6</c:v>
                </c:pt>
                <c:pt idx="95">
                  <c:v>6.53</c:v>
                </c:pt>
                <c:pt idx="96">
                  <c:v>6.58</c:v>
                </c:pt>
                <c:pt idx="97">
                  <c:v>6.65</c:v>
                </c:pt>
                <c:pt idx="98">
                  <c:v>6.68</c:v>
                </c:pt>
                <c:pt idx="99">
                  <c:v>6.7</c:v>
                </c:pt>
                <c:pt idx="100">
                  <c:v>6.72</c:v>
                </c:pt>
                <c:pt idx="101">
                  <c:v>6.66</c:v>
                </c:pt>
                <c:pt idx="102">
                  <c:v>6.66</c:v>
                </c:pt>
                <c:pt idx="103">
                  <c:v>6.63</c:v>
                </c:pt>
                <c:pt idx="104">
                  <c:v>6.66</c:v>
                </c:pt>
                <c:pt idx="105">
                  <c:v>6.74</c:v>
                </c:pt>
                <c:pt idx="106">
                  <c:v>6.76</c:v>
                </c:pt>
                <c:pt idx="107">
                  <c:v>6.78</c:v>
                </c:pt>
                <c:pt idx="108">
                  <c:v>6.78</c:v>
                </c:pt>
                <c:pt idx="109">
                  <c:v>6.76</c:v>
                </c:pt>
                <c:pt idx="110">
                  <c:v>6.81</c:v>
                </c:pt>
                <c:pt idx="111">
                  <c:v>6.84</c:v>
                </c:pt>
                <c:pt idx="112">
                  <c:v>7</c:v>
                </c:pt>
                <c:pt idx="113">
                  <c:v>7.12</c:v>
                </c:pt>
                <c:pt idx="114">
                  <c:v>7.15</c:v>
                </c:pt>
                <c:pt idx="115">
                  <c:v>7.13</c:v>
                </c:pt>
                <c:pt idx="116">
                  <c:v>7.16</c:v>
                </c:pt>
                <c:pt idx="117">
                  <c:v>7.18</c:v>
                </c:pt>
                <c:pt idx="118">
                  <c:v>7.23</c:v>
                </c:pt>
                <c:pt idx="119">
                  <c:v>7.25</c:v>
                </c:pt>
                <c:pt idx="120">
                  <c:v>7.29</c:v>
                </c:pt>
                <c:pt idx="121">
                  <c:v>7.25</c:v>
                </c:pt>
                <c:pt idx="122">
                  <c:v>7.24</c:v>
                </c:pt>
                <c:pt idx="123">
                  <c:v>7.28</c:v>
                </c:pt>
                <c:pt idx="124">
                  <c:v>7.34</c:v>
                </c:pt>
                <c:pt idx="125">
                  <c:v>7.38</c:v>
                </c:pt>
                <c:pt idx="126">
                  <c:v>7.39</c:v>
                </c:pt>
                <c:pt idx="127">
                  <c:v>7.48</c:v>
                </c:pt>
                <c:pt idx="128">
                  <c:v>7.44</c:v>
                </c:pt>
                <c:pt idx="129">
                  <c:v>7.43</c:v>
                </c:pt>
                <c:pt idx="130">
                  <c:v>7.37</c:v>
                </c:pt>
                <c:pt idx="131">
                  <c:v>7.37</c:v>
                </c:pt>
                <c:pt idx="132">
                  <c:v>7.26</c:v>
                </c:pt>
                <c:pt idx="133">
                  <c:v>7.3</c:v>
                </c:pt>
                <c:pt idx="134">
                  <c:v>7.21</c:v>
                </c:pt>
                <c:pt idx="135">
                  <c:v>7.25</c:v>
                </c:pt>
                <c:pt idx="136">
                  <c:v>7.32</c:v>
                </c:pt>
                <c:pt idx="137">
                  <c:v>7.29</c:v>
                </c:pt>
                <c:pt idx="138">
                  <c:v>7.32</c:v>
                </c:pt>
                <c:pt idx="139">
                  <c:v>7.3</c:v>
                </c:pt>
                <c:pt idx="140">
                  <c:v>7.33</c:v>
                </c:pt>
                <c:pt idx="141">
                  <c:v>7.25</c:v>
                </c:pt>
                <c:pt idx="142">
                  <c:v>7.27</c:v>
                </c:pt>
                <c:pt idx="143">
                  <c:v>7.29</c:v>
                </c:pt>
                <c:pt idx="144">
                  <c:v>7.31</c:v>
                </c:pt>
                <c:pt idx="145">
                  <c:v>7.29</c:v>
                </c:pt>
                <c:pt idx="146">
                  <c:v>7.32</c:v>
                </c:pt>
                <c:pt idx="147">
                  <c:v>7.41</c:v>
                </c:pt>
                <c:pt idx="148">
                  <c:v>7.51</c:v>
                </c:pt>
                <c:pt idx="149">
                  <c:v>7.54</c:v>
                </c:pt>
                <c:pt idx="150">
                  <c:v>7.55</c:v>
                </c:pt>
                <c:pt idx="151">
                  <c:v>7.6</c:v>
                </c:pt>
                <c:pt idx="152">
                  <c:v>7.61</c:v>
                </c:pt>
                <c:pt idx="153">
                  <c:v>7.67</c:v>
                </c:pt>
                <c:pt idx="154">
                  <c:v>7.52</c:v>
                </c:pt>
                <c:pt idx="155">
                  <c:v>7.55</c:v>
                </c:pt>
                <c:pt idx="156">
                  <c:v>7.58</c:v>
                </c:pt>
                <c:pt idx="157">
                  <c:v>7.69</c:v>
                </c:pt>
                <c:pt idx="158">
                  <c:v>7.71</c:v>
                </c:pt>
                <c:pt idx="159">
                  <c:v>7.63</c:v>
                </c:pt>
                <c:pt idx="160">
                  <c:v>7.62</c:v>
                </c:pt>
                <c:pt idx="161">
                  <c:v>7.58</c:v>
                </c:pt>
                <c:pt idx="162">
                  <c:v>7.63</c:v>
                </c:pt>
                <c:pt idx="163">
                  <c:v>7.6</c:v>
                </c:pt>
                <c:pt idx="164">
                  <c:v>7.36</c:v>
                </c:pt>
                <c:pt idx="165">
                  <c:v>7.43</c:v>
                </c:pt>
                <c:pt idx="166">
                  <c:v>7.48</c:v>
                </c:pt>
                <c:pt idx="167">
                  <c:v>7.49</c:v>
                </c:pt>
                <c:pt idx="168">
                  <c:v>7.46</c:v>
                </c:pt>
                <c:pt idx="169">
                  <c:v>7.37</c:v>
                </c:pt>
                <c:pt idx="170">
                  <c:v>7.3</c:v>
                </c:pt>
                <c:pt idx="171">
                  <c:v>7.36</c:v>
                </c:pt>
                <c:pt idx="172">
                  <c:v>7.35</c:v>
                </c:pt>
                <c:pt idx="173">
                  <c:v>7.33</c:v>
                </c:pt>
                <c:pt idx="174">
                  <c:v>7.37</c:v>
                </c:pt>
                <c:pt idx="175">
                  <c:v>7.34</c:v>
                </c:pt>
                <c:pt idx="176">
                  <c:v>6.98</c:v>
                </c:pt>
                <c:pt idx="177">
                  <c:v>7.35</c:v>
                </c:pt>
                <c:pt idx="178">
                  <c:v>7.5</c:v>
                </c:pt>
                <c:pt idx="179">
                  <c:v>7.58</c:v>
                </c:pt>
                <c:pt idx="180">
                  <c:v>7.57</c:v>
                </c:pt>
                <c:pt idx="181">
                  <c:v>7.51</c:v>
                </c:pt>
                <c:pt idx="182">
                  <c:v>7.47</c:v>
                </c:pt>
                <c:pt idx="183">
                  <c:v>7.61</c:v>
                </c:pt>
                <c:pt idx="184">
                  <c:v>7.49</c:v>
                </c:pt>
                <c:pt idx="185">
                  <c:v>7.45</c:v>
                </c:pt>
                <c:pt idx="186">
                  <c:v>7.61</c:v>
                </c:pt>
                <c:pt idx="187">
                  <c:v>7.74</c:v>
                </c:pt>
                <c:pt idx="188">
                  <c:v>7.72</c:v>
                </c:pt>
                <c:pt idx="189">
                  <c:v>7.88</c:v>
                </c:pt>
                <c:pt idx="190">
                  <c:v>7.79</c:v>
                </c:pt>
                <c:pt idx="191">
                  <c:v>7.81</c:v>
                </c:pt>
                <c:pt idx="192">
                  <c:v>7.81</c:v>
                </c:pt>
                <c:pt idx="193">
                  <c:v>7.83</c:v>
                </c:pt>
                <c:pt idx="194">
                  <c:v>7.89</c:v>
                </c:pt>
                <c:pt idx="195">
                  <c:v>7.87</c:v>
                </c:pt>
                <c:pt idx="196">
                  <c:v>7.82</c:v>
                </c:pt>
                <c:pt idx="197">
                  <c:v>7.83</c:v>
                </c:pt>
                <c:pt idx="198">
                  <c:v>7.83</c:v>
                </c:pt>
                <c:pt idx="199">
                  <c:v>7.87</c:v>
                </c:pt>
                <c:pt idx="200">
                  <c:v>7.88</c:v>
                </c:pt>
                <c:pt idx="201">
                  <c:v>7.95</c:v>
                </c:pt>
                <c:pt idx="202">
                  <c:v>8.0299999999999994</c:v>
                </c:pt>
                <c:pt idx="203">
                  <c:v>7.99</c:v>
                </c:pt>
                <c:pt idx="204">
                  <c:v>7.99</c:v>
                </c:pt>
                <c:pt idx="205">
                  <c:v>7.94</c:v>
                </c:pt>
                <c:pt idx="206">
                  <c:v>7.93</c:v>
                </c:pt>
                <c:pt idx="207">
                  <c:v>7.98</c:v>
                </c:pt>
                <c:pt idx="208">
                  <c:v>8.0399999999999991</c:v>
                </c:pt>
                <c:pt idx="209">
                  <c:v>7.97</c:v>
                </c:pt>
                <c:pt idx="210">
                  <c:v>8.0299999999999994</c:v>
                </c:pt>
                <c:pt idx="211">
                  <c:v>7.97</c:v>
                </c:pt>
                <c:pt idx="212">
                  <c:v>7.92</c:v>
                </c:pt>
                <c:pt idx="213">
                  <c:v>7.62</c:v>
                </c:pt>
                <c:pt idx="214">
                  <c:v>7.66</c:v>
                </c:pt>
                <c:pt idx="215">
                  <c:v>7.57</c:v>
                </c:pt>
                <c:pt idx="216">
                  <c:v>7.54</c:v>
                </c:pt>
                <c:pt idx="217">
                  <c:v>7.52</c:v>
                </c:pt>
                <c:pt idx="218">
                  <c:v>7.51</c:v>
                </c:pt>
                <c:pt idx="219">
                  <c:v>7.51</c:v>
                </c:pt>
                <c:pt idx="220">
                  <c:v>7.35</c:v>
                </c:pt>
                <c:pt idx="221">
                  <c:v>7.26</c:v>
                </c:pt>
                <c:pt idx="222">
                  <c:v>7.27</c:v>
                </c:pt>
                <c:pt idx="223">
                  <c:v>7.22</c:v>
                </c:pt>
                <c:pt idx="224">
                  <c:v>7.16</c:v>
                </c:pt>
                <c:pt idx="225">
                  <c:v>7.47</c:v>
                </c:pt>
                <c:pt idx="226">
                  <c:v>7.43</c:v>
                </c:pt>
                <c:pt idx="227">
                  <c:v>7.32</c:v>
                </c:pt>
                <c:pt idx="228">
                  <c:v>7.19</c:v>
                </c:pt>
                <c:pt idx="229">
                  <c:v>6.85</c:v>
                </c:pt>
                <c:pt idx="230">
                  <c:v>6.97</c:v>
                </c:pt>
                <c:pt idx="231">
                  <c:v>7.03</c:v>
                </c:pt>
                <c:pt idx="232">
                  <c:v>7.18</c:v>
                </c:pt>
                <c:pt idx="233">
                  <c:v>7.27</c:v>
                </c:pt>
                <c:pt idx="234">
                  <c:v>7.04</c:v>
                </c:pt>
                <c:pt idx="235">
                  <c:v>6.96</c:v>
                </c:pt>
                <c:pt idx="236">
                  <c:v>7.03</c:v>
                </c:pt>
                <c:pt idx="237">
                  <c:v>7.01</c:v>
                </c:pt>
                <c:pt idx="238">
                  <c:v>7.08</c:v>
                </c:pt>
                <c:pt idx="239">
                  <c:v>6.84</c:v>
                </c:pt>
                <c:pt idx="240">
                  <c:v>6.98</c:v>
                </c:pt>
                <c:pt idx="241">
                  <c:v>7.05</c:v>
                </c:pt>
                <c:pt idx="242">
                  <c:v>6.95</c:v>
                </c:pt>
                <c:pt idx="243">
                  <c:v>7.01</c:v>
                </c:pt>
                <c:pt idx="244">
                  <c:v>7.11</c:v>
                </c:pt>
                <c:pt idx="245">
                  <c:v>7.28</c:v>
                </c:pt>
                <c:pt idx="246">
                  <c:v>7.22</c:v>
                </c:pt>
                <c:pt idx="247">
                  <c:v>7.02</c:v>
                </c:pt>
                <c:pt idx="248">
                  <c:v>7.22</c:v>
                </c:pt>
                <c:pt idx="249">
                  <c:v>7.13</c:v>
                </c:pt>
                <c:pt idx="250">
                  <c:v>7.01</c:v>
                </c:pt>
                <c:pt idx="251">
                  <c:v>7.03</c:v>
                </c:pt>
                <c:pt idx="252">
                  <c:v>7</c:v>
                </c:pt>
                <c:pt idx="253">
                  <c:v>7.01</c:v>
                </c:pt>
                <c:pt idx="254">
                  <c:v>7.01</c:v>
                </c:pt>
                <c:pt idx="255">
                  <c:v>7.09</c:v>
                </c:pt>
                <c:pt idx="256">
                  <c:v>7.1</c:v>
                </c:pt>
                <c:pt idx="257">
                  <c:v>6.96</c:v>
                </c:pt>
                <c:pt idx="258">
                  <c:v>6.9</c:v>
                </c:pt>
                <c:pt idx="259">
                  <c:v>6.86</c:v>
                </c:pt>
                <c:pt idx="260">
                  <c:v>6.72</c:v>
                </c:pt>
                <c:pt idx="261">
                  <c:v>6.77</c:v>
                </c:pt>
                <c:pt idx="262">
                  <c:v>6.8</c:v>
                </c:pt>
                <c:pt idx="263">
                  <c:v>6.77</c:v>
                </c:pt>
                <c:pt idx="264">
                  <c:v>6.79</c:v>
                </c:pt>
                <c:pt idx="265">
                  <c:v>6.71</c:v>
                </c:pt>
                <c:pt idx="266">
                  <c:v>6.68</c:v>
                </c:pt>
                <c:pt idx="267">
                  <c:v>6.6</c:v>
                </c:pt>
                <c:pt idx="268">
                  <c:v>6.76</c:v>
                </c:pt>
                <c:pt idx="269">
                  <c:v>6.64</c:v>
                </c:pt>
                <c:pt idx="270">
                  <c:v>6.66</c:v>
                </c:pt>
                <c:pt idx="271">
                  <c:v>6.55</c:v>
                </c:pt>
                <c:pt idx="272">
                  <c:v>6.64</c:v>
                </c:pt>
                <c:pt idx="273">
                  <c:v>6.64</c:v>
                </c:pt>
                <c:pt idx="274">
                  <c:v>6.7</c:v>
                </c:pt>
                <c:pt idx="275">
                  <c:v>6.7</c:v>
                </c:pt>
                <c:pt idx="276">
                  <c:v>6.66</c:v>
                </c:pt>
                <c:pt idx="277">
                  <c:v>6.42</c:v>
                </c:pt>
                <c:pt idx="278">
                  <c:v>6.58</c:v>
                </c:pt>
                <c:pt idx="279">
                  <c:v>6.64</c:v>
                </c:pt>
                <c:pt idx="280">
                  <c:v>6.65</c:v>
                </c:pt>
                <c:pt idx="281">
                  <c:v>6.71</c:v>
                </c:pt>
                <c:pt idx="282">
                  <c:v>6.53</c:v>
                </c:pt>
                <c:pt idx="283">
                  <c:v>6.32</c:v>
                </c:pt>
                <c:pt idx="284">
                  <c:v>6.16</c:v>
                </c:pt>
                <c:pt idx="285">
                  <c:v>6.29</c:v>
                </c:pt>
                <c:pt idx="286">
                  <c:v>6.21</c:v>
                </c:pt>
                <c:pt idx="287">
                  <c:v>6.25</c:v>
                </c:pt>
                <c:pt idx="288">
                  <c:v>6.37</c:v>
                </c:pt>
                <c:pt idx="289">
                  <c:v>6.42</c:v>
                </c:pt>
                <c:pt idx="290">
                  <c:v>6.36</c:v>
                </c:pt>
                <c:pt idx="291">
                  <c:v>6.46</c:v>
                </c:pt>
                <c:pt idx="292">
                  <c:v>6.36</c:v>
                </c:pt>
                <c:pt idx="293">
                  <c:v>6.39</c:v>
                </c:pt>
                <c:pt idx="294">
                  <c:v>6.45</c:v>
                </c:pt>
                <c:pt idx="295">
                  <c:v>6.53</c:v>
                </c:pt>
                <c:pt idx="296">
                  <c:v>6.37</c:v>
                </c:pt>
                <c:pt idx="297">
                  <c:v>6.33</c:v>
                </c:pt>
                <c:pt idx="298">
                  <c:v>6.33</c:v>
                </c:pt>
                <c:pt idx="299">
                  <c:v>6.31</c:v>
                </c:pt>
                <c:pt idx="300">
                  <c:v>6.33</c:v>
                </c:pt>
                <c:pt idx="301">
                  <c:v>6.35</c:v>
                </c:pt>
                <c:pt idx="302">
                  <c:v>6.29</c:v>
                </c:pt>
                <c:pt idx="303">
                  <c:v>6.16</c:v>
                </c:pt>
                <c:pt idx="304">
                  <c:v>6.12</c:v>
                </c:pt>
                <c:pt idx="305">
                  <c:v>6.08</c:v>
                </c:pt>
                <c:pt idx="306">
                  <c:v>6.04</c:v>
                </c:pt>
                <c:pt idx="307">
                  <c:v>5.96</c:v>
                </c:pt>
                <c:pt idx="308">
                  <c:v>6.16</c:v>
                </c:pt>
                <c:pt idx="309">
                  <c:v>6.15</c:v>
                </c:pt>
                <c:pt idx="310">
                  <c:v>6.23</c:v>
                </c:pt>
                <c:pt idx="311">
                  <c:v>6.4</c:v>
                </c:pt>
                <c:pt idx="312">
                  <c:v>6.59</c:v>
                </c:pt>
                <c:pt idx="313">
                  <c:v>6.65</c:v>
                </c:pt>
                <c:pt idx="314">
                  <c:v>6.64</c:v>
                </c:pt>
                <c:pt idx="315">
                  <c:v>6.74</c:v>
                </c:pt>
                <c:pt idx="316">
                  <c:v>6.78</c:v>
                </c:pt>
                <c:pt idx="317">
                  <c:v>6.79</c:v>
                </c:pt>
                <c:pt idx="318">
                  <c:v>6.79</c:v>
                </c:pt>
                <c:pt idx="319">
                  <c:v>6.71</c:v>
                </c:pt>
                <c:pt idx="320">
                  <c:v>6.64</c:v>
                </c:pt>
                <c:pt idx="321">
                  <c:v>6.68</c:v>
                </c:pt>
                <c:pt idx="322">
                  <c:v>6.7</c:v>
                </c:pt>
                <c:pt idx="323">
                  <c:v>6.7</c:v>
                </c:pt>
                <c:pt idx="324">
                  <c:v>6.72</c:v>
                </c:pt>
                <c:pt idx="325">
                  <c:v>6.78</c:v>
                </c:pt>
                <c:pt idx="326">
                  <c:v>6.6</c:v>
                </c:pt>
                <c:pt idx="327">
                  <c:v>6.52</c:v>
                </c:pt>
                <c:pt idx="328">
                  <c:v>6.54</c:v>
                </c:pt>
                <c:pt idx="329">
                  <c:v>6.53</c:v>
                </c:pt>
                <c:pt idx="330">
                  <c:v>6.57</c:v>
                </c:pt>
                <c:pt idx="331">
                  <c:v>6.56</c:v>
                </c:pt>
                <c:pt idx="332">
                  <c:v>6.56</c:v>
                </c:pt>
                <c:pt idx="333">
                  <c:v>6.66</c:v>
                </c:pt>
                <c:pt idx="334">
                  <c:v>6.68</c:v>
                </c:pt>
                <c:pt idx="335">
                  <c:v>6.74</c:v>
                </c:pt>
                <c:pt idx="336">
                  <c:v>6.82</c:v>
                </c:pt>
                <c:pt idx="337">
                  <c:v>6.86</c:v>
                </c:pt>
                <c:pt idx="338">
                  <c:v>6.83</c:v>
                </c:pt>
                <c:pt idx="339">
                  <c:v>6.78</c:v>
                </c:pt>
                <c:pt idx="340">
                  <c:v>6.75</c:v>
                </c:pt>
                <c:pt idx="341">
                  <c:v>6.75</c:v>
                </c:pt>
                <c:pt idx="342">
                  <c:v>6.81</c:v>
                </c:pt>
                <c:pt idx="343">
                  <c:v>6.95</c:v>
                </c:pt>
                <c:pt idx="344">
                  <c:v>7</c:v>
                </c:pt>
                <c:pt idx="345">
                  <c:v>6.99</c:v>
                </c:pt>
                <c:pt idx="346">
                  <c:v>7.01</c:v>
                </c:pt>
                <c:pt idx="347">
                  <c:v>7.03</c:v>
                </c:pt>
                <c:pt idx="348">
                  <c:v>7.05</c:v>
                </c:pt>
                <c:pt idx="349">
                  <c:v>7.01</c:v>
                </c:pt>
                <c:pt idx="350">
                  <c:v>7.01</c:v>
                </c:pt>
                <c:pt idx="351">
                  <c:v>7.05</c:v>
                </c:pt>
                <c:pt idx="352">
                  <c:v>7.1</c:v>
                </c:pt>
                <c:pt idx="353">
                  <c:v>7.16</c:v>
                </c:pt>
                <c:pt idx="354">
                  <c:v>7.25</c:v>
                </c:pt>
                <c:pt idx="355">
                  <c:v>7.22</c:v>
                </c:pt>
                <c:pt idx="356">
                  <c:v>7.27</c:v>
                </c:pt>
                <c:pt idx="357">
                  <c:v>7.3</c:v>
                </c:pt>
                <c:pt idx="358">
                  <c:v>7.29</c:v>
                </c:pt>
                <c:pt idx="359">
                  <c:v>7.2</c:v>
                </c:pt>
                <c:pt idx="360">
                  <c:v>7.22</c:v>
                </c:pt>
                <c:pt idx="361">
                  <c:v>7.23</c:v>
                </c:pt>
                <c:pt idx="362">
                  <c:v>7.21</c:v>
                </c:pt>
                <c:pt idx="363">
                  <c:v>7.05</c:v>
                </c:pt>
                <c:pt idx="364">
                  <c:v>7.11</c:v>
                </c:pt>
                <c:pt idx="365">
                  <c:v>7.21</c:v>
                </c:pt>
                <c:pt idx="366">
                  <c:v>7.3</c:v>
                </c:pt>
                <c:pt idx="367">
                  <c:v>7.27</c:v>
                </c:pt>
                <c:pt idx="368">
                  <c:v>7.28</c:v>
                </c:pt>
                <c:pt idx="369">
                  <c:v>7.23</c:v>
                </c:pt>
                <c:pt idx="370">
                  <c:v>7.12</c:v>
                </c:pt>
                <c:pt idx="371">
                  <c:v>7.14</c:v>
                </c:pt>
                <c:pt idx="372">
                  <c:v>7.15</c:v>
                </c:pt>
                <c:pt idx="373">
                  <c:v>7.19</c:v>
                </c:pt>
                <c:pt idx="374">
                  <c:v>7.19</c:v>
                </c:pt>
                <c:pt idx="375">
                  <c:v>7.27</c:v>
                </c:pt>
                <c:pt idx="376">
                  <c:v>7.28</c:v>
                </c:pt>
                <c:pt idx="377">
                  <c:v>7.17</c:v>
                </c:pt>
                <c:pt idx="378">
                  <c:v>7.12</c:v>
                </c:pt>
                <c:pt idx="379">
                  <c:v>7.04</c:v>
                </c:pt>
                <c:pt idx="380">
                  <c:v>7.05</c:v>
                </c:pt>
                <c:pt idx="381">
                  <c:v>7.14</c:v>
                </c:pt>
                <c:pt idx="382">
                  <c:v>7.17</c:v>
                </c:pt>
                <c:pt idx="383">
                  <c:v>7.18</c:v>
                </c:pt>
                <c:pt idx="384">
                  <c:v>7.11</c:v>
                </c:pt>
                <c:pt idx="385">
                  <c:v>7.08</c:v>
                </c:pt>
                <c:pt idx="386">
                  <c:v>7.12</c:v>
                </c:pt>
                <c:pt idx="387">
                  <c:v>7.18</c:v>
                </c:pt>
                <c:pt idx="388">
                  <c:v>7.24</c:v>
                </c:pt>
                <c:pt idx="389">
                  <c:v>7.3</c:v>
                </c:pt>
                <c:pt idx="390">
                  <c:v>7.3</c:v>
                </c:pt>
                <c:pt idx="391">
                  <c:v>7.36</c:v>
                </c:pt>
                <c:pt idx="392">
                  <c:v>7.34</c:v>
                </c:pt>
                <c:pt idx="393">
                  <c:v>7.33</c:v>
                </c:pt>
                <c:pt idx="394">
                  <c:v>7.34</c:v>
                </c:pt>
                <c:pt idx="395">
                  <c:v>7.36</c:v>
                </c:pt>
                <c:pt idx="396">
                  <c:v>7.36</c:v>
                </c:pt>
                <c:pt idx="397">
                  <c:v>7.26</c:v>
                </c:pt>
                <c:pt idx="398">
                  <c:v>7.25</c:v>
                </c:pt>
                <c:pt idx="399">
                  <c:v>7.25</c:v>
                </c:pt>
                <c:pt idx="400">
                  <c:v>7.22</c:v>
                </c:pt>
                <c:pt idx="401">
                  <c:v>7.19</c:v>
                </c:pt>
                <c:pt idx="402">
                  <c:v>7.13</c:v>
                </c:pt>
                <c:pt idx="403">
                  <c:v>7.11</c:v>
                </c:pt>
                <c:pt idx="404">
                  <c:v>7.2</c:v>
                </c:pt>
                <c:pt idx="405">
                  <c:v>7.21</c:v>
                </c:pt>
                <c:pt idx="406">
                  <c:v>7.22</c:v>
                </c:pt>
                <c:pt idx="407">
                  <c:v>7.41</c:v>
                </c:pt>
                <c:pt idx="408">
                  <c:v>7.58</c:v>
                </c:pt>
                <c:pt idx="409">
                  <c:v>7.53</c:v>
                </c:pt>
                <c:pt idx="410">
                  <c:v>7.51</c:v>
                </c:pt>
                <c:pt idx="411">
                  <c:v>7.55</c:v>
                </c:pt>
                <c:pt idx="412">
                  <c:v>7.66</c:v>
                </c:pt>
                <c:pt idx="413">
                  <c:v>7.66</c:v>
                </c:pt>
                <c:pt idx="414">
                  <c:v>7.69</c:v>
                </c:pt>
                <c:pt idx="415">
                  <c:v>7.75</c:v>
                </c:pt>
                <c:pt idx="416">
                  <c:v>7.82</c:v>
                </c:pt>
                <c:pt idx="417">
                  <c:v>7.53</c:v>
                </c:pt>
                <c:pt idx="418">
                  <c:v>7.67</c:v>
                </c:pt>
                <c:pt idx="419">
                  <c:v>7.72</c:v>
                </c:pt>
                <c:pt idx="420">
                  <c:v>7.69</c:v>
                </c:pt>
                <c:pt idx="421">
                  <c:v>7.54</c:v>
                </c:pt>
                <c:pt idx="422">
                  <c:v>7.67</c:v>
                </c:pt>
                <c:pt idx="423">
                  <c:v>7.76</c:v>
                </c:pt>
                <c:pt idx="424">
                  <c:v>7.64</c:v>
                </c:pt>
                <c:pt idx="425">
                  <c:v>7.61</c:v>
                </c:pt>
                <c:pt idx="426">
                  <c:v>7.62</c:v>
                </c:pt>
                <c:pt idx="427">
                  <c:v>7.6</c:v>
                </c:pt>
                <c:pt idx="428">
                  <c:v>7.6</c:v>
                </c:pt>
                <c:pt idx="429">
                  <c:v>7.56</c:v>
                </c:pt>
                <c:pt idx="430">
                  <c:v>7.61</c:v>
                </c:pt>
                <c:pt idx="431">
                  <c:v>7.62</c:v>
                </c:pt>
                <c:pt idx="432">
                  <c:v>7.6</c:v>
                </c:pt>
                <c:pt idx="433">
                  <c:v>7.53</c:v>
                </c:pt>
                <c:pt idx="434">
                  <c:v>7.51</c:v>
                </c:pt>
                <c:pt idx="435">
                  <c:v>7.58</c:v>
                </c:pt>
                <c:pt idx="436">
                  <c:v>7.66</c:v>
                </c:pt>
                <c:pt idx="437">
                  <c:v>7.68</c:v>
                </c:pt>
                <c:pt idx="438">
                  <c:v>7.72</c:v>
                </c:pt>
                <c:pt idx="439">
                  <c:v>7.77</c:v>
                </c:pt>
                <c:pt idx="440">
                  <c:v>7.83</c:v>
                </c:pt>
                <c:pt idx="441">
                  <c:v>7.85</c:v>
                </c:pt>
                <c:pt idx="442">
                  <c:v>7.8</c:v>
                </c:pt>
                <c:pt idx="443">
                  <c:v>7.86</c:v>
                </c:pt>
                <c:pt idx="444">
                  <c:v>7.85</c:v>
                </c:pt>
                <c:pt idx="445">
                  <c:v>7.83</c:v>
                </c:pt>
                <c:pt idx="446">
                  <c:v>7.85</c:v>
                </c:pt>
                <c:pt idx="447">
                  <c:v>7.87</c:v>
                </c:pt>
                <c:pt idx="448">
                  <c:v>7.88</c:v>
                </c:pt>
                <c:pt idx="449">
                  <c:v>7.87</c:v>
                </c:pt>
                <c:pt idx="450">
                  <c:v>7.82</c:v>
                </c:pt>
                <c:pt idx="451">
                  <c:v>7.86</c:v>
                </c:pt>
                <c:pt idx="452">
                  <c:v>7.92</c:v>
                </c:pt>
                <c:pt idx="453">
                  <c:v>7.95</c:v>
                </c:pt>
                <c:pt idx="454">
                  <c:v>7.92</c:v>
                </c:pt>
                <c:pt idx="455">
                  <c:v>8.0399999999999991</c:v>
                </c:pt>
                <c:pt idx="456">
                  <c:v>8.09</c:v>
                </c:pt>
                <c:pt idx="457">
                  <c:v>8.08</c:v>
                </c:pt>
                <c:pt idx="458">
                  <c:v>8.0500000000000007</c:v>
                </c:pt>
                <c:pt idx="459">
                  <c:v>8.07</c:v>
                </c:pt>
                <c:pt idx="460">
                  <c:v>8.08</c:v>
                </c:pt>
                <c:pt idx="461">
                  <c:v>8.16</c:v>
                </c:pt>
                <c:pt idx="462">
                  <c:v>8.16</c:v>
                </c:pt>
                <c:pt idx="463">
                  <c:v>8.1199999999999992</c:v>
                </c:pt>
                <c:pt idx="464">
                  <c:v>8.0500000000000007</c:v>
                </c:pt>
                <c:pt idx="465">
                  <c:v>8.01</c:v>
                </c:pt>
                <c:pt idx="466">
                  <c:v>8.0399999999999991</c:v>
                </c:pt>
                <c:pt idx="467">
                  <c:v>8.06</c:v>
                </c:pt>
                <c:pt idx="468">
                  <c:v>8.06</c:v>
                </c:pt>
                <c:pt idx="469">
                  <c:v>8.11</c:v>
                </c:pt>
                <c:pt idx="470">
                  <c:v>8.1</c:v>
                </c:pt>
                <c:pt idx="471">
                  <c:v>8.08</c:v>
                </c:pt>
                <c:pt idx="472">
                  <c:v>8</c:v>
                </c:pt>
                <c:pt idx="473">
                  <c:v>8.01</c:v>
                </c:pt>
                <c:pt idx="474">
                  <c:v>8.11</c:v>
                </c:pt>
                <c:pt idx="475">
                  <c:v>8.1199999999999992</c:v>
                </c:pt>
                <c:pt idx="476">
                  <c:v>8.16</c:v>
                </c:pt>
                <c:pt idx="477">
                  <c:v>8.17</c:v>
                </c:pt>
                <c:pt idx="478">
                  <c:v>8.16</c:v>
                </c:pt>
                <c:pt idx="479">
                  <c:v>8.1999999999999993</c:v>
                </c:pt>
                <c:pt idx="480">
                  <c:v>8.18</c:v>
                </c:pt>
                <c:pt idx="481">
                  <c:v>8.15</c:v>
                </c:pt>
                <c:pt idx="482">
                  <c:v>8.1199999999999992</c:v>
                </c:pt>
                <c:pt idx="483">
                  <c:v>8.1</c:v>
                </c:pt>
                <c:pt idx="484">
                  <c:v>7.99</c:v>
                </c:pt>
                <c:pt idx="485">
                  <c:v>8.06</c:v>
                </c:pt>
                <c:pt idx="486">
                  <c:v>8.11</c:v>
                </c:pt>
                <c:pt idx="487">
                  <c:v>8.17</c:v>
                </c:pt>
                <c:pt idx="488">
                  <c:v>8.11</c:v>
                </c:pt>
                <c:pt idx="489">
                  <c:v>8.11</c:v>
                </c:pt>
                <c:pt idx="490">
                  <c:v>8.0500000000000007</c:v>
                </c:pt>
                <c:pt idx="491">
                  <c:v>7.99</c:v>
                </c:pt>
                <c:pt idx="492">
                  <c:v>8</c:v>
                </c:pt>
                <c:pt idx="493">
                  <c:v>7.96</c:v>
                </c:pt>
                <c:pt idx="494">
                  <c:v>8.06</c:v>
                </c:pt>
                <c:pt idx="495">
                  <c:v>8.0500000000000007</c:v>
                </c:pt>
                <c:pt idx="496">
                  <c:v>8.0299999999999994</c:v>
                </c:pt>
                <c:pt idx="497">
                  <c:v>8.01</c:v>
                </c:pt>
                <c:pt idx="498">
                  <c:v>8.0399999999999991</c:v>
                </c:pt>
                <c:pt idx="499">
                  <c:v>8</c:v>
                </c:pt>
                <c:pt idx="500">
                  <c:v>8.06</c:v>
                </c:pt>
                <c:pt idx="501">
                  <c:v>8.08</c:v>
                </c:pt>
                <c:pt idx="502">
                  <c:v>8.07</c:v>
                </c:pt>
                <c:pt idx="503">
                  <c:v>8.1300000000000008</c:v>
                </c:pt>
                <c:pt idx="504">
                  <c:v>8.1</c:v>
                </c:pt>
                <c:pt idx="505">
                  <c:v>8.0399999999999991</c:v>
                </c:pt>
                <c:pt idx="506">
                  <c:v>8.09</c:v>
                </c:pt>
                <c:pt idx="507">
                  <c:v>8.16</c:v>
                </c:pt>
                <c:pt idx="508">
                  <c:v>8.11</c:v>
                </c:pt>
                <c:pt idx="509">
                  <c:v>8.06</c:v>
                </c:pt>
                <c:pt idx="510">
                  <c:v>8.15</c:v>
                </c:pt>
                <c:pt idx="511">
                  <c:v>8.11</c:v>
                </c:pt>
                <c:pt idx="512">
                  <c:v>8.11</c:v>
                </c:pt>
                <c:pt idx="513">
                  <c:v>8.14</c:v>
                </c:pt>
                <c:pt idx="514">
                  <c:v>8.15</c:v>
                </c:pt>
                <c:pt idx="515">
                  <c:v>8.14</c:v>
                </c:pt>
                <c:pt idx="516">
                  <c:v>8.15</c:v>
                </c:pt>
                <c:pt idx="517">
                  <c:v>8.24</c:v>
                </c:pt>
                <c:pt idx="518">
                  <c:v>8.4</c:v>
                </c:pt>
                <c:pt idx="519">
                  <c:v>8.5500000000000007</c:v>
                </c:pt>
                <c:pt idx="520">
                  <c:v>8.75</c:v>
                </c:pt>
                <c:pt idx="521">
                  <c:v>8.7899999999999991</c:v>
                </c:pt>
                <c:pt idx="522">
                  <c:v>8.85</c:v>
                </c:pt>
                <c:pt idx="523">
                  <c:v>8.8000000000000007</c:v>
                </c:pt>
                <c:pt idx="524">
                  <c:v>8.89</c:v>
                </c:pt>
                <c:pt idx="525">
                  <c:v>8.9499999999999993</c:v>
                </c:pt>
                <c:pt idx="526">
                  <c:v>9</c:v>
                </c:pt>
                <c:pt idx="527">
                  <c:v>9.01</c:v>
                </c:pt>
                <c:pt idx="528">
                  <c:v>9.02</c:v>
                </c:pt>
                <c:pt idx="529">
                  <c:v>8.98</c:v>
                </c:pt>
                <c:pt idx="530">
                  <c:v>9.02</c:v>
                </c:pt>
                <c:pt idx="531">
                  <c:v>9.0299999999999994</c:v>
                </c:pt>
                <c:pt idx="532">
                  <c:v>8.7899999999999991</c:v>
                </c:pt>
                <c:pt idx="533">
                  <c:v>8.8000000000000007</c:v>
                </c:pt>
                <c:pt idx="534">
                  <c:v>8.76</c:v>
                </c:pt>
                <c:pt idx="535">
                  <c:v>8.75</c:v>
                </c:pt>
                <c:pt idx="536">
                  <c:v>8.75</c:v>
                </c:pt>
                <c:pt idx="537">
                  <c:v>8.75</c:v>
                </c:pt>
                <c:pt idx="538">
                  <c:v>8.77</c:v>
                </c:pt>
                <c:pt idx="539">
                  <c:v>8.8000000000000007</c:v>
                </c:pt>
                <c:pt idx="540">
                  <c:v>8.8000000000000007</c:v>
                </c:pt>
                <c:pt idx="541">
                  <c:v>8.82</c:v>
                </c:pt>
                <c:pt idx="542">
                  <c:v>8.86</c:v>
                </c:pt>
                <c:pt idx="543">
                  <c:v>8.92</c:v>
                </c:pt>
                <c:pt idx="544">
                  <c:v>8.99</c:v>
                </c:pt>
                <c:pt idx="545">
                  <c:v>8.9600000000000009</c:v>
                </c:pt>
                <c:pt idx="546">
                  <c:v>8.83</c:v>
                </c:pt>
                <c:pt idx="547">
                  <c:v>8.75</c:v>
                </c:pt>
                <c:pt idx="548">
                  <c:v>8.7200000000000006</c:v>
                </c:pt>
                <c:pt idx="549">
                  <c:v>8.7899999999999991</c:v>
                </c:pt>
                <c:pt idx="550">
                  <c:v>8.75</c:v>
                </c:pt>
                <c:pt idx="551">
                  <c:v>8.6</c:v>
                </c:pt>
                <c:pt idx="552">
                  <c:v>8.73</c:v>
                </c:pt>
                <c:pt idx="553">
                  <c:v>8.83</c:v>
                </c:pt>
                <c:pt idx="554">
                  <c:v>8.83</c:v>
                </c:pt>
                <c:pt idx="555">
                  <c:v>8.86</c:v>
                </c:pt>
                <c:pt idx="556">
                  <c:v>8.75</c:v>
                </c:pt>
                <c:pt idx="557">
                  <c:v>8.6</c:v>
                </c:pt>
                <c:pt idx="558">
                  <c:v>8.4600000000000009</c:v>
                </c:pt>
                <c:pt idx="559">
                  <c:v>8.1999999999999993</c:v>
                </c:pt>
                <c:pt idx="560">
                  <c:v>8.36</c:v>
                </c:pt>
                <c:pt idx="561">
                  <c:v>8.57</c:v>
                </c:pt>
                <c:pt idx="562">
                  <c:v>8.65</c:v>
                </c:pt>
                <c:pt idx="563">
                  <c:v>8.8699999999999992</c:v>
                </c:pt>
                <c:pt idx="564">
                  <c:v>8.86</c:v>
                </c:pt>
                <c:pt idx="565">
                  <c:v>8.8699999999999992</c:v>
                </c:pt>
                <c:pt idx="566">
                  <c:v>8.8800000000000008</c:v>
                </c:pt>
                <c:pt idx="567">
                  <c:v>8.9700000000000006</c:v>
                </c:pt>
                <c:pt idx="568">
                  <c:v>9.01</c:v>
                </c:pt>
                <c:pt idx="569">
                  <c:v>9.07</c:v>
                </c:pt>
                <c:pt idx="570">
                  <c:v>9.02</c:v>
                </c:pt>
                <c:pt idx="571">
                  <c:v>9.02</c:v>
                </c:pt>
                <c:pt idx="572">
                  <c:v>9.17</c:v>
                </c:pt>
                <c:pt idx="573">
                  <c:v>9.11</c:v>
                </c:pt>
                <c:pt idx="574">
                  <c:v>9.1</c:v>
                </c:pt>
                <c:pt idx="575">
                  <c:v>9.18</c:v>
                </c:pt>
                <c:pt idx="576">
                  <c:v>9.4</c:v>
                </c:pt>
                <c:pt idx="577">
                  <c:v>9.42</c:v>
                </c:pt>
                <c:pt idx="578">
                  <c:v>9.51</c:v>
                </c:pt>
                <c:pt idx="579">
                  <c:v>9.49</c:v>
                </c:pt>
                <c:pt idx="580">
                  <c:v>9.56</c:v>
                </c:pt>
                <c:pt idx="581">
                  <c:v>9.11</c:v>
                </c:pt>
                <c:pt idx="582">
                  <c:v>9.1</c:v>
                </c:pt>
                <c:pt idx="583">
                  <c:v>9.25</c:v>
                </c:pt>
                <c:pt idx="584">
                  <c:v>9.4600000000000009</c:v>
                </c:pt>
                <c:pt idx="585">
                  <c:v>9.49</c:v>
                </c:pt>
                <c:pt idx="586">
                  <c:v>9.57</c:v>
                </c:pt>
                <c:pt idx="587">
                  <c:v>9.5299999999999994</c:v>
                </c:pt>
                <c:pt idx="588">
                  <c:v>9.5299999999999994</c:v>
                </c:pt>
                <c:pt idx="589">
                  <c:v>9.41</c:v>
                </c:pt>
                <c:pt idx="590">
                  <c:v>9.5500000000000007</c:v>
                </c:pt>
                <c:pt idx="591">
                  <c:v>9.61</c:v>
                </c:pt>
                <c:pt idx="592">
                  <c:v>9.7200000000000006</c:v>
                </c:pt>
                <c:pt idx="593">
                  <c:v>9.84</c:v>
                </c:pt>
                <c:pt idx="594">
                  <c:v>9.69</c:v>
                </c:pt>
                <c:pt idx="595">
                  <c:v>9.67</c:v>
                </c:pt>
                <c:pt idx="596">
                  <c:v>9.6999999999999993</c:v>
                </c:pt>
                <c:pt idx="597">
                  <c:v>9.26</c:v>
                </c:pt>
                <c:pt idx="598">
                  <c:v>9.23</c:v>
                </c:pt>
                <c:pt idx="599">
                  <c:v>9.5</c:v>
                </c:pt>
                <c:pt idx="600">
                  <c:v>9.3800000000000008</c:v>
                </c:pt>
                <c:pt idx="601">
                  <c:v>9.23</c:v>
                </c:pt>
                <c:pt idx="602">
                  <c:v>9.31</c:v>
                </c:pt>
                <c:pt idx="603">
                  <c:v>9.2899999999999991</c:v>
                </c:pt>
                <c:pt idx="604">
                  <c:v>9.26</c:v>
                </c:pt>
                <c:pt idx="605">
                  <c:v>9.2899999999999991</c:v>
                </c:pt>
                <c:pt idx="606">
                  <c:v>9.4499999999999993</c:v>
                </c:pt>
                <c:pt idx="607">
                  <c:v>9.59</c:v>
                </c:pt>
                <c:pt idx="608">
                  <c:v>9.69</c:v>
                </c:pt>
                <c:pt idx="609">
                  <c:v>9.66</c:v>
                </c:pt>
                <c:pt idx="610">
                  <c:v>9.61</c:v>
                </c:pt>
                <c:pt idx="611">
                  <c:v>9.52</c:v>
                </c:pt>
                <c:pt idx="612">
                  <c:v>9.5299999999999994</c:v>
                </c:pt>
                <c:pt idx="613">
                  <c:v>9.64</c:v>
                </c:pt>
                <c:pt idx="614">
                  <c:v>9.68</c:v>
                </c:pt>
                <c:pt idx="615">
                  <c:v>9.61</c:v>
                </c:pt>
                <c:pt idx="616">
                  <c:v>9.68</c:v>
                </c:pt>
                <c:pt idx="617">
                  <c:v>9.6999999999999993</c:v>
                </c:pt>
                <c:pt idx="618">
                  <c:v>9.66</c:v>
                </c:pt>
                <c:pt idx="619">
                  <c:v>9.5500000000000007</c:v>
                </c:pt>
                <c:pt idx="620">
                  <c:v>9.5399999999999991</c:v>
                </c:pt>
                <c:pt idx="621">
                  <c:v>9.41</c:v>
                </c:pt>
                <c:pt idx="622">
                  <c:v>9.51</c:v>
                </c:pt>
                <c:pt idx="623">
                  <c:v>9.74</c:v>
                </c:pt>
                <c:pt idx="624">
                  <c:v>9.7200000000000006</c:v>
                </c:pt>
                <c:pt idx="625">
                  <c:v>9.85</c:v>
                </c:pt>
                <c:pt idx="626">
                  <c:v>9.8800000000000008</c:v>
                </c:pt>
                <c:pt idx="627">
                  <c:v>9.94</c:v>
                </c:pt>
                <c:pt idx="628">
                  <c:v>10.119999999999999</c:v>
                </c:pt>
                <c:pt idx="629">
                  <c:v>9.7899999999999991</c:v>
                </c:pt>
                <c:pt idx="630">
                  <c:v>9.85</c:v>
                </c:pt>
                <c:pt idx="631">
                  <c:v>10.17</c:v>
                </c:pt>
                <c:pt idx="632">
                  <c:v>10.23</c:v>
                </c:pt>
                <c:pt idx="633">
                  <c:v>10.119999999999999</c:v>
                </c:pt>
                <c:pt idx="634">
                  <c:v>10.119999999999999</c:v>
                </c:pt>
                <c:pt idx="635">
                  <c:v>10.37</c:v>
                </c:pt>
                <c:pt idx="636">
                  <c:v>10.37</c:v>
                </c:pt>
                <c:pt idx="637">
                  <c:v>10.37</c:v>
                </c:pt>
                <c:pt idx="638">
                  <c:v>10.11</c:v>
                </c:pt>
                <c:pt idx="639">
                  <c:v>10.16</c:v>
                </c:pt>
                <c:pt idx="640">
                  <c:v>10.18</c:v>
                </c:pt>
                <c:pt idx="641">
                  <c:v>10.25</c:v>
                </c:pt>
                <c:pt idx="642">
                  <c:v>10.28</c:v>
                </c:pt>
                <c:pt idx="643">
                  <c:v>10.23</c:v>
                </c:pt>
                <c:pt idx="644">
                  <c:v>10.18</c:v>
                </c:pt>
                <c:pt idx="645">
                  <c:v>10.119999999999999</c:v>
                </c:pt>
                <c:pt idx="646">
                  <c:v>10.17</c:v>
                </c:pt>
                <c:pt idx="647">
                  <c:v>10.15</c:v>
                </c:pt>
                <c:pt idx="648">
                  <c:v>9.9700000000000006</c:v>
                </c:pt>
                <c:pt idx="649">
                  <c:v>10.119999999999999</c:v>
                </c:pt>
                <c:pt idx="650">
                  <c:v>10.14</c:v>
                </c:pt>
                <c:pt idx="651">
                  <c:v>10.119999999999999</c:v>
                </c:pt>
                <c:pt idx="652">
                  <c:v>10.199999999999999</c:v>
                </c:pt>
                <c:pt idx="653">
                  <c:v>10.07</c:v>
                </c:pt>
                <c:pt idx="654">
                  <c:v>10.18</c:v>
                </c:pt>
                <c:pt idx="655">
                  <c:v>10.16</c:v>
                </c:pt>
                <c:pt idx="656">
                  <c:v>10.220000000000001</c:v>
                </c:pt>
                <c:pt idx="657">
                  <c:v>8.66</c:v>
                </c:pt>
                <c:pt idx="658">
                  <c:v>7.5</c:v>
                </c:pt>
                <c:pt idx="659">
                  <c:v>8.11</c:v>
                </c:pt>
                <c:pt idx="660">
                  <c:v>8.59</c:v>
                </c:pt>
                <c:pt idx="661">
                  <c:v>8.6300000000000008</c:v>
                </c:pt>
                <c:pt idx="662">
                  <c:v>8.4</c:v>
                </c:pt>
                <c:pt idx="663">
                  <c:v>9.06</c:v>
                </c:pt>
                <c:pt idx="664">
                  <c:v>9.25</c:v>
                </c:pt>
                <c:pt idx="665">
                  <c:v>9.25</c:v>
                </c:pt>
                <c:pt idx="666">
                  <c:v>9.26</c:v>
                </c:pt>
                <c:pt idx="667">
                  <c:v>8.9499999999999993</c:v>
                </c:pt>
                <c:pt idx="668">
                  <c:v>9.2200000000000006</c:v>
                </c:pt>
                <c:pt idx="669">
                  <c:v>9.1999999999999993</c:v>
                </c:pt>
                <c:pt idx="670">
                  <c:v>9.2899999999999991</c:v>
                </c:pt>
                <c:pt idx="671">
                  <c:v>9.26</c:v>
                </c:pt>
                <c:pt idx="672">
                  <c:v>9.27</c:v>
                </c:pt>
                <c:pt idx="673">
                  <c:v>9.31</c:v>
                </c:pt>
                <c:pt idx="674">
                  <c:v>9.26</c:v>
                </c:pt>
                <c:pt idx="675">
                  <c:v>9.2100000000000009</c:v>
                </c:pt>
                <c:pt idx="676">
                  <c:v>9.2899999999999991</c:v>
                </c:pt>
                <c:pt idx="677">
                  <c:v>9.35</c:v>
                </c:pt>
                <c:pt idx="678">
                  <c:v>9.52</c:v>
                </c:pt>
                <c:pt idx="679">
                  <c:v>9.4700000000000006</c:v>
                </c:pt>
                <c:pt idx="680">
                  <c:v>9.4499999999999993</c:v>
                </c:pt>
                <c:pt idx="681">
                  <c:v>9.43</c:v>
                </c:pt>
                <c:pt idx="682">
                  <c:v>9.64</c:v>
                </c:pt>
                <c:pt idx="683">
                  <c:v>9.69</c:v>
                </c:pt>
                <c:pt idx="684">
                  <c:v>9.83</c:v>
                </c:pt>
                <c:pt idx="685">
                  <c:v>9.85</c:v>
                </c:pt>
                <c:pt idx="686">
                  <c:v>9.89</c:v>
                </c:pt>
                <c:pt idx="687">
                  <c:v>9.91</c:v>
                </c:pt>
                <c:pt idx="688">
                  <c:v>9.92</c:v>
                </c:pt>
                <c:pt idx="689">
                  <c:v>9.9600000000000009</c:v>
                </c:pt>
                <c:pt idx="690">
                  <c:v>9.93</c:v>
                </c:pt>
                <c:pt idx="691">
                  <c:v>9.85</c:v>
                </c:pt>
                <c:pt idx="692">
                  <c:v>9.91</c:v>
                </c:pt>
                <c:pt idx="693">
                  <c:v>9.86</c:v>
                </c:pt>
                <c:pt idx="694">
                  <c:v>9.8000000000000007</c:v>
                </c:pt>
                <c:pt idx="695">
                  <c:v>9.7200000000000006</c:v>
                </c:pt>
                <c:pt idx="696">
                  <c:v>9.74</c:v>
                </c:pt>
                <c:pt idx="697">
                  <c:v>9.7899999999999991</c:v>
                </c:pt>
                <c:pt idx="698">
                  <c:v>9.7799999999999994</c:v>
                </c:pt>
                <c:pt idx="699">
                  <c:v>9.73</c:v>
                </c:pt>
                <c:pt idx="700">
                  <c:v>9.69</c:v>
                </c:pt>
                <c:pt idx="701">
                  <c:v>9.61</c:v>
                </c:pt>
                <c:pt idx="702">
                  <c:v>9.7100000000000009</c:v>
                </c:pt>
                <c:pt idx="703">
                  <c:v>9.69</c:v>
                </c:pt>
                <c:pt idx="704">
                  <c:v>9.69</c:v>
                </c:pt>
                <c:pt idx="705">
                  <c:v>9.6999999999999993</c:v>
                </c:pt>
                <c:pt idx="706">
                  <c:v>9.77</c:v>
                </c:pt>
                <c:pt idx="707">
                  <c:v>9.73</c:v>
                </c:pt>
                <c:pt idx="708">
                  <c:v>9.73</c:v>
                </c:pt>
                <c:pt idx="709">
                  <c:v>9.8000000000000007</c:v>
                </c:pt>
                <c:pt idx="710">
                  <c:v>9.7100000000000009</c:v>
                </c:pt>
                <c:pt idx="711">
                  <c:v>9.68</c:v>
                </c:pt>
                <c:pt idx="712">
                  <c:v>9.43</c:v>
                </c:pt>
                <c:pt idx="713">
                  <c:v>9.48</c:v>
                </c:pt>
                <c:pt idx="714">
                  <c:v>9.51</c:v>
                </c:pt>
                <c:pt idx="715">
                  <c:v>9.65</c:v>
                </c:pt>
                <c:pt idx="716">
                  <c:v>9.6199999999999992</c:v>
                </c:pt>
                <c:pt idx="717">
                  <c:v>9.5299999999999994</c:v>
                </c:pt>
                <c:pt idx="718">
                  <c:v>9.41</c:v>
                </c:pt>
                <c:pt idx="719">
                  <c:v>9.17</c:v>
                </c:pt>
                <c:pt idx="720">
                  <c:v>9.02</c:v>
                </c:pt>
                <c:pt idx="721">
                  <c:v>9.02</c:v>
                </c:pt>
                <c:pt idx="722">
                  <c:v>8.8699999999999992</c:v>
                </c:pt>
                <c:pt idx="723">
                  <c:v>8.99</c:v>
                </c:pt>
                <c:pt idx="724">
                  <c:v>9.2200000000000006</c:v>
                </c:pt>
                <c:pt idx="725">
                  <c:v>9.24</c:v>
                </c:pt>
                <c:pt idx="726">
                  <c:v>9.27</c:v>
                </c:pt>
                <c:pt idx="727">
                  <c:v>9.25</c:v>
                </c:pt>
                <c:pt idx="728">
                  <c:v>9.34</c:v>
                </c:pt>
                <c:pt idx="729">
                  <c:v>9.3000000000000007</c:v>
                </c:pt>
                <c:pt idx="730">
                  <c:v>9.42</c:v>
                </c:pt>
                <c:pt idx="731">
                  <c:v>9.42</c:v>
                </c:pt>
                <c:pt idx="732">
                  <c:v>9.5399999999999991</c:v>
                </c:pt>
                <c:pt idx="733">
                  <c:v>9.65</c:v>
                </c:pt>
                <c:pt idx="734">
                  <c:v>9.66</c:v>
                </c:pt>
                <c:pt idx="735">
                  <c:v>9.4700000000000006</c:v>
                </c:pt>
                <c:pt idx="736">
                  <c:v>9.26</c:v>
                </c:pt>
                <c:pt idx="737">
                  <c:v>9.3000000000000007</c:v>
                </c:pt>
                <c:pt idx="738">
                  <c:v>9.32</c:v>
                </c:pt>
                <c:pt idx="739">
                  <c:v>9.35</c:v>
                </c:pt>
                <c:pt idx="740">
                  <c:v>9.33</c:v>
                </c:pt>
                <c:pt idx="741">
                  <c:v>9.3000000000000007</c:v>
                </c:pt>
                <c:pt idx="742">
                  <c:v>9.34</c:v>
                </c:pt>
                <c:pt idx="743">
                  <c:v>9.1300000000000008</c:v>
                </c:pt>
                <c:pt idx="744">
                  <c:v>9.18</c:v>
                </c:pt>
                <c:pt idx="745">
                  <c:v>9.2100000000000009</c:v>
                </c:pt>
                <c:pt idx="746">
                  <c:v>9.24</c:v>
                </c:pt>
                <c:pt idx="747">
                  <c:v>9.25</c:v>
                </c:pt>
                <c:pt idx="748">
                  <c:v>9.48</c:v>
                </c:pt>
                <c:pt idx="749">
                  <c:v>9.56</c:v>
                </c:pt>
                <c:pt idx="750">
                  <c:v>9.49</c:v>
                </c:pt>
                <c:pt idx="751">
                  <c:v>9.4</c:v>
                </c:pt>
                <c:pt idx="752">
                  <c:v>9.26</c:v>
                </c:pt>
                <c:pt idx="753">
                  <c:v>9.2100000000000009</c:v>
                </c:pt>
                <c:pt idx="754">
                  <c:v>9.27</c:v>
                </c:pt>
                <c:pt idx="755">
                  <c:v>9.2100000000000009</c:v>
                </c:pt>
                <c:pt idx="756">
                  <c:v>9.0500000000000007</c:v>
                </c:pt>
                <c:pt idx="757">
                  <c:v>9.23</c:v>
                </c:pt>
                <c:pt idx="758">
                  <c:v>9.26</c:v>
                </c:pt>
                <c:pt idx="759">
                  <c:v>9.2899999999999991</c:v>
                </c:pt>
                <c:pt idx="760">
                  <c:v>9.3800000000000008</c:v>
                </c:pt>
                <c:pt idx="761">
                  <c:v>9.27</c:v>
                </c:pt>
                <c:pt idx="762">
                  <c:v>9.1300000000000008</c:v>
                </c:pt>
                <c:pt idx="763">
                  <c:v>9.02</c:v>
                </c:pt>
                <c:pt idx="764">
                  <c:v>9.0399999999999991</c:v>
                </c:pt>
                <c:pt idx="765">
                  <c:v>9.11</c:v>
                </c:pt>
                <c:pt idx="766">
                  <c:v>9.09</c:v>
                </c:pt>
                <c:pt idx="767">
                  <c:v>9.09</c:v>
                </c:pt>
                <c:pt idx="768">
                  <c:v>9.26</c:v>
                </c:pt>
                <c:pt idx="769">
                  <c:v>9.65</c:v>
                </c:pt>
                <c:pt idx="770">
                  <c:v>9.74</c:v>
                </c:pt>
                <c:pt idx="771">
                  <c:v>9.59</c:v>
                </c:pt>
                <c:pt idx="772">
                  <c:v>9.4</c:v>
                </c:pt>
                <c:pt idx="773">
                  <c:v>9.31</c:v>
                </c:pt>
                <c:pt idx="774">
                  <c:v>8.59</c:v>
                </c:pt>
                <c:pt idx="775">
                  <c:v>9.07</c:v>
                </c:pt>
                <c:pt idx="776">
                  <c:v>9.1199999999999992</c:v>
                </c:pt>
                <c:pt idx="777">
                  <c:v>9.4700000000000006</c:v>
                </c:pt>
                <c:pt idx="778">
                  <c:v>9.74</c:v>
                </c:pt>
                <c:pt idx="779">
                  <c:v>9.68</c:v>
                </c:pt>
                <c:pt idx="780">
                  <c:v>9.42</c:v>
                </c:pt>
                <c:pt idx="781">
                  <c:v>9.33</c:v>
                </c:pt>
                <c:pt idx="782">
                  <c:v>9.32</c:v>
                </c:pt>
                <c:pt idx="783">
                  <c:v>9.26</c:v>
                </c:pt>
                <c:pt idx="784">
                  <c:v>9.24</c:v>
                </c:pt>
                <c:pt idx="785">
                  <c:v>9.2200000000000006</c:v>
                </c:pt>
                <c:pt idx="786">
                  <c:v>9.2100000000000009</c:v>
                </c:pt>
                <c:pt idx="787">
                  <c:v>9.17</c:v>
                </c:pt>
                <c:pt idx="788">
                  <c:v>9.24</c:v>
                </c:pt>
                <c:pt idx="789">
                  <c:v>9.3000000000000007</c:v>
                </c:pt>
                <c:pt idx="790">
                  <c:v>9.4700000000000006</c:v>
                </c:pt>
                <c:pt idx="791">
                  <c:v>9.5</c:v>
                </c:pt>
                <c:pt idx="792">
                  <c:v>9.41</c:v>
                </c:pt>
                <c:pt idx="793">
                  <c:v>9.49</c:v>
                </c:pt>
                <c:pt idx="794">
                  <c:v>9.4600000000000009</c:v>
                </c:pt>
                <c:pt idx="795">
                  <c:v>9.4600000000000009</c:v>
                </c:pt>
                <c:pt idx="796">
                  <c:v>9.2899999999999991</c:v>
                </c:pt>
                <c:pt idx="797">
                  <c:v>9.4</c:v>
                </c:pt>
                <c:pt idx="798">
                  <c:v>9.09</c:v>
                </c:pt>
                <c:pt idx="799">
                  <c:v>9.11</c:v>
                </c:pt>
                <c:pt idx="800">
                  <c:v>9.15</c:v>
                </c:pt>
                <c:pt idx="801">
                  <c:v>9.2899999999999991</c:v>
                </c:pt>
                <c:pt idx="802">
                  <c:v>9.1999999999999993</c:v>
                </c:pt>
                <c:pt idx="803">
                  <c:v>9.4</c:v>
                </c:pt>
                <c:pt idx="804">
                  <c:v>9.41</c:v>
                </c:pt>
                <c:pt idx="805">
                  <c:v>9.42</c:v>
                </c:pt>
                <c:pt idx="806">
                  <c:v>9.31</c:v>
                </c:pt>
                <c:pt idx="807">
                  <c:v>9.36</c:v>
                </c:pt>
                <c:pt idx="808">
                  <c:v>9.3800000000000008</c:v>
                </c:pt>
                <c:pt idx="809">
                  <c:v>9.31</c:v>
                </c:pt>
                <c:pt idx="810">
                  <c:v>9.4</c:v>
                </c:pt>
                <c:pt idx="811">
                  <c:v>9.36</c:v>
                </c:pt>
                <c:pt idx="812">
                  <c:v>9.4</c:v>
                </c:pt>
                <c:pt idx="813">
                  <c:v>9.4600000000000009</c:v>
                </c:pt>
                <c:pt idx="814">
                  <c:v>9.68</c:v>
                </c:pt>
                <c:pt idx="815">
                  <c:v>9.81</c:v>
                </c:pt>
                <c:pt idx="816">
                  <c:v>10</c:v>
                </c:pt>
                <c:pt idx="817">
                  <c:v>9.92</c:v>
                </c:pt>
                <c:pt idx="818">
                  <c:v>9.98</c:v>
                </c:pt>
                <c:pt idx="819">
                  <c:v>10.01</c:v>
                </c:pt>
                <c:pt idx="820">
                  <c:v>10.050000000000001</c:v>
                </c:pt>
                <c:pt idx="821">
                  <c:v>10.07</c:v>
                </c:pt>
                <c:pt idx="822">
                  <c:v>10.029999999999999</c:v>
                </c:pt>
                <c:pt idx="823">
                  <c:v>10.09</c:v>
                </c:pt>
                <c:pt idx="824">
                  <c:v>10.050000000000001</c:v>
                </c:pt>
                <c:pt idx="825">
                  <c:v>10.06</c:v>
                </c:pt>
                <c:pt idx="826">
                  <c:v>10.24</c:v>
                </c:pt>
                <c:pt idx="827">
                  <c:v>10.51</c:v>
                </c:pt>
                <c:pt idx="828">
                  <c:v>10.6</c:v>
                </c:pt>
                <c:pt idx="829">
                  <c:v>10.8</c:v>
                </c:pt>
                <c:pt idx="830">
                  <c:v>10.52</c:v>
                </c:pt>
                <c:pt idx="831">
                  <c:v>10.54</c:v>
                </c:pt>
                <c:pt idx="832">
                  <c:v>10.61</c:v>
                </c:pt>
                <c:pt idx="833">
                  <c:v>10.65</c:v>
                </c:pt>
                <c:pt idx="834">
                  <c:v>10.64</c:v>
                </c:pt>
                <c:pt idx="835">
                  <c:v>10.77</c:v>
                </c:pt>
                <c:pt idx="836">
                  <c:v>10.78</c:v>
                </c:pt>
                <c:pt idx="837">
                  <c:v>10.72</c:v>
                </c:pt>
                <c:pt idx="838">
                  <c:v>10.17</c:v>
                </c:pt>
                <c:pt idx="839">
                  <c:v>10.220000000000001</c:v>
                </c:pt>
                <c:pt idx="840">
                  <c:v>10.28</c:v>
                </c:pt>
                <c:pt idx="841">
                  <c:v>10.27</c:v>
                </c:pt>
                <c:pt idx="842">
                  <c:v>10.27</c:v>
                </c:pt>
                <c:pt idx="843">
                  <c:v>10.28</c:v>
                </c:pt>
                <c:pt idx="844">
                  <c:v>10.09</c:v>
                </c:pt>
                <c:pt idx="845">
                  <c:v>10.39</c:v>
                </c:pt>
                <c:pt idx="846">
                  <c:v>10.37</c:v>
                </c:pt>
                <c:pt idx="847">
                  <c:v>10.24</c:v>
                </c:pt>
                <c:pt idx="848">
                  <c:v>10.11</c:v>
                </c:pt>
                <c:pt idx="849">
                  <c:v>10.26</c:v>
                </c:pt>
                <c:pt idx="850">
                  <c:v>10.29</c:v>
                </c:pt>
                <c:pt idx="851">
                  <c:v>10.16</c:v>
                </c:pt>
                <c:pt idx="852">
                  <c:v>10.119999999999999</c:v>
                </c:pt>
                <c:pt idx="853">
                  <c:v>10.27</c:v>
                </c:pt>
                <c:pt idx="854">
                  <c:v>10.5</c:v>
                </c:pt>
                <c:pt idx="855">
                  <c:v>10.73</c:v>
                </c:pt>
                <c:pt idx="856">
                  <c:v>10.62</c:v>
                </c:pt>
                <c:pt idx="857">
                  <c:v>10.85</c:v>
                </c:pt>
                <c:pt idx="858">
                  <c:v>10.76</c:v>
                </c:pt>
                <c:pt idx="859">
                  <c:v>10.86</c:v>
                </c:pt>
                <c:pt idx="860">
                  <c:v>11.06</c:v>
                </c:pt>
                <c:pt idx="861">
                  <c:v>11</c:v>
                </c:pt>
                <c:pt idx="862">
                  <c:v>11.01</c:v>
                </c:pt>
                <c:pt idx="863">
                  <c:v>10.88</c:v>
                </c:pt>
                <c:pt idx="864">
                  <c:v>10.62</c:v>
                </c:pt>
                <c:pt idx="865">
                  <c:v>10.74</c:v>
                </c:pt>
                <c:pt idx="866">
                  <c:v>10.75</c:v>
                </c:pt>
                <c:pt idx="867">
                  <c:v>10.67</c:v>
                </c:pt>
                <c:pt idx="868">
                  <c:v>10.72</c:v>
                </c:pt>
                <c:pt idx="869">
                  <c:v>10.85</c:v>
                </c:pt>
                <c:pt idx="870">
                  <c:v>10.88</c:v>
                </c:pt>
                <c:pt idx="871">
                  <c:v>10.86</c:v>
                </c:pt>
                <c:pt idx="872">
                  <c:v>10.71</c:v>
                </c:pt>
                <c:pt idx="873">
                  <c:v>10.53</c:v>
                </c:pt>
                <c:pt idx="874">
                  <c:v>10.34</c:v>
                </c:pt>
                <c:pt idx="875">
                  <c:v>10.49</c:v>
                </c:pt>
                <c:pt idx="876">
                  <c:v>10.3</c:v>
                </c:pt>
                <c:pt idx="877">
                  <c:v>10.64</c:v>
                </c:pt>
                <c:pt idx="878">
                  <c:v>10.92</c:v>
                </c:pt>
                <c:pt idx="879">
                  <c:v>11.03</c:v>
                </c:pt>
                <c:pt idx="880">
                  <c:v>11.15</c:v>
                </c:pt>
                <c:pt idx="881">
                  <c:v>10.85</c:v>
                </c:pt>
                <c:pt idx="882">
                  <c:v>11.12</c:v>
                </c:pt>
                <c:pt idx="883">
                  <c:v>11.38</c:v>
                </c:pt>
                <c:pt idx="884">
                  <c:v>11.31</c:v>
                </c:pt>
                <c:pt idx="885">
                  <c:v>11.24</c:v>
                </c:pt>
                <c:pt idx="886">
                  <c:v>11.75</c:v>
                </c:pt>
                <c:pt idx="887">
                  <c:v>11.81</c:v>
                </c:pt>
                <c:pt idx="888">
                  <c:v>11.86</c:v>
                </c:pt>
                <c:pt idx="889">
                  <c:v>11.8</c:v>
                </c:pt>
                <c:pt idx="890">
                  <c:v>11.44</c:v>
                </c:pt>
                <c:pt idx="891">
                  <c:v>10.38</c:v>
                </c:pt>
                <c:pt idx="892">
                  <c:v>10.51</c:v>
                </c:pt>
                <c:pt idx="893">
                  <c:v>10.37</c:v>
                </c:pt>
                <c:pt idx="894">
                  <c:v>10.4</c:v>
                </c:pt>
                <c:pt idx="895">
                  <c:v>10.53</c:v>
                </c:pt>
                <c:pt idx="896">
                  <c:v>10.59</c:v>
                </c:pt>
                <c:pt idx="897">
                  <c:v>10.5</c:v>
                </c:pt>
                <c:pt idx="898">
                  <c:v>10.56</c:v>
                </c:pt>
                <c:pt idx="899">
                  <c:v>10.43</c:v>
                </c:pt>
                <c:pt idx="900">
                  <c:v>10.35</c:v>
                </c:pt>
                <c:pt idx="901">
                  <c:v>10.37</c:v>
                </c:pt>
                <c:pt idx="902">
                  <c:v>10.36</c:v>
                </c:pt>
                <c:pt idx="903">
                  <c:v>10.4</c:v>
                </c:pt>
                <c:pt idx="904">
                  <c:v>10.3</c:v>
                </c:pt>
                <c:pt idx="905">
                  <c:v>10.73</c:v>
                </c:pt>
                <c:pt idx="906">
                  <c:v>10.76</c:v>
                </c:pt>
                <c:pt idx="907">
                  <c:v>10.76</c:v>
                </c:pt>
                <c:pt idx="908">
                  <c:v>10.77</c:v>
                </c:pt>
                <c:pt idx="909">
                  <c:v>10.79</c:v>
                </c:pt>
                <c:pt idx="910">
                  <c:v>10.81</c:v>
                </c:pt>
                <c:pt idx="911">
                  <c:v>10.81</c:v>
                </c:pt>
                <c:pt idx="912">
                  <c:v>10.79</c:v>
                </c:pt>
                <c:pt idx="913">
                  <c:v>10.81</c:v>
                </c:pt>
                <c:pt idx="914">
                  <c:v>10.85</c:v>
                </c:pt>
                <c:pt idx="915">
                  <c:v>10.94</c:v>
                </c:pt>
                <c:pt idx="916">
                  <c:v>10.85</c:v>
                </c:pt>
                <c:pt idx="917">
                  <c:v>10.76</c:v>
                </c:pt>
                <c:pt idx="918">
                  <c:v>10.78</c:v>
                </c:pt>
                <c:pt idx="919">
                  <c:v>10.68</c:v>
                </c:pt>
                <c:pt idx="920">
                  <c:v>10.72</c:v>
                </c:pt>
                <c:pt idx="921">
                  <c:v>10.73</c:v>
                </c:pt>
                <c:pt idx="922">
                  <c:v>10.78</c:v>
                </c:pt>
                <c:pt idx="923">
                  <c:v>10.73</c:v>
                </c:pt>
                <c:pt idx="924">
                  <c:v>10.82</c:v>
                </c:pt>
                <c:pt idx="925">
                  <c:v>10.84</c:v>
                </c:pt>
                <c:pt idx="926">
                  <c:v>10.81</c:v>
                </c:pt>
                <c:pt idx="927">
                  <c:v>10.84</c:v>
                </c:pt>
                <c:pt idx="928">
                  <c:v>10.72</c:v>
                </c:pt>
                <c:pt idx="929">
                  <c:v>10.65</c:v>
                </c:pt>
                <c:pt idx="930">
                  <c:v>10.69</c:v>
                </c:pt>
                <c:pt idx="931">
                  <c:v>10.72</c:v>
                </c:pt>
                <c:pt idx="932">
                  <c:v>10.66</c:v>
                </c:pt>
                <c:pt idx="933">
                  <c:v>10.58</c:v>
                </c:pt>
                <c:pt idx="934">
                  <c:v>10.61</c:v>
                </c:pt>
                <c:pt idx="935">
                  <c:v>10.6</c:v>
                </c:pt>
                <c:pt idx="936">
                  <c:v>10.64</c:v>
                </c:pt>
                <c:pt idx="937">
                  <c:v>10.71</c:v>
                </c:pt>
                <c:pt idx="938">
                  <c:v>10.72</c:v>
                </c:pt>
                <c:pt idx="939">
                  <c:v>10.67</c:v>
                </c:pt>
                <c:pt idx="940">
                  <c:v>10.63</c:v>
                </c:pt>
                <c:pt idx="941">
                  <c:v>10.64</c:v>
                </c:pt>
                <c:pt idx="942">
                  <c:v>10.65</c:v>
                </c:pt>
                <c:pt idx="943">
                  <c:v>10.8</c:v>
                </c:pt>
                <c:pt idx="944">
                  <c:v>10.81</c:v>
                </c:pt>
                <c:pt idx="945">
                  <c:v>10.85</c:v>
                </c:pt>
                <c:pt idx="946">
                  <c:v>10.85</c:v>
                </c:pt>
                <c:pt idx="947">
                  <c:v>10.93</c:v>
                </c:pt>
                <c:pt idx="948">
                  <c:v>10.91</c:v>
                </c:pt>
                <c:pt idx="949">
                  <c:v>10.99</c:v>
                </c:pt>
                <c:pt idx="950">
                  <c:v>11.18</c:v>
                </c:pt>
                <c:pt idx="951">
                  <c:v>11.17</c:v>
                </c:pt>
                <c:pt idx="952">
                  <c:v>11.19</c:v>
                </c:pt>
                <c:pt idx="953">
                  <c:v>11.2</c:v>
                </c:pt>
                <c:pt idx="954">
                  <c:v>11.29</c:v>
                </c:pt>
                <c:pt idx="955">
                  <c:v>11.33</c:v>
                </c:pt>
                <c:pt idx="956">
                  <c:v>11.4</c:v>
                </c:pt>
                <c:pt idx="957">
                  <c:v>11.34</c:v>
                </c:pt>
                <c:pt idx="958">
                  <c:v>11.37</c:v>
                </c:pt>
                <c:pt idx="959">
                  <c:v>10.9</c:v>
                </c:pt>
                <c:pt idx="960">
                  <c:v>11.11</c:v>
                </c:pt>
                <c:pt idx="961">
                  <c:v>11.19</c:v>
                </c:pt>
                <c:pt idx="962">
                  <c:v>11.27</c:v>
                </c:pt>
                <c:pt idx="963">
                  <c:v>11.28</c:v>
                </c:pt>
                <c:pt idx="964">
                  <c:v>11.38</c:v>
                </c:pt>
                <c:pt idx="965">
                  <c:v>11.45</c:v>
                </c:pt>
                <c:pt idx="966">
                  <c:v>11.43</c:v>
                </c:pt>
                <c:pt idx="967">
                  <c:v>11.45</c:v>
                </c:pt>
                <c:pt idx="968">
                  <c:v>11.57</c:v>
                </c:pt>
                <c:pt idx="969">
                  <c:v>11.6</c:v>
                </c:pt>
                <c:pt idx="970">
                  <c:v>11.63</c:v>
                </c:pt>
                <c:pt idx="971">
                  <c:v>11.61</c:v>
                </c:pt>
                <c:pt idx="972">
                  <c:v>11.46</c:v>
                </c:pt>
                <c:pt idx="973">
                  <c:v>11.54</c:v>
                </c:pt>
                <c:pt idx="974">
                  <c:v>11.55</c:v>
                </c:pt>
                <c:pt idx="975">
                  <c:v>11.51</c:v>
                </c:pt>
                <c:pt idx="976">
                  <c:v>11.65</c:v>
                </c:pt>
                <c:pt idx="977">
                  <c:v>11.68</c:v>
                </c:pt>
                <c:pt idx="978">
                  <c:v>11.71</c:v>
                </c:pt>
                <c:pt idx="979">
                  <c:v>11.68</c:v>
                </c:pt>
                <c:pt idx="980">
                  <c:v>11.79</c:v>
                </c:pt>
                <c:pt idx="981">
                  <c:v>11.84</c:v>
                </c:pt>
                <c:pt idx="982">
                  <c:v>11.78</c:v>
                </c:pt>
                <c:pt idx="983">
                  <c:v>11.83</c:v>
                </c:pt>
                <c:pt idx="984">
                  <c:v>11.66</c:v>
                </c:pt>
                <c:pt idx="985">
                  <c:v>11.5</c:v>
                </c:pt>
                <c:pt idx="986">
                  <c:v>11.77</c:v>
                </c:pt>
                <c:pt idx="987">
                  <c:v>11.7</c:v>
                </c:pt>
                <c:pt idx="988">
                  <c:v>11.76</c:v>
                </c:pt>
                <c:pt idx="989">
                  <c:v>11.84</c:v>
                </c:pt>
                <c:pt idx="990">
                  <c:v>11.97</c:v>
                </c:pt>
                <c:pt idx="991">
                  <c:v>12</c:v>
                </c:pt>
                <c:pt idx="992">
                  <c:v>12.18</c:v>
                </c:pt>
                <c:pt idx="993">
                  <c:v>12.2</c:v>
                </c:pt>
                <c:pt idx="994">
                  <c:v>12.2</c:v>
                </c:pt>
                <c:pt idx="995">
                  <c:v>12.17</c:v>
                </c:pt>
                <c:pt idx="996">
                  <c:v>12.21</c:v>
                </c:pt>
                <c:pt idx="997">
                  <c:v>12.22</c:v>
                </c:pt>
                <c:pt idx="998">
                  <c:v>12.23</c:v>
                </c:pt>
                <c:pt idx="999">
                  <c:v>12.25</c:v>
                </c:pt>
                <c:pt idx="1000">
                  <c:v>12.22</c:v>
                </c:pt>
                <c:pt idx="1001">
                  <c:v>12.26</c:v>
                </c:pt>
                <c:pt idx="1002">
                  <c:v>12.27</c:v>
                </c:pt>
                <c:pt idx="1003">
                  <c:v>12.22</c:v>
                </c:pt>
                <c:pt idx="1004">
                  <c:v>12.28</c:v>
                </c:pt>
                <c:pt idx="1005">
                  <c:v>12.37</c:v>
                </c:pt>
                <c:pt idx="1006">
                  <c:v>12.28</c:v>
                </c:pt>
                <c:pt idx="1007">
                  <c:v>12.15</c:v>
                </c:pt>
                <c:pt idx="1008">
                  <c:v>12.15</c:v>
                </c:pt>
                <c:pt idx="1009">
                  <c:v>12.17</c:v>
                </c:pt>
                <c:pt idx="1010">
                  <c:v>12.13</c:v>
                </c:pt>
                <c:pt idx="1011">
                  <c:v>12.08</c:v>
                </c:pt>
                <c:pt idx="1012">
                  <c:v>12.1</c:v>
                </c:pt>
                <c:pt idx="1013">
                  <c:v>12.09</c:v>
                </c:pt>
                <c:pt idx="1014">
                  <c:v>12.04</c:v>
                </c:pt>
                <c:pt idx="1015">
                  <c:v>11.81</c:v>
                </c:pt>
                <c:pt idx="1016">
                  <c:v>11.87</c:v>
                </c:pt>
                <c:pt idx="1017">
                  <c:v>11.82</c:v>
                </c:pt>
                <c:pt idx="1018">
                  <c:v>12</c:v>
                </c:pt>
                <c:pt idx="1019">
                  <c:v>12.12</c:v>
                </c:pt>
                <c:pt idx="1020">
                  <c:v>12.08</c:v>
                </c:pt>
                <c:pt idx="1021">
                  <c:v>12.16</c:v>
                </c:pt>
                <c:pt idx="1022">
                  <c:v>12.15</c:v>
                </c:pt>
                <c:pt idx="1023">
                  <c:v>12.15</c:v>
                </c:pt>
                <c:pt idx="1024">
                  <c:v>12.14</c:v>
                </c:pt>
                <c:pt idx="1025">
                  <c:v>12.11</c:v>
                </c:pt>
                <c:pt idx="1026">
                  <c:v>12.11</c:v>
                </c:pt>
                <c:pt idx="1027">
                  <c:v>12.1</c:v>
                </c:pt>
                <c:pt idx="1028">
                  <c:v>11.92</c:v>
                </c:pt>
                <c:pt idx="1029">
                  <c:v>11.92</c:v>
                </c:pt>
                <c:pt idx="1030">
                  <c:v>11.79</c:v>
                </c:pt>
                <c:pt idx="1031">
                  <c:v>11.7</c:v>
                </c:pt>
                <c:pt idx="1032">
                  <c:v>11.8</c:v>
                </c:pt>
                <c:pt idx="1033">
                  <c:v>12.01</c:v>
                </c:pt>
                <c:pt idx="1034">
                  <c:v>12.08</c:v>
                </c:pt>
                <c:pt idx="1035">
                  <c:v>12.03</c:v>
                </c:pt>
                <c:pt idx="1036">
                  <c:v>11.98</c:v>
                </c:pt>
                <c:pt idx="1037">
                  <c:v>11.84</c:v>
                </c:pt>
                <c:pt idx="1038">
                  <c:v>11.82</c:v>
                </c:pt>
                <c:pt idx="1039">
                  <c:v>11.77</c:v>
                </c:pt>
                <c:pt idx="1040">
                  <c:v>11.72</c:v>
                </c:pt>
                <c:pt idx="1041">
                  <c:v>11.74</c:v>
                </c:pt>
                <c:pt idx="1042">
                  <c:v>11.65</c:v>
                </c:pt>
                <c:pt idx="1043">
                  <c:v>11.71</c:v>
                </c:pt>
                <c:pt idx="1044">
                  <c:v>11.73</c:v>
                </c:pt>
                <c:pt idx="1045">
                  <c:v>11.77</c:v>
                </c:pt>
                <c:pt idx="1046">
                  <c:v>11.96</c:v>
                </c:pt>
                <c:pt idx="1047">
                  <c:v>11.92</c:v>
                </c:pt>
                <c:pt idx="1048">
                  <c:v>12</c:v>
                </c:pt>
                <c:pt idx="1049">
                  <c:v>11.92</c:v>
                </c:pt>
                <c:pt idx="1050">
                  <c:v>11.78</c:v>
                </c:pt>
                <c:pt idx="1051">
                  <c:v>11.78</c:v>
                </c:pt>
                <c:pt idx="1052">
                  <c:v>11.73</c:v>
                </c:pt>
                <c:pt idx="1053">
                  <c:v>11.55</c:v>
                </c:pt>
                <c:pt idx="1054">
                  <c:v>11.41</c:v>
                </c:pt>
                <c:pt idx="1055">
                  <c:v>11.39</c:v>
                </c:pt>
                <c:pt idx="1056">
                  <c:v>11.41</c:v>
                </c:pt>
                <c:pt idx="1057">
                  <c:v>11.35</c:v>
                </c:pt>
                <c:pt idx="1058">
                  <c:v>11.3</c:v>
                </c:pt>
                <c:pt idx="1059">
                  <c:v>11.32</c:v>
                </c:pt>
                <c:pt idx="1060">
                  <c:v>11.36</c:v>
                </c:pt>
                <c:pt idx="1061">
                  <c:v>11.47</c:v>
                </c:pt>
                <c:pt idx="1062">
                  <c:v>11.5</c:v>
                </c:pt>
                <c:pt idx="1063">
                  <c:v>11.56</c:v>
                </c:pt>
                <c:pt idx="1064">
                  <c:v>11.58</c:v>
                </c:pt>
                <c:pt idx="1065">
                  <c:v>11.58</c:v>
                </c:pt>
                <c:pt idx="1066">
                  <c:v>11.65</c:v>
                </c:pt>
                <c:pt idx="1067">
                  <c:v>11.78</c:v>
                </c:pt>
                <c:pt idx="1068">
                  <c:v>11.79</c:v>
                </c:pt>
                <c:pt idx="1069">
                  <c:v>11.71</c:v>
                </c:pt>
                <c:pt idx="1070">
                  <c:v>11.67</c:v>
                </c:pt>
                <c:pt idx="1071">
                  <c:v>11.72</c:v>
                </c:pt>
                <c:pt idx="1072">
                  <c:v>11.76</c:v>
                </c:pt>
                <c:pt idx="1073">
                  <c:v>11.73</c:v>
                </c:pt>
                <c:pt idx="1074">
                  <c:v>11.52</c:v>
                </c:pt>
                <c:pt idx="1075">
                  <c:v>11.4</c:v>
                </c:pt>
                <c:pt idx="1076">
                  <c:v>11.39</c:v>
                </c:pt>
                <c:pt idx="1077">
                  <c:v>11.42</c:v>
                </c:pt>
                <c:pt idx="1078">
                  <c:v>11.41</c:v>
                </c:pt>
                <c:pt idx="1079">
                  <c:v>11.11</c:v>
                </c:pt>
                <c:pt idx="1080">
                  <c:v>10.77</c:v>
                </c:pt>
                <c:pt idx="1081">
                  <c:v>10.62</c:v>
                </c:pt>
                <c:pt idx="1082">
                  <c:v>10.47</c:v>
                </c:pt>
                <c:pt idx="1083">
                  <c:v>10.6</c:v>
                </c:pt>
                <c:pt idx="1084">
                  <c:v>10.77</c:v>
                </c:pt>
                <c:pt idx="1085">
                  <c:v>10.72</c:v>
                </c:pt>
                <c:pt idx="1086">
                  <c:v>10.64</c:v>
                </c:pt>
                <c:pt idx="1087">
                  <c:v>10.61</c:v>
                </c:pt>
                <c:pt idx="1088">
                  <c:v>10.57</c:v>
                </c:pt>
                <c:pt idx="1089">
                  <c:v>10.57</c:v>
                </c:pt>
                <c:pt idx="1090">
                  <c:v>10.64</c:v>
                </c:pt>
                <c:pt idx="1091">
                  <c:v>10.62</c:v>
                </c:pt>
                <c:pt idx="1092">
                  <c:v>10.66</c:v>
                </c:pt>
                <c:pt idx="1093">
                  <c:v>10.75</c:v>
                </c:pt>
                <c:pt idx="1094">
                  <c:v>10.95</c:v>
                </c:pt>
                <c:pt idx="1095">
                  <c:v>11.08</c:v>
                </c:pt>
                <c:pt idx="1096">
                  <c:v>11.02</c:v>
                </c:pt>
                <c:pt idx="1097">
                  <c:v>11</c:v>
                </c:pt>
                <c:pt idx="1098">
                  <c:v>10.88</c:v>
                </c:pt>
                <c:pt idx="1099">
                  <c:v>10.93</c:v>
                </c:pt>
                <c:pt idx="1100">
                  <c:v>11.04</c:v>
                </c:pt>
                <c:pt idx="1101">
                  <c:v>11.12</c:v>
                </c:pt>
                <c:pt idx="1102">
                  <c:v>11.09</c:v>
                </c:pt>
                <c:pt idx="1103">
                  <c:v>11.16</c:v>
                </c:pt>
                <c:pt idx="1104">
                  <c:v>11.18</c:v>
                </c:pt>
                <c:pt idx="1105">
                  <c:v>11.11</c:v>
                </c:pt>
                <c:pt idx="1106">
                  <c:v>11.19</c:v>
                </c:pt>
                <c:pt idx="1107">
                  <c:v>11.33</c:v>
                </c:pt>
                <c:pt idx="1108">
                  <c:v>11.36</c:v>
                </c:pt>
                <c:pt idx="1109">
                  <c:v>11.44</c:v>
                </c:pt>
                <c:pt idx="1110">
                  <c:v>11.43</c:v>
                </c:pt>
                <c:pt idx="1111">
                  <c:v>11.38</c:v>
                </c:pt>
                <c:pt idx="1112">
                  <c:v>11.31</c:v>
                </c:pt>
                <c:pt idx="1113">
                  <c:v>11.32</c:v>
                </c:pt>
                <c:pt idx="1114">
                  <c:v>11.36</c:v>
                </c:pt>
                <c:pt idx="1115">
                  <c:v>11.16</c:v>
                </c:pt>
                <c:pt idx="1116">
                  <c:v>11.17</c:v>
                </c:pt>
                <c:pt idx="1117">
                  <c:v>11.15</c:v>
                </c:pt>
                <c:pt idx="1118">
                  <c:v>11.17</c:v>
                </c:pt>
                <c:pt idx="1119">
                  <c:v>11.19</c:v>
                </c:pt>
                <c:pt idx="1120">
                  <c:v>11.15</c:v>
                </c:pt>
                <c:pt idx="1121">
                  <c:v>11.16</c:v>
                </c:pt>
                <c:pt idx="1122">
                  <c:v>11.18</c:v>
                </c:pt>
                <c:pt idx="1123">
                  <c:v>11.18</c:v>
                </c:pt>
                <c:pt idx="1124">
                  <c:v>11.15</c:v>
                </c:pt>
                <c:pt idx="1125">
                  <c:v>11.2</c:v>
                </c:pt>
                <c:pt idx="1126">
                  <c:v>11.31</c:v>
                </c:pt>
                <c:pt idx="1127">
                  <c:v>11.28</c:v>
                </c:pt>
                <c:pt idx="1128">
                  <c:v>11.26</c:v>
                </c:pt>
                <c:pt idx="1129">
                  <c:v>11.21</c:v>
                </c:pt>
                <c:pt idx="1130">
                  <c:v>11.19</c:v>
                </c:pt>
                <c:pt idx="1131">
                  <c:v>11.29</c:v>
                </c:pt>
                <c:pt idx="1132">
                  <c:v>11.27</c:v>
                </c:pt>
                <c:pt idx="1133">
                  <c:v>11.2</c:v>
                </c:pt>
                <c:pt idx="1134">
                  <c:v>11.22</c:v>
                </c:pt>
                <c:pt idx="1135">
                  <c:v>11.21</c:v>
                </c:pt>
                <c:pt idx="1136">
                  <c:v>11.33</c:v>
                </c:pt>
                <c:pt idx="1137">
                  <c:v>11.41</c:v>
                </c:pt>
                <c:pt idx="1138">
                  <c:v>11.63</c:v>
                </c:pt>
                <c:pt idx="1139">
                  <c:v>11.57</c:v>
                </c:pt>
                <c:pt idx="1140">
                  <c:v>11.6</c:v>
                </c:pt>
                <c:pt idx="1141">
                  <c:v>11.68</c:v>
                </c:pt>
                <c:pt idx="1142">
                  <c:v>11.7</c:v>
                </c:pt>
                <c:pt idx="1143">
                  <c:v>11.63</c:v>
                </c:pt>
                <c:pt idx="1144">
                  <c:v>11.74</c:v>
                </c:pt>
                <c:pt idx="1145">
                  <c:v>11.73</c:v>
                </c:pt>
                <c:pt idx="1146">
                  <c:v>11.76</c:v>
                </c:pt>
                <c:pt idx="1147">
                  <c:v>11.8</c:v>
                </c:pt>
                <c:pt idx="1148">
                  <c:v>11.8</c:v>
                </c:pt>
                <c:pt idx="1149">
                  <c:v>11.77</c:v>
                </c:pt>
                <c:pt idx="1150">
                  <c:v>11.83</c:v>
                </c:pt>
                <c:pt idx="1151">
                  <c:v>12.12</c:v>
                </c:pt>
                <c:pt idx="1152">
                  <c:v>12.03</c:v>
                </c:pt>
                <c:pt idx="1153">
                  <c:v>11.9</c:v>
                </c:pt>
                <c:pt idx="1154">
                  <c:v>11.94</c:v>
                </c:pt>
                <c:pt idx="1155">
                  <c:v>11.98</c:v>
                </c:pt>
                <c:pt idx="1156">
                  <c:v>12.18</c:v>
                </c:pt>
                <c:pt idx="1157">
                  <c:v>12.36</c:v>
                </c:pt>
                <c:pt idx="1158">
                  <c:v>12.33</c:v>
                </c:pt>
                <c:pt idx="1159">
                  <c:v>12.43</c:v>
                </c:pt>
                <c:pt idx="1160">
                  <c:v>12.34</c:v>
                </c:pt>
                <c:pt idx="1161">
                  <c:v>12.24</c:v>
                </c:pt>
                <c:pt idx="1162">
                  <c:v>12.27</c:v>
                </c:pt>
                <c:pt idx="1163">
                  <c:v>12.36</c:v>
                </c:pt>
                <c:pt idx="1164">
                  <c:v>12.33</c:v>
                </c:pt>
                <c:pt idx="1165">
                  <c:v>12.45</c:v>
                </c:pt>
                <c:pt idx="1166">
                  <c:v>12.46</c:v>
                </c:pt>
                <c:pt idx="1167">
                  <c:v>12.52</c:v>
                </c:pt>
                <c:pt idx="1168">
                  <c:v>12.5</c:v>
                </c:pt>
                <c:pt idx="1169">
                  <c:v>12.56</c:v>
                </c:pt>
                <c:pt idx="1170">
                  <c:v>12.55</c:v>
                </c:pt>
                <c:pt idx="1171">
                  <c:v>12.57</c:v>
                </c:pt>
                <c:pt idx="1172">
                  <c:v>12.62</c:v>
                </c:pt>
                <c:pt idx="1173">
                  <c:v>12.76</c:v>
                </c:pt>
                <c:pt idx="1174">
                  <c:v>12.85</c:v>
                </c:pt>
                <c:pt idx="1175">
                  <c:v>12.68</c:v>
                </c:pt>
                <c:pt idx="1176">
                  <c:v>12.71</c:v>
                </c:pt>
                <c:pt idx="1177">
                  <c:v>12.69</c:v>
                </c:pt>
                <c:pt idx="1178">
                  <c:v>12.65</c:v>
                </c:pt>
                <c:pt idx="1179">
                  <c:v>12.57</c:v>
                </c:pt>
                <c:pt idx="1180">
                  <c:v>12.57</c:v>
                </c:pt>
                <c:pt idx="1181">
                  <c:v>12.59</c:v>
                </c:pt>
                <c:pt idx="1182">
                  <c:v>12.71</c:v>
                </c:pt>
                <c:pt idx="1183">
                  <c:v>12.72</c:v>
                </c:pt>
                <c:pt idx="1184">
                  <c:v>12.77</c:v>
                </c:pt>
                <c:pt idx="1185">
                  <c:v>12.75</c:v>
                </c:pt>
                <c:pt idx="1186">
                  <c:v>12.74</c:v>
                </c:pt>
                <c:pt idx="1187">
                  <c:v>12.82</c:v>
                </c:pt>
                <c:pt idx="1188">
                  <c:v>12.91</c:v>
                </c:pt>
                <c:pt idx="1189">
                  <c:v>12.87</c:v>
                </c:pt>
                <c:pt idx="1190">
                  <c:v>12.85</c:v>
                </c:pt>
                <c:pt idx="1191">
                  <c:v>12.89</c:v>
                </c:pt>
                <c:pt idx="1192">
                  <c:v>12.9</c:v>
                </c:pt>
                <c:pt idx="1193">
                  <c:v>12.76</c:v>
                </c:pt>
                <c:pt idx="1194">
                  <c:v>12.78</c:v>
                </c:pt>
                <c:pt idx="1195">
                  <c:v>12.8</c:v>
                </c:pt>
                <c:pt idx="1196">
                  <c:v>12.85</c:v>
                </c:pt>
                <c:pt idx="1197">
                  <c:v>12.9</c:v>
                </c:pt>
                <c:pt idx="1198">
                  <c:v>12.96</c:v>
                </c:pt>
                <c:pt idx="1199">
                  <c:v>12.96</c:v>
                </c:pt>
                <c:pt idx="1200">
                  <c:v>12.96</c:v>
                </c:pt>
                <c:pt idx="1201">
                  <c:v>12.99</c:v>
                </c:pt>
                <c:pt idx="1202">
                  <c:v>13.02</c:v>
                </c:pt>
                <c:pt idx="1203">
                  <c:v>13.03</c:v>
                </c:pt>
                <c:pt idx="1204">
                  <c:v>13.13</c:v>
                </c:pt>
                <c:pt idx="1205">
                  <c:v>13.13</c:v>
                </c:pt>
                <c:pt idx="1206">
                  <c:v>13.18</c:v>
                </c:pt>
                <c:pt idx="1207">
                  <c:v>13.16</c:v>
                </c:pt>
                <c:pt idx="1208">
                  <c:v>13.36</c:v>
                </c:pt>
                <c:pt idx="1209">
                  <c:v>13.42</c:v>
                </c:pt>
                <c:pt idx="1210">
                  <c:v>13.26</c:v>
                </c:pt>
                <c:pt idx="1211">
                  <c:v>13.39</c:v>
                </c:pt>
                <c:pt idx="1212">
                  <c:v>13.56</c:v>
                </c:pt>
                <c:pt idx="1213">
                  <c:v>13.6</c:v>
                </c:pt>
                <c:pt idx="1214">
                  <c:v>13.62</c:v>
                </c:pt>
                <c:pt idx="1215">
                  <c:v>13.76</c:v>
                </c:pt>
                <c:pt idx="1216">
                  <c:v>13.72</c:v>
                </c:pt>
                <c:pt idx="1217">
                  <c:v>13.64</c:v>
                </c:pt>
                <c:pt idx="1218">
                  <c:v>13.79</c:v>
                </c:pt>
                <c:pt idx="1219">
                  <c:v>13.92</c:v>
                </c:pt>
                <c:pt idx="1220">
                  <c:v>14.06</c:v>
                </c:pt>
                <c:pt idx="1221">
                  <c:v>14.1</c:v>
                </c:pt>
                <c:pt idx="1222">
                  <c:v>14.17</c:v>
                </c:pt>
                <c:pt idx="1223">
                  <c:v>13.94</c:v>
                </c:pt>
                <c:pt idx="1224">
                  <c:v>13.85</c:v>
                </c:pt>
                <c:pt idx="1225">
                  <c:v>13.89</c:v>
                </c:pt>
                <c:pt idx="1226">
                  <c:v>13.82</c:v>
                </c:pt>
                <c:pt idx="1227">
                  <c:v>13.81</c:v>
                </c:pt>
                <c:pt idx="1228">
                  <c:v>13.79</c:v>
                </c:pt>
                <c:pt idx="1229">
                  <c:v>13.77</c:v>
                </c:pt>
                <c:pt idx="1230">
                  <c:v>13.93</c:v>
                </c:pt>
                <c:pt idx="1231">
                  <c:v>14.02</c:v>
                </c:pt>
                <c:pt idx="1232">
                  <c:v>14</c:v>
                </c:pt>
                <c:pt idx="1233">
                  <c:v>14.01</c:v>
                </c:pt>
                <c:pt idx="1234">
                  <c:v>14.09</c:v>
                </c:pt>
                <c:pt idx="1235">
                  <c:v>14.09</c:v>
                </c:pt>
                <c:pt idx="1236">
                  <c:v>14.13</c:v>
                </c:pt>
                <c:pt idx="1237">
                  <c:v>14.08</c:v>
                </c:pt>
                <c:pt idx="1238">
                  <c:v>13.89</c:v>
                </c:pt>
                <c:pt idx="1239">
                  <c:v>13.26</c:v>
                </c:pt>
                <c:pt idx="1240">
                  <c:v>13.43</c:v>
                </c:pt>
                <c:pt idx="1241">
                  <c:v>13.41</c:v>
                </c:pt>
                <c:pt idx="1242">
                  <c:v>13.19</c:v>
                </c:pt>
                <c:pt idx="1243">
                  <c:v>13.03</c:v>
                </c:pt>
                <c:pt idx="1244">
                  <c:v>12.96</c:v>
                </c:pt>
                <c:pt idx="1245">
                  <c:v>13.01</c:v>
                </c:pt>
                <c:pt idx="1246">
                  <c:v>12.92</c:v>
                </c:pt>
                <c:pt idx="1247">
                  <c:v>12.9</c:v>
                </c:pt>
                <c:pt idx="1248">
                  <c:v>12.91</c:v>
                </c:pt>
                <c:pt idx="1249">
                  <c:v>12.91</c:v>
                </c:pt>
                <c:pt idx="1250">
                  <c:v>13.02</c:v>
                </c:pt>
                <c:pt idx="1251">
                  <c:v>13.06</c:v>
                </c:pt>
                <c:pt idx="1252">
                  <c:v>13.18</c:v>
                </c:pt>
                <c:pt idx="1253">
                  <c:v>13.32</c:v>
                </c:pt>
                <c:pt idx="1254">
                  <c:v>13.35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E-4D17-8EDF-D1913B722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465400"/>
        <c:axId val="803469664"/>
      </c:lineChart>
      <c:dateAx>
        <c:axId val="80346540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9664"/>
        <c:crosses val="autoZero"/>
        <c:auto val="1"/>
        <c:lblOffset val="100"/>
        <c:baseTimeUnit val="days"/>
      </c:dateAx>
      <c:valAx>
        <c:axId val="80346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 /><Relationship Id="rId13" Type="http://schemas.openxmlformats.org/officeDocument/2006/relationships/chart" Target="../charts/chart13.xml" /><Relationship Id="rId3" Type="http://schemas.openxmlformats.org/officeDocument/2006/relationships/chart" Target="../charts/chart3.xml" /><Relationship Id="rId7" Type="http://schemas.openxmlformats.org/officeDocument/2006/relationships/chart" Target="../charts/chart7.xml" /><Relationship Id="rId12" Type="http://schemas.openxmlformats.org/officeDocument/2006/relationships/chart" Target="../charts/chart12.xml" /><Relationship Id="rId2" Type="http://schemas.openxmlformats.org/officeDocument/2006/relationships/chart" Target="../charts/chart2.xml" /><Relationship Id="rId1" Type="http://schemas.openxmlformats.org/officeDocument/2006/relationships/chart" Target="../charts/chart1.xml" /><Relationship Id="rId6" Type="http://schemas.openxmlformats.org/officeDocument/2006/relationships/chart" Target="../charts/chart6.xml" /><Relationship Id="rId11" Type="http://schemas.openxmlformats.org/officeDocument/2006/relationships/chart" Target="../charts/chart11.xml" /><Relationship Id="rId5" Type="http://schemas.openxmlformats.org/officeDocument/2006/relationships/chart" Target="../charts/chart5.xml" /><Relationship Id="rId10" Type="http://schemas.openxmlformats.org/officeDocument/2006/relationships/chart" Target="../charts/chart10.xml" /><Relationship Id="rId4" Type="http://schemas.openxmlformats.org/officeDocument/2006/relationships/chart" Target="../charts/chart4.xml" /><Relationship Id="rId9" Type="http://schemas.openxmlformats.org/officeDocument/2006/relationships/chart" Target="../charts/chart9.xml" 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 /><Relationship Id="rId7" Type="http://schemas.openxmlformats.org/officeDocument/2006/relationships/chart" Target="../charts/chart20.xml" /><Relationship Id="rId2" Type="http://schemas.openxmlformats.org/officeDocument/2006/relationships/chart" Target="../charts/chart15.xml" /><Relationship Id="rId1" Type="http://schemas.openxmlformats.org/officeDocument/2006/relationships/chart" Target="../charts/chart14.xml" /><Relationship Id="rId6" Type="http://schemas.openxmlformats.org/officeDocument/2006/relationships/chart" Target="../charts/chart19.xml" /><Relationship Id="rId5" Type="http://schemas.openxmlformats.org/officeDocument/2006/relationships/chart" Target="../charts/chart18.xml" /><Relationship Id="rId4" Type="http://schemas.openxmlformats.org/officeDocument/2006/relationships/chart" Target="../charts/chart17.xml" 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38099</xdr:colOff>
      <xdr:row>53</xdr:row>
      <xdr:rowOff>114301</xdr:rowOff>
    </xdr:from>
    <xdr:to>
      <xdr:col>29</xdr:col>
      <xdr:colOff>600075</xdr:colOff>
      <xdr:row>69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28575</xdr:colOff>
      <xdr:row>32</xdr:row>
      <xdr:rowOff>76200</xdr:rowOff>
    </xdr:from>
    <xdr:to>
      <xdr:col>29</xdr:col>
      <xdr:colOff>600075</xdr:colOff>
      <xdr:row>53</xdr:row>
      <xdr:rowOff>57151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47626</xdr:colOff>
      <xdr:row>69</xdr:row>
      <xdr:rowOff>123825</xdr:rowOff>
    </xdr:from>
    <xdr:to>
      <xdr:col>29</xdr:col>
      <xdr:colOff>609601</xdr:colOff>
      <xdr:row>86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57151</xdr:colOff>
      <xdr:row>53</xdr:row>
      <xdr:rowOff>104775</xdr:rowOff>
    </xdr:from>
    <xdr:to>
      <xdr:col>10</xdr:col>
      <xdr:colOff>190500</xdr:colOff>
      <xdr:row>69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1</xdr:row>
      <xdr:rowOff>0</xdr:rowOff>
    </xdr:from>
    <xdr:to>
      <xdr:col>17</xdr:col>
      <xdr:colOff>57150</xdr:colOff>
      <xdr:row>32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1B48637-9B21-4A3C-856B-362CC380C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238126</xdr:colOff>
      <xdr:row>53</xdr:row>
      <xdr:rowOff>104774</xdr:rowOff>
    </xdr:from>
    <xdr:to>
      <xdr:col>17</xdr:col>
      <xdr:colOff>76200</xdr:colOff>
      <xdr:row>69</xdr:row>
      <xdr:rowOff>76199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D69E41F-4C8A-49E3-A2F7-CB2072F0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57150</xdr:colOff>
      <xdr:row>32</xdr:row>
      <xdr:rowOff>76199</xdr:rowOff>
    </xdr:from>
    <xdr:to>
      <xdr:col>10</xdr:col>
      <xdr:colOff>190501</xdr:colOff>
      <xdr:row>53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026A09D-4975-4940-A428-35650B157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19050</xdr:colOff>
      <xdr:row>32</xdr:row>
      <xdr:rowOff>76200</xdr:rowOff>
    </xdr:from>
    <xdr:to>
      <xdr:col>23</xdr:col>
      <xdr:colOff>809625</xdr:colOff>
      <xdr:row>53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EA970EB-E549-4CE3-8CAF-BDAFCE917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238125</xdr:colOff>
      <xdr:row>32</xdr:row>
      <xdr:rowOff>76199</xdr:rowOff>
    </xdr:from>
    <xdr:to>
      <xdr:col>17</xdr:col>
      <xdr:colOff>76200</xdr:colOff>
      <xdr:row>53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050486-2EF1-4E20-AC06-3089FE58C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57151</xdr:colOff>
      <xdr:row>69</xdr:row>
      <xdr:rowOff>123825</xdr:rowOff>
    </xdr:from>
    <xdr:to>
      <xdr:col>10</xdr:col>
      <xdr:colOff>190500</xdr:colOff>
      <xdr:row>86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95EFBD2-94EE-4EDC-AF93-42DE6A843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238125</xdr:colOff>
      <xdr:row>69</xdr:row>
      <xdr:rowOff>123825</xdr:rowOff>
    </xdr:from>
    <xdr:to>
      <xdr:col>17</xdr:col>
      <xdr:colOff>76200</xdr:colOff>
      <xdr:row>86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A4AD021-AC6A-43F8-8138-D51DA3713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28576</xdr:colOff>
      <xdr:row>69</xdr:row>
      <xdr:rowOff>123825</xdr:rowOff>
    </xdr:from>
    <xdr:to>
      <xdr:col>24</xdr:col>
      <xdr:colOff>0</xdr:colOff>
      <xdr:row>86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845A7E-E871-4DE3-B0C0-9A64BE6FB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19052</xdr:colOff>
      <xdr:row>53</xdr:row>
      <xdr:rowOff>114300</xdr:rowOff>
    </xdr:from>
    <xdr:to>
      <xdr:col>23</xdr:col>
      <xdr:colOff>819151</xdr:colOff>
      <xdr:row>69</xdr:row>
      <xdr:rowOff>66675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02C6B1D-AA57-40E5-A073-F427E2740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238126</xdr:colOff>
      <xdr:row>112</xdr:row>
      <xdr:rowOff>0</xdr:rowOff>
    </xdr:from>
    <xdr:to>
      <xdr:col>56</xdr:col>
      <xdr:colOff>942976</xdr:colOff>
      <xdr:row>129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184</xdr:row>
      <xdr:rowOff>9525</xdr:rowOff>
    </xdr:from>
    <xdr:to>
      <xdr:col>18</xdr:col>
      <xdr:colOff>8574</xdr:colOff>
      <xdr:row>209</xdr:row>
      <xdr:rowOff>27624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19050</xdr:colOff>
      <xdr:row>25</xdr:row>
      <xdr:rowOff>28575</xdr:rowOff>
    </xdr:from>
    <xdr:to>
      <xdr:col>78</xdr:col>
      <xdr:colOff>323850</xdr:colOff>
      <xdr:row>54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94FE8A-D463-46FC-8626-293EC93AF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600075</xdr:colOff>
      <xdr:row>54</xdr:row>
      <xdr:rowOff>95250</xdr:rowOff>
    </xdr:from>
    <xdr:to>
      <xdr:col>78</xdr:col>
      <xdr:colOff>295275</xdr:colOff>
      <xdr:row>73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4CA18FA-49DD-4257-AD27-45A460FFD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600075</xdr:colOff>
      <xdr:row>73</xdr:row>
      <xdr:rowOff>114300</xdr:rowOff>
    </xdr:from>
    <xdr:to>
      <xdr:col>78</xdr:col>
      <xdr:colOff>295275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D023AE9-82EB-450E-9A66-66329DBCF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71</xdr:col>
      <xdr:colOff>9525</xdr:colOff>
      <xdr:row>5</xdr:row>
      <xdr:rowOff>0</xdr:rowOff>
    </xdr:from>
    <xdr:to>
      <xdr:col>78</xdr:col>
      <xdr:colOff>314325</xdr:colOff>
      <xdr:row>24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C8F624F-2654-4762-8D41-944CC7B5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695325</xdr:colOff>
      <xdr:row>19</xdr:row>
      <xdr:rowOff>76200</xdr:rowOff>
    </xdr:from>
    <xdr:to>
      <xdr:col>17</xdr:col>
      <xdr:colOff>627698</xdr:colOff>
      <xdr:row>54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CD98ABC-7B20-401E-9673-FD4C8BF4C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409575</xdr:colOff>
      <xdr:row>0</xdr:row>
      <xdr:rowOff>47625</xdr:rowOff>
    </xdr:from>
    <xdr:to>
      <xdr:col>54</xdr:col>
      <xdr:colOff>57150</xdr:colOff>
      <xdr:row>3</xdr:row>
      <xdr:rowOff>114300</xdr:rowOff>
    </xdr:to>
    <xdr:sp macro="[0]!GoalSeek" textlink="">
      <xdr:nvSpPr>
        <xdr:cNvPr id="15" name="Arrow: Down 14">
          <a:extLst>
            <a:ext uri="{FF2B5EF4-FFF2-40B4-BE49-F238E27FC236}">
              <a16:creationId xmlns:a16="http://schemas.microsoft.com/office/drawing/2014/main" id="{19639B6D-6F56-4593-9B75-E122850B6BB7}"/>
            </a:ext>
          </a:extLst>
        </xdr:cNvPr>
        <xdr:cNvSpPr/>
      </xdr:nvSpPr>
      <xdr:spPr>
        <a:xfrm>
          <a:off x="40071675" y="47625"/>
          <a:ext cx="762000" cy="628650"/>
        </a:xfrm>
        <a:prstGeom prst="downArrow">
          <a:avLst>
            <a:gd name="adj1" fmla="val 50000"/>
            <a:gd name="adj2" fmla="val 207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Set</a:t>
          </a:r>
          <a:r>
            <a:rPr lang="en-US" sz="1000" baseline="0"/>
            <a:t> to 4</a:t>
          </a:r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556516</xdr:colOff>
      <xdr:row>3</xdr:row>
      <xdr:rowOff>180226</xdr:rowOff>
    </xdr:from>
    <xdr:to>
      <xdr:col>19</xdr:col>
      <xdr:colOff>64214</xdr:colOff>
      <xdr:row>27</xdr:row>
      <xdr:rowOff>21405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1D1C39-9476-4EEC-88EB-E12C15EB6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QuotesID" tableColumnId="10"/>
      <queryTableField id="2" name="StockID" tableColumnId="2"/>
      <queryTableField id="3" name="QuoteDate" tableColumnId="3"/>
      <queryTableField id="4" name="Open" tableColumnId="4"/>
      <queryTableField id="5" name="Last" tableColumnId="5"/>
      <queryTableField id="6" name="High" tableColumnId="6"/>
      <queryTableField id="7" name="Low" tableColumnId="7"/>
      <queryTableField id="8" name="VWAP" tableColumnId="8"/>
      <queryTableField id="9" name="Volum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400-000001000000}" autoFormatId="16" applyNumberFormats="0" applyBorderFormats="0" applyFontFormats="0" applyPatternFormats="0" applyAlignmentFormats="0" applyWidthHeightFormats="0">
  <queryTableRefresh nextId="7">
    <queryTableFields count="5">
      <queryTableField id="2" name="Ticker" tableColumnId="2"/>
      <queryTableField id="1" name="StockID" tableColumnId="6"/>
      <queryTableField id="3" name="CompanyName" tableColumnId="3"/>
      <queryTableField id="4" name="Exchange" tableColumnId="4"/>
      <queryTableField id="5" name="TickerLong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 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stockid" displayName="stockid" ref="B1:B2" totalsRowShown="0" headerRowCellStyle="Accent1" dataCellStyle="Good">
  <autoFilter ref="B1:B2" xr:uid="{00000000-0009-0000-0100-000007000000}"/>
  <tableColumns count="1">
    <tableColumn id="1" xr3:uid="{00000000-0010-0000-0000-000001000000}" name="StockID" dataCellStyle="Good">
      <calculatedColumnFormula>VLOOKUP(A2,tblStocksNew[],2,FALSE)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blQuotes" displayName="tblQuotes" ref="A4:I1259" tableType="queryTable" totalsRowShown="0" headerRowDxfId="14">
  <autoFilter ref="A4:I1259" xr:uid="{00000000-0009-0000-0100-000008000000}"/>
  <tableColumns count="9">
    <tableColumn id="10" xr3:uid="{00000000-0010-0000-0100-00000A000000}" uniqueName="10" name="QuotesID" queryTableFieldId="1" dataDxfId="13"/>
    <tableColumn id="2" xr3:uid="{00000000-0010-0000-0100-000002000000}" uniqueName="2" name="StockID" queryTableFieldId="2" dataDxfId="12"/>
    <tableColumn id="3" xr3:uid="{00000000-0010-0000-0100-000003000000}" uniqueName="3" name="QuoteDate" queryTableFieldId="3" dataDxfId="11" dataCellStyle="Currency"/>
    <tableColumn id="4" xr3:uid="{00000000-0010-0000-0100-000004000000}" uniqueName="4" name="Open" queryTableFieldId="4" dataDxfId="10" dataCellStyle="Currency"/>
    <tableColumn id="5" xr3:uid="{00000000-0010-0000-0100-000005000000}" uniqueName="5" name="Last" queryTableFieldId="5" dataDxfId="9" dataCellStyle="Currency"/>
    <tableColumn id="6" xr3:uid="{00000000-0010-0000-0100-000006000000}" uniqueName="6" name="High" queryTableFieldId="6" dataDxfId="8" dataCellStyle="Currency"/>
    <tableColumn id="7" xr3:uid="{00000000-0010-0000-0100-000007000000}" uniqueName="7" name="Low" queryTableFieldId="7" dataDxfId="7" dataCellStyle="Currency"/>
    <tableColumn id="8" xr3:uid="{00000000-0010-0000-0100-000008000000}" uniqueName="8" name="VWAP" queryTableFieldId="8" dataDxfId="6" dataCellStyle="Comma"/>
    <tableColumn id="9" xr3:uid="{00000000-0010-0000-0100-000009000000}" uniqueName="9" name="Volume" queryTableFieldId="9" dataDxfId="5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StocksNew" displayName="tblStocksNew" ref="A1:E6" tableType="queryTable" totalsRowShown="0">
  <autoFilter ref="A1:E6" xr:uid="{00000000-0009-0000-0100-000002000000}"/>
  <tableColumns count="5">
    <tableColumn id="2" xr3:uid="{00000000-0010-0000-0200-000002000000}" uniqueName="2" name="Ticker" queryTableFieldId="2" dataDxfId="4"/>
    <tableColumn id="6" xr3:uid="{00000000-0010-0000-0200-000006000000}" uniqueName="6" name="StockID" queryTableFieldId="1" dataDxfId="3"/>
    <tableColumn id="3" xr3:uid="{00000000-0010-0000-0200-000003000000}" uniqueName="3" name="CompanyName" queryTableFieldId="3" dataDxfId="2"/>
    <tableColumn id="4" xr3:uid="{00000000-0010-0000-0200-000004000000}" uniqueName="4" name="Exchange" queryTableFieldId="4" dataDxfId="1"/>
    <tableColumn id="5" xr3:uid="{00000000-0010-0000-0200-000005000000}" uniqueName="5" name="TickerLong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 /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4.bin" /><Relationship Id="rId4" Type="http://schemas.openxmlformats.org/officeDocument/2006/relationships/table" Target="../tables/table2.xml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174"/>
  <sheetViews>
    <sheetView zoomScaleNormal="100" workbookViewId="0" xr3:uid="{AEA406A1-0E4B-5B11-9CD5-51D6E497D94C}"/>
  </sheetViews>
  <sheetFormatPr defaultRowHeight="15" x14ac:dyDescent="0.2"/>
  <cols>
    <col min="1" max="1" width="20.4453125" customWidth="1"/>
    <col min="2" max="2" width="11.1640625" customWidth="1"/>
    <col min="3" max="6" width="11.56640625" hidden="1" customWidth="1"/>
    <col min="7" max="17" width="11.56640625" customWidth="1"/>
    <col min="18" max="18" width="1.74609375" customWidth="1"/>
    <col min="19" max="22" width="11.56640625" customWidth="1"/>
    <col min="23" max="38" width="12.375" customWidth="1"/>
  </cols>
  <sheetData>
    <row r="1" spans="1:38" ht="22.5" x14ac:dyDescent="0.25">
      <c r="A1" s="11" t="e">
        <f>IF(#REF!=0,"",#REF!)</f>
        <v>#REF!</v>
      </c>
      <c r="B1" s="186"/>
      <c r="D1" s="10"/>
      <c r="E1" s="10"/>
      <c r="F1" s="10"/>
      <c r="H1" s="10"/>
      <c r="I1" s="10"/>
      <c r="J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AA1" s="10"/>
      <c r="AE1" s="10"/>
      <c r="AI1" s="10"/>
    </row>
    <row r="2" spans="1:38" s="77" customFormat="1" ht="11.25" x14ac:dyDescent="0.15">
      <c r="A2" s="85"/>
      <c r="B2" s="85"/>
      <c r="C2" s="85"/>
      <c r="D2" s="85"/>
      <c r="E2" s="85"/>
      <c r="F2" s="85"/>
      <c r="G2" s="85"/>
      <c r="H2" s="85"/>
      <c r="I2" s="85"/>
      <c r="J2" s="127"/>
      <c r="K2" s="85"/>
      <c r="L2" s="85"/>
      <c r="M2" s="85"/>
      <c r="N2" s="85"/>
      <c r="O2" s="85"/>
      <c r="P2" s="85"/>
      <c r="Q2" s="85"/>
      <c r="R2" s="85"/>
      <c r="S2" s="491" t="s">
        <v>180</v>
      </c>
      <c r="T2" s="492" t="s">
        <v>10</v>
      </c>
      <c r="U2" s="492" t="s">
        <v>87</v>
      </c>
      <c r="V2" s="492" t="s">
        <v>9</v>
      </c>
      <c r="W2" s="492" t="s">
        <v>8</v>
      </c>
      <c r="X2" s="493" t="s">
        <v>164</v>
      </c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</row>
    <row r="3" spans="1:38" s="77" customFormat="1" ht="11.25" x14ac:dyDescent="0.15">
      <c r="A3" s="85"/>
      <c r="B3" s="85"/>
      <c r="C3" s="85"/>
      <c r="D3" s="85"/>
      <c r="E3" s="85"/>
      <c r="F3" s="85"/>
      <c r="G3" s="85"/>
      <c r="H3" s="85"/>
      <c r="I3" s="85"/>
      <c r="J3" s="127"/>
      <c r="K3" s="85"/>
      <c r="L3" s="85"/>
      <c r="M3" s="85"/>
      <c r="N3" s="85"/>
      <c r="O3" s="85"/>
      <c r="P3" s="85"/>
      <c r="Q3" s="85"/>
      <c r="R3" s="85"/>
      <c r="S3" s="494">
        <v>1</v>
      </c>
      <c r="T3" s="495">
        <v>2</v>
      </c>
      <c r="U3" s="495">
        <v>3</v>
      </c>
      <c r="V3" s="495">
        <v>4</v>
      </c>
      <c r="W3" s="495">
        <v>5</v>
      </c>
      <c r="X3" s="496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</row>
    <row r="4" spans="1:38" s="77" customFormat="1" x14ac:dyDescent="0.2">
      <c r="A4" s="85"/>
      <c r="B4" s="85"/>
      <c r="C4" s="85"/>
      <c r="D4" s="85"/>
      <c r="E4" s="85"/>
      <c r="F4" s="85"/>
      <c r="G4" s="85"/>
      <c r="H4" s="85"/>
      <c r="I4" s="85"/>
      <c r="J4" s="127"/>
      <c r="K4" s="85"/>
      <c r="L4" s="85"/>
      <c r="M4" s="85"/>
      <c r="N4" s="85"/>
      <c r="O4" s="85"/>
      <c r="P4" s="85"/>
      <c r="Q4" s="85"/>
      <c r="R4" s="85"/>
      <c r="S4" s="545">
        <v>42185</v>
      </c>
      <c r="T4" s="497">
        <f>IFERROR(INDEX(#REF!,MATCH(S4,#REF!,0)),0)</f>
        <v>0</v>
      </c>
      <c r="U4" s="544">
        <f>S4+3*365+1</f>
        <v>43281</v>
      </c>
      <c r="V4" s="497" t="str">
        <f>IFERROR(INDEX(Adjusted!$137:$137,MATCH(U4,Adjusted!$4:$4,0)),"")</f>
        <v/>
      </c>
      <c r="W4" s="498" t="str">
        <f>IFERROR((V4/T4)^(1/(U4-S4))-1,"")</f>
        <v/>
      </c>
      <c r="X4" s="499" t="str">
        <f>IFERROR(((1+W4)^365)-1,"")</f>
        <v/>
      </c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</row>
    <row r="5" spans="1:38" s="77" customFormat="1" x14ac:dyDescent="0.2">
      <c r="A5" s="85"/>
      <c r="B5" s="85"/>
      <c r="C5" s="85"/>
      <c r="D5" s="85"/>
      <c r="E5" s="85"/>
      <c r="F5" s="85"/>
      <c r="G5" s="85"/>
      <c r="H5" s="85"/>
      <c r="I5" s="85"/>
      <c r="J5" s="127"/>
      <c r="K5" s="85"/>
      <c r="L5" s="85"/>
      <c r="M5" s="85"/>
      <c r="N5" s="85"/>
      <c r="O5" s="85"/>
      <c r="P5" s="85"/>
      <c r="Q5" s="85"/>
      <c r="R5" s="85"/>
      <c r="S5" s="545"/>
      <c r="T5" s="497">
        <f>IFERROR(INDEX(#REF!,MATCH(S5,#REF!,0)),0)</f>
        <v>0</v>
      </c>
      <c r="U5" s="544"/>
      <c r="V5" s="497" t="str">
        <f>IFERROR(INDEX(Adjusted!$137:$137,MATCH(U5,Adjusted!$4:$4,0)),"")</f>
        <v/>
      </c>
      <c r="W5" s="498" t="str">
        <f t="shared" ref="W5:W26" si="0">IFERROR((V5/T5)^(1/(U5-S5))-1,"")</f>
        <v/>
      </c>
      <c r="X5" s="499" t="str">
        <f t="shared" ref="X5:X26" si="1">IFERROR(((1+W5)^365)-1,"")</f>
        <v/>
      </c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</row>
    <row r="6" spans="1:38" s="77" customFormat="1" x14ac:dyDescent="0.2">
      <c r="A6" s="85"/>
      <c r="B6" s="85"/>
      <c r="C6" s="85"/>
      <c r="D6" s="85"/>
      <c r="E6" s="85"/>
      <c r="F6" s="85"/>
      <c r="G6" s="85"/>
      <c r="H6" s="85"/>
      <c r="I6" s="85"/>
      <c r="J6" s="127"/>
      <c r="K6" s="85"/>
      <c r="L6" s="85"/>
      <c r="M6" s="85"/>
      <c r="N6" s="85"/>
      <c r="O6" s="85"/>
      <c r="P6" s="85"/>
      <c r="Q6" s="85"/>
      <c r="R6" s="85"/>
      <c r="S6" s="545"/>
      <c r="T6" s="497">
        <f>IFERROR(INDEX(#REF!,MATCH(S6,#REF!,0)),0)</f>
        <v>0</v>
      </c>
      <c r="U6" s="544"/>
      <c r="V6" s="497" t="str">
        <f>IFERROR(INDEX(Adjusted!$137:$137,MATCH(U6,Adjusted!$4:$4,0)),"")</f>
        <v/>
      </c>
      <c r="W6" s="498" t="str">
        <f t="shared" si="0"/>
        <v/>
      </c>
      <c r="X6" s="499" t="str">
        <f t="shared" si="1"/>
        <v/>
      </c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</row>
    <row r="7" spans="1:38" s="77" customFormat="1" x14ac:dyDescent="0.2">
      <c r="A7" s="85"/>
      <c r="B7" s="85"/>
      <c r="C7" s="85"/>
      <c r="D7" s="85"/>
      <c r="E7" s="85"/>
      <c r="F7" s="85"/>
      <c r="G7" s="85"/>
      <c r="H7" s="85"/>
      <c r="I7" s="85"/>
      <c r="J7" s="127"/>
      <c r="K7" s="85"/>
      <c r="L7" s="85"/>
      <c r="M7" s="85"/>
      <c r="N7" s="85"/>
      <c r="O7" s="85"/>
      <c r="P7" s="85"/>
      <c r="Q7" s="85"/>
      <c r="R7" s="85"/>
      <c r="S7" s="545"/>
      <c r="T7" s="497">
        <f>IFERROR(INDEX(#REF!,MATCH(S7,#REF!,0)),0)</f>
        <v>0</v>
      </c>
      <c r="U7" s="544"/>
      <c r="V7" s="497" t="str">
        <f>IFERROR(INDEX(Adjusted!$137:$137,MATCH(U7,Adjusted!$4:$4,0)),"")</f>
        <v/>
      </c>
      <c r="W7" s="498" t="str">
        <f t="shared" si="0"/>
        <v/>
      </c>
      <c r="X7" s="499" t="str">
        <f t="shared" si="1"/>
        <v/>
      </c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</row>
    <row r="8" spans="1:38" s="77" customFormat="1" x14ac:dyDescent="0.2">
      <c r="A8" s="85"/>
      <c r="B8" s="85"/>
      <c r="C8" s="85"/>
      <c r="D8" s="85"/>
      <c r="E8" s="85"/>
      <c r="F8" s="85"/>
      <c r="G8" s="85"/>
      <c r="H8" s="85"/>
      <c r="I8" s="85"/>
      <c r="J8" s="127"/>
      <c r="K8" s="85"/>
      <c r="L8" s="85"/>
      <c r="M8" s="85"/>
      <c r="N8" s="85"/>
      <c r="O8" s="85"/>
      <c r="P8" s="85"/>
      <c r="Q8" s="85"/>
      <c r="R8" s="85"/>
      <c r="S8" s="545"/>
      <c r="T8" s="497">
        <f>IFERROR(INDEX(#REF!,MATCH(S8,#REF!,0)),0)</f>
        <v>0</v>
      </c>
      <c r="U8" s="544"/>
      <c r="V8" s="497" t="str">
        <f>IFERROR(INDEX(Adjusted!$137:$137,MATCH(U8,Adjusted!$4:$4,0)),"")</f>
        <v/>
      </c>
      <c r="W8" s="498" t="str">
        <f t="shared" si="0"/>
        <v/>
      </c>
      <c r="X8" s="499" t="str">
        <f t="shared" si="1"/>
        <v/>
      </c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</row>
    <row r="9" spans="1:38" s="77" customFormat="1" x14ac:dyDescent="0.2">
      <c r="A9" s="85"/>
      <c r="B9" s="85"/>
      <c r="C9" s="85"/>
      <c r="D9" s="85"/>
      <c r="E9" s="85"/>
      <c r="F9" s="85"/>
      <c r="G9" s="85"/>
      <c r="H9" s="85"/>
      <c r="I9" s="85"/>
      <c r="J9" s="127"/>
      <c r="K9" s="85"/>
      <c r="L9" s="85"/>
      <c r="M9" s="85"/>
      <c r="N9" s="85"/>
      <c r="O9" s="85"/>
      <c r="P9" s="85"/>
      <c r="Q9" s="85"/>
      <c r="R9" s="85"/>
      <c r="S9" s="545"/>
      <c r="T9" s="497">
        <f>IFERROR(INDEX(#REF!,MATCH(S9,#REF!,0)),0)</f>
        <v>0</v>
      </c>
      <c r="U9" s="544"/>
      <c r="V9" s="497" t="str">
        <f>IFERROR(INDEX(Adjusted!$137:$137,MATCH(U9,Adjusted!$4:$4,0)),"")</f>
        <v/>
      </c>
      <c r="W9" s="498" t="str">
        <f t="shared" si="0"/>
        <v/>
      </c>
      <c r="X9" s="499" t="str">
        <f t="shared" si="1"/>
        <v/>
      </c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</row>
    <row r="10" spans="1:38" s="77" customFormat="1" x14ac:dyDescent="0.2">
      <c r="A10" s="85"/>
      <c r="B10" s="85"/>
      <c r="C10" s="85"/>
      <c r="D10" s="85"/>
      <c r="E10" s="85"/>
      <c r="F10" s="85"/>
      <c r="G10" s="85"/>
      <c r="H10" s="85"/>
      <c r="I10" s="85"/>
      <c r="J10" s="127"/>
      <c r="K10" s="85"/>
      <c r="L10" s="85"/>
      <c r="M10" s="85"/>
      <c r="N10" s="85"/>
      <c r="O10" s="85"/>
      <c r="P10" s="85"/>
      <c r="Q10" s="85"/>
      <c r="R10" s="85"/>
      <c r="S10" s="545"/>
      <c r="T10" s="497">
        <f>IFERROR(INDEX(#REF!,MATCH(S10,#REF!,0)),0)</f>
        <v>0</v>
      </c>
      <c r="U10" s="544"/>
      <c r="V10" s="497" t="str">
        <f>IFERROR(INDEX(Adjusted!$137:$137,MATCH(U10,Adjusted!$4:$4,0)),"")</f>
        <v/>
      </c>
      <c r="W10" s="498" t="str">
        <f t="shared" si="0"/>
        <v/>
      </c>
      <c r="X10" s="499" t="str">
        <f t="shared" si="1"/>
        <v/>
      </c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</row>
    <row r="11" spans="1:38" s="77" customFormat="1" x14ac:dyDescent="0.2">
      <c r="A11" s="85"/>
      <c r="B11" s="85"/>
      <c r="C11" s="85"/>
      <c r="D11" s="85"/>
      <c r="E11" s="85"/>
      <c r="F11" s="85"/>
      <c r="G11" s="85"/>
      <c r="H11" s="85"/>
      <c r="I11" s="85"/>
      <c r="J11" s="127"/>
      <c r="K11" s="85"/>
      <c r="L11" s="85"/>
      <c r="M11" s="85"/>
      <c r="N11" s="85"/>
      <c r="O11" s="85"/>
      <c r="P11" s="85"/>
      <c r="Q11" s="85"/>
      <c r="R11" s="85"/>
      <c r="S11" s="545"/>
      <c r="T11" s="497">
        <f>IFERROR(INDEX(#REF!,MATCH(S11,#REF!,0)),0)</f>
        <v>0</v>
      </c>
      <c r="U11" s="544"/>
      <c r="V11" s="497" t="str">
        <f>IFERROR(INDEX(Adjusted!$137:$137,MATCH(U11,Adjusted!$4:$4,0)),"")</f>
        <v/>
      </c>
      <c r="W11" s="498" t="str">
        <f t="shared" si="0"/>
        <v/>
      </c>
      <c r="X11" s="499" t="str">
        <f t="shared" si="1"/>
        <v/>
      </c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</row>
    <row r="12" spans="1:38" s="77" customFormat="1" x14ac:dyDescent="0.2">
      <c r="A12" s="85"/>
      <c r="B12" s="85"/>
      <c r="C12" s="85"/>
      <c r="D12" s="85"/>
      <c r="E12" s="85"/>
      <c r="F12" s="85"/>
      <c r="G12" s="85"/>
      <c r="H12" s="85"/>
      <c r="I12" s="85"/>
      <c r="J12" s="127"/>
      <c r="K12" s="85"/>
      <c r="L12" s="85"/>
      <c r="M12" s="85"/>
      <c r="N12" s="85"/>
      <c r="O12" s="85"/>
      <c r="P12" s="85"/>
      <c r="Q12" s="85"/>
      <c r="R12" s="85"/>
      <c r="S12" s="545"/>
      <c r="T12" s="497">
        <f>IFERROR(INDEX(#REF!,MATCH(S12,#REF!,0)),0)</f>
        <v>0</v>
      </c>
      <c r="U12" s="544"/>
      <c r="V12" s="497" t="str">
        <f>IFERROR(INDEX(Adjusted!$137:$137,MATCH(U12,Adjusted!$4:$4,0)),"")</f>
        <v/>
      </c>
      <c r="W12" s="498" t="str">
        <f t="shared" si="0"/>
        <v/>
      </c>
      <c r="X12" s="499" t="str">
        <f t="shared" si="1"/>
        <v/>
      </c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</row>
    <row r="13" spans="1:38" s="77" customFormat="1" x14ac:dyDescent="0.2">
      <c r="A13" s="85"/>
      <c r="B13" s="85"/>
      <c r="C13" s="85"/>
      <c r="D13" s="85"/>
      <c r="E13" s="85"/>
      <c r="F13" s="85"/>
      <c r="G13" s="85"/>
      <c r="H13" s="85"/>
      <c r="I13" s="85"/>
      <c r="J13" s="127"/>
      <c r="K13" s="85"/>
      <c r="L13" s="85"/>
      <c r="M13" s="85"/>
      <c r="N13" s="85"/>
      <c r="O13" s="85"/>
      <c r="P13" s="85"/>
      <c r="Q13" s="85"/>
      <c r="R13" s="85"/>
      <c r="S13" s="545"/>
      <c r="T13" s="497">
        <f>IFERROR(INDEX(#REF!,MATCH(S13,#REF!,0)),0)</f>
        <v>0</v>
      </c>
      <c r="U13" s="544"/>
      <c r="V13" s="497" t="str">
        <f>IFERROR(INDEX(Adjusted!$137:$137,MATCH(U13,Adjusted!$4:$4,0)),"")</f>
        <v/>
      </c>
      <c r="W13" s="498" t="str">
        <f t="shared" si="0"/>
        <v/>
      </c>
      <c r="X13" s="499" t="str">
        <f t="shared" si="1"/>
        <v/>
      </c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</row>
    <row r="14" spans="1:38" s="77" customFormat="1" x14ac:dyDescent="0.2">
      <c r="A14" s="85"/>
      <c r="B14" s="85"/>
      <c r="C14" s="85"/>
      <c r="D14" s="85"/>
      <c r="E14" s="85"/>
      <c r="F14" s="85"/>
      <c r="G14" s="85"/>
      <c r="H14" s="85"/>
      <c r="I14" s="85"/>
      <c r="J14" s="127"/>
      <c r="K14" s="85"/>
      <c r="L14" s="85"/>
      <c r="M14" s="85"/>
      <c r="N14" s="85"/>
      <c r="O14" s="85"/>
      <c r="P14" s="85"/>
      <c r="Q14" s="85"/>
      <c r="R14" s="85"/>
      <c r="S14" s="545"/>
      <c r="T14" s="497">
        <f>IFERROR(INDEX(#REF!,MATCH(S14,#REF!,0)),0)</f>
        <v>0</v>
      </c>
      <c r="U14" s="544"/>
      <c r="V14" s="497" t="str">
        <f>IFERROR(INDEX(Adjusted!$137:$137,MATCH(U14,Adjusted!$4:$4,0)),"")</f>
        <v/>
      </c>
      <c r="W14" s="498" t="str">
        <f t="shared" si="0"/>
        <v/>
      </c>
      <c r="X14" s="499" t="str">
        <f t="shared" si="1"/>
        <v/>
      </c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</row>
    <row r="15" spans="1:38" s="77" customFormat="1" x14ac:dyDescent="0.2">
      <c r="A15" s="85"/>
      <c r="B15" s="85"/>
      <c r="C15" s="85"/>
      <c r="D15" s="85"/>
      <c r="E15" s="85"/>
      <c r="F15" s="85"/>
      <c r="G15" s="85"/>
      <c r="H15" s="85"/>
      <c r="I15" s="85"/>
      <c r="J15" s="127"/>
      <c r="K15" s="85"/>
      <c r="L15" s="85"/>
      <c r="M15" s="85"/>
      <c r="N15" s="85"/>
      <c r="O15" s="85"/>
      <c r="P15" s="85"/>
      <c r="Q15" s="85"/>
      <c r="R15" s="85"/>
      <c r="S15" s="545"/>
      <c r="T15" s="497">
        <f>IFERROR(INDEX(#REF!,MATCH(S15,#REF!,0)),0)</f>
        <v>0</v>
      </c>
      <c r="U15" s="544"/>
      <c r="V15" s="497" t="str">
        <f>IFERROR(INDEX(Adjusted!$137:$137,MATCH(U15,Adjusted!$4:$4,0)),"")</f>
        <v/>
      </c>
      <c r="W15" s="498" t="str">
        <f t="shared" si="0"/>
        <v/>
      </c>
      <c r="X15" s="499" t="str">
        <f t="shared" si="1"/>
        <v/>
      </c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</row>
    <row r="16" spans="1:38" s="77" customFormat="1" x14ac:dyDescent="0.2">
      <c r="A16" s="85"/>
      <c r="B16" s="85"/>
      <c r="C16" s="85"/>
      <c r="D16" s="85"/>
      <c r="E16" s="85"/>
      <c r="F16" s="85"/>
      <c r="G16" s="85"/>
      <c r="H16" s="85"/>
      <c r="I16" s="85"/>
      <c r="J16" s="127"/>
      <c r="K16" s="85"/>
      <c r="L16" s="85"/>
      <c r="M16" s="85"/>
      <c r="N16" s="85"/>
      <c r="O16" s="85"/>
      <c r="P16" s="85"/>
      <c r="Q16" s="85"/>
      <c r="R16" s="85"/>
      <c r="S16" s="545"/>
      <c r="T16" s="497">
        <f>IFERROR(INDEX(#REF!,MATCH(S16,#REF!,0)),0)</f>
        <v>0</v>
      </c>
      <c r="U16" s="544"/>
      <c r="V16" s="497" t="str">
        <f>IFERROR(INDEX(Adjusted!$137:$137,MATCH(U16,Adjusted!$4:$4,0)),"")</f>
        <v/>
      </c>
      <c r="W16" s="498" t="str">
        <f t="shared" si="0"/>
        <v/>
      </c>
      <c r="X16" s="499" t="str">
        <f t="shared" si="1"/>
        <v/>
      </c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</row>
    <row r="17" spans="1:38" s="77" customFormat="1" x14ac:dyDescent="0.2">
      <c r="A17" s="85"/>
      <c r="B17" s="85"/>
      <c r="C17" s="85"/>
      <c r="D17" s="85"/>
      <c r="E17" s="85"/>
      <c r="F17" s="85"/>
      <c r="G17" s="85"/>
      <c r="H17" s="85"/>
      <c r="I17" s="85"/>
      <c r="J17" s="127"/>
      <c r="K17" s="85"/>
      <c r="L17" s="85"/>
      <c r="M17" s="85"/>
      <c r="N17" s="85"/>
      <c r="O17" s="85"/>
      <c r="P17" s="85"/>
      <c r="Q17" s="85"/>
      <c r="R17" s="85"/>
      <c r="S17" s="545"/>
      <c r="T17" s="497">
        <f>IFERROR(INDEX(#REF!,MATCH(S17,#REF!,0)),0)</f>
        <v>0</v>
      </c>
      <c r="U17" s="544"/>
      <c r="V17" s="497" t="str">
        <f>IFERROR(INDEX(Adjusted!$137:$137,MATCH(U17,Adjusted!$4:$4,0)),"")</f>
        <v/>
      </c>
      <c r="W17" s="498" t="str">
        <f t="shared" si="0"/>
        <v/>
      </c>
      <c r="X17" s="499" t="str">
        <f t="shared" si="1"/>
        <v/>
      </c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</row>
    <row r="18" spans="1:38" s="77" customFormat="1" x14ac:dyDescent="0.2">
      <c r="A18" s="85"/>
      <c r="B18" s="85"/>
      <c r="C18" s="85"/>
      <c r="D18" s="85"/>
      <c r="E18" s="85"/>
      <c r="F18" s="85"/>
      <c r="G18" s="85"/>
      <c r="H18" s="85"/>
      <c r="I18" s="85"/>
      <c r="J18" s="127"/>
      <c r="K18" s="85"/>
      <c r="L18" s="85"/>
      <c r="M18" s="85"/>
      <c r="N18" s="85"/>
      <c r="O18" s="85"/>
      <c r="P18" s="85"/>
      <c r="Q18" s="85"/>
      <c r="R18" s="85"/>
      <c r="S18" s="545"/>
      <c r="T18" s="497">
        <f>IFERROR(INDEX(#REF!,MATCH(S18,#REF!,0)),0)</f>
        <v>0</v>
      </c>
      <c r="U18" s="544"/>
      <c r="V18" s="497" t="str">
        <f>IFERROR(INDEX(Adjusted!$137:$137,MATCH(U18,Adjusted!$4:$4,0)),"")</f>
        <v/>
      </c>
      <c r="W18" s="498" t="str">
        <f t="shared" si="0"/>
        <v/>
      </c>
      <c r="X18" s="499" t="str">
        <f t="shared" si="1"/>
        <v/>
      </c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</row>
    <row r="19" spans="1:38" s="77" customFormat="1" x14ac:dyDescent="0.2">
      <c r="A19" s="85"/>
      <c r="B19" s="85"/>
      <c r="C19" s="85"/>
      <c r="D19" s="85"/>
      <c r="E19" s="85"/>
      <c r="F19" s="85"/>
      <c r="G19" s="85"/>
      <c r="H19" s="85"/>
      <c r="I19" s="85"/>
      <c r="J19" s="127"/>
      <c r="K19" s="85"/>
      <c r="L19" s="85"/>
      <c r="M19" s="85"/>
      <c r="N19" s="85"/>
      <c r="O19" s="85"/>
      <c r="P19" s="85"/>
      <c r="Q19" s="85"/>
      <c r="R19" s="85"/>
      <c r="S19" s="545"/>
      <c r="T19" s="497">
        <f>IFERROR(INDEX(#REF!,MATCH(S19,#REF!,0)),0)</f>
        <v>0</v>
      </c>
      <c r="U19" s="544"/>
      <c r="V19" s="497" t="str">
        <f>IFERROR(INDEX(Adjusted!$137:$137,MATCH(U19,Adjusted!$4:$4,0)),"")</f>
        <v/>
      </c>
      <c r="W19" s="498" t="str">
        <f t="shared" si="0"/>
        <v/>
      </c>
      <c r="X19" s="499" t="str">
        <f t="shared" si="1"/>
        <v/>
      </c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</row>
    <row r="20" spans="1:38" s="77" customFormat="1" x14ac:dyDescent="0.2">
      <c r="A20" s="85"/>
      <c r="B20" s="85"/>
      <c r="C20" s="85"/>
      <c r="D20" s="85"/>
      <c r="E20" s="85"/>
      <c r="F20" s="85"/>
      <c r="G20" s="85"/>
      <c r="H20" s="85"/>
      <c r="I20" s="85"/>
      <c r="J20" s="127"/>
      <c r="K20" s="85"/>
      <c r="L20" s="85"/>
      <c r="M20" s="85"/>
      <c r="N20" s="85"/>
      <c r="O20" s="85"/>
      <c r="P20" s="85"/>
      <c r="Q20" s="85"/>
      <c r="R20" s="85"/>
      <c r="S20" s="545"/>
      <c r="T20" s="497">
        <f>IFERROR(INDEX(#REF!,MATCH(S20,#REF!,0)),0)</f>
        <v>0</v>
      </c>
      <c r="U20" s="544"/>
      <c r="V20" s="497" t="str">
        <f>IFERROR(INDEX(Adjusted!$137:$137,MATCH(U20,Adjusted!$4:$4,0)),"")</f>
        <v/>
      </c>
      <c r="W20" s="498" t="str">
        <f t="shared" si="0"/>
        <v/>
      </c>
      <c r="X20" s="499" t="str">
        <f t="shared" si="1"/>
        <v/>
      </c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</row>
    <row r="21" spans="1:38" s="77" customFormat="1" x14ac:dyDescent="0.2">
      <c r="A21" s="85"/>
      <c r="B21" s="85"/>
      <c r="C21" s="85"/>
      <c r="D21" s="85"/>
      <c r="E21" s="85"/>
      <c r="F21" s="85"/>
      <c r="G21" s="85"/>
      <c r="H21" s="85"/>
      <c r="I21" s="85"/>
      <c r="J21" s="127"/>
      <c r="K21" s="85"/>
      <c r="L21" s="85"/>
      <c r="M21" s="85"/>
      <c r="N21" s="85"/>
      <c r="O21" s="85"/>
      <c r="P21" s="85"/>
      <c r="Q21" s="85"/>
      <c r="R21" s="85"/>
      <c r="S21" s="545"/>
      <c r="T21" s="497">
        <f>IFERROR(INDEX(#REF!,MATCH(S21,#REF!,0)),0)</f>
        <v>0</v>
      </c>
      <c r="U21" s="544"/>
      <c r="V21" s="497" t="str">
        <f>IFERROR(INDEX(Adjusted!$137:$137,MATCH(U21,Adjusted!$4:$4,0)),"")</f>
        <v/>
      </c>
      <c r="W21" s="498" t="str">
        <f t="shared" si="0"/>
        <v/>
      </c>
      <c r="X21" s="499" t="str">
        <f t="shared" si="1"/>
        <v/>
      </c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</row>
    <row r="22" spans="1:38" s="77" customFormat="1" x14ac:dyDescent="0.2">
      <c r="A22" s="85"/>
      <c r="B22" s="85"/>
      <c r="C22" s="85"/>
      <c r="D22" s="85"/>
      <c r="E22" s="85"/>
      <c r="F22" s="85"/>
      <c r="G22" s="85"/>
      <c r="H22" s="85"/>
      <c r="I22" s="85"/>
      <c r="J22" s="127"/>
      <c r="K22" s="85"/>
      <c r="L22" s="85"/>
      <c r="M22" s="85"/>
      <c r="N22" s="85"/>
      <c r="O22" s="85"/>
      <c r="P22" s="85"/>
      <c r="Q22" s="85"/>
      <c r="R22" s="85"/>
      <c r="S22" s="545"/>
      <c r="T22" s="497">
        <f>IFERROR(INDEX(#REF!,MATCH(S22,#REF!,0)),0)</f>
        <v>0</v>
      </c>
      <c r="U22" s="544"/>
      <c r="V22" s="497" t="str">
        <f>IFERROR(INDEX(Adjusted!$137:$137,MATCH(U22,Adjusted!$4:$4,0)),"")</f>
        <v/>
      </c>
      <c r="W22" s="498" t="str">
        <f t="shared" si="0"/>
        <v/>
      </c>
      <c r="X22" s="499" t="str">
        <f t="shared" si="1"/>
        <v/>
      </c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</row>
    <row r="23" spans="1:38" s="77" customFormat="1" x14ac:dyDescent="0.2">
      <c r="A23" s="85"/>
      <c r="B23" s="85"/>
      <c r="C23" s="85"/>
      <c r="D23" s="85"/>
      <c r="E23" s="85"/>
      <c r="F23" s="85"/>
      <c r="G23" s="85"/>
      <c r="H23" s="85"/>
      <c r="I23" s="85"/>
      <c r="J23" s="127"/>
      <c r="K23" s="85"/>
      <c r="L23" s="85"/>
      <c r="M23" s="85"/>
      <c r="N23" s="85"/>
      <c r="O23" s="85"/>
      <c r="P23" s="85"/>
      <c r="Q23" s="85"/>
      <c r="R23" s="85"/>
      <c r="S23" s="545"/>
      <c r="T23" s="497">
        <f>IFERROR(INDEX(#REF!,MATCH(S23,#REF!,0)),0)</f>
        <v>0</v>
      </c>
      <c r="U23" s="544"/>
      <c r="V23" s="497" t="str">
        <f>IFERROR(INDEX(Adjusted!$137:$137,MATCH(U23,Adjusted!$4:$4,0)),"")</f>
        <v/>
      </c>
      <c r="W23" s="498" t="str">
        <f t="shared" si="0"/>
        <v/>
      </c>
      <c r="X23" s="499" t="str">
        <f t="shared" si="1"/>
        <v/>
      </c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</row>
    <row r="24" spans="1:38" s="77" customFormat="1" x14ac:dyDescent="0.2">
      <c r="A24" s="85"/>
      <c r="B24" s="85"/>
      <c r="C24" s="85"/>
      <c r="D24" s="85"/>
      <c r="E24" s="85"/>
      <c r="F24" s="85"/>
      <c r="G24" s="85"/>
      <c r="H24" s="85"/>
      <c r="I24" s="85"/>
      <c r="J24" s="127"/>
      <c r="K24" s="85"/>
      <c r="L24" s="85"/>
      <c r="M24" s="85"/>
      <c r="N24" s="85"/>
      <c r="O24" s="85"/>
      <c r="P24" s="85"/>
      <c r="Q24" s="85"/>
      <c r="R24" s="85"/>
      <c r="S24" s="545"/>
      <c r="T24" s="497">
        <f>IFERROR(INDEX(#REF!,MATCH(S24,#REF!,0)),0)</f>
        <v>0</v>
      </c>
      <c r="U24" s="544"/>
      <c r="V24" s="497" t="str">
        <f>IFERROR(INDEX(Adjusted!$137:$137,MATCH(U24,Adjusted!$4:$4,0)),"")</f>
        <v/>
      </c>
      <c r="W24" s="498" t="str">
        <f t="shared" si="0"/>
        <v/>
      </c>
      <c r="X24" s="499" t="str">
        <f t="shared" si="1"/>
        <v/>
      </c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</row>
    <row r="25" spans="1:38" s="77" customFormat="1" x14ac:dyDescent="0.2">
      <c r="A25" s="85"/>
      <c r="B25" s="85"/>
      <c r="C25" s="85"/>
      <c r="D25" s="85"/>
      <c r="E25" s="85"/>
      <c r="F25" s="85"/>
      <c r="G25" s="85"/>
      <c r="H25" s="85"/>
      <c r="I25" s="85"/>
      <c r="J25" s="127"/>
      <c r="K25" s="85"/>
      <c r="L25" s="85"/>
      <c r="M25" s="85"/>
      <c r="N25" s="85"/>
      <c r="O25" s="85"/>
      <c r="P25" s="85"/>
      <c r="Q25" s="85"/>
      <c r="R25" s="85"/>
      <c r="S25" s="545"/>
      <c r="T25" s="497">
        <f>IFERROR(INDEX(#REF!,MATCH(S25,#REF!,0)),0)</f>
        <v>0</v>
      </c>
      <c r="U25" s="544"/>
      <c r="V25" s="497" t="str">
        <f>IFERROR(INDEX(Adjusted!$137:$137,MATCH(U25,Adjusted!$4:$4,0)),"")</f>
        <v/>
      </c>
      <c r="W25" s="498" t="str">
        <f t="shared" si="0"/>
        <v/>
      </c>
      <c r="X25" s="499" t="str">
        <f t="shared" si="1"/>
        <v/>
      </c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</row>
    <row r="26" spans="1:38" s="77" customFormat="1" x14ac:dyDescent="0.2">
      <c r="A26" s="85"/>
      <c r="B26" s="85"/>
      <c r="C26" s="85"/>
      <c r="D26" s="85"/>
      <c r="E26" s="85"/>
      <c r="F26" s="85"/>
      <c r="G26" s="85"/>
      <c r="H26" s="85"/>
      <c r="I26" s="85"/>
      <c r="J26" s="127"/>
      <c r="K26" s="85"/>
      <c r="L26" s="85"/>
      <c r="M26" s="85"/>
      <c r="N26" s="85"/>
      <c r="O26" s="85"/>
      <c r="P26" s="85"/>
      <c r="Q26" s="85"/>
      <c r="R26" s="85"/>
      <c r="S26" s="545"/>
      <c r="T26" s="497">
        <f>IFERROR(INDEX(#REF!,MATCH(S26,#REF!,0)),0)</f>
        <v>0</v>
      </c>
      <c r="U26" s="544"/>
      <c r="V26" s="497" t="str">
        <f>IFERROR(INDEX(Adjusted!$137:$137,MATCH(U26,Adjusted!$4:$4,0)),"")</f>
        <v/>
      </c>
      <c r="W26" s="498" t="str">
        <f t="shared" si="0"/>
        <v/>
      </c>
      <c r="X26" s="499" t="str">
        <f t="shared" si="1"/>
        <v/>
      </c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</row>
    <row r="27" spans="1:38" s="77" customFormat="1" ht="11.25" x14ac:dyDescent="0.15">
      <c r="A27" s="85"/>
      <c r="B27" s="85"/>
      <c r="C27" s="85"/>
      <c r="D27" s="85"/>
      <c r="E27" s="85"/>
      <c r="F27" s="85"/>
      <c r="G27" s="85"/>
      <c r="H27" s="85"/>
      <c r="I27" s="85"/>
      <c r="J27" s="127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</row>
    <row r="28" spans="1:38" s="77" customFormat="1" ht="11.25" x14ac:dyDescent="0.15">
      <c r="A28" s="85"/>
      <c r="B28" s="85"/>
      <c r="C28" s="85"/>
      <c r="D28" s="85"/>
      <c r="E28" s="85"/>
      <c r="F28" s="85"/>
      <c r="G28" s="85"/>
      <c r="H28" s="85"/>
      <c r="I28" s="85"/>
      <c r="J28" s="127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</row>
    <row r="29" spans="1:38" s="77" customFormat="1" ht="11.25" x14ac:dyDescent="0.15">
      <c r="A29" s="85"/>
      <c r="B29" s="85"/>
      <c r="C29" s="85"/>
      <c r="D29" s="85"/>
      <c r="E29" s="85"/>
      <c r="F29" s="85"/>
      <c r="G29" s="85"/>
      <c r="H29" s="85"/>
      <c r="I29" s="85"/>
      <c r="J29" s="127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</row>
    <row r="30" spans="1:38" s="77" customFormat="1" ht="11.25" x14ac:dyDescent="0.15">
      <c r="A30" s="85"/>
      <c r="B30" s="85"/>
      <c r="C30" s="85"/>
      <c r="D30" s="85"/>
      <c r="E30" s="85"/>
      <c r="F30" s="85"/>
      <c r="G30" s="85"/>
      <c r="H30" s="85"/>
      <c r="I30" s="85"/>
      <c r="J30" s="127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</row>
    <row r="31" spans="1:38" s="77" customFormat="1" ht="11.25" x14ac:dyDescent="0.15">
      <c r="A31" s="85"/>
      <c r="B31" s="85"/>
      <c r="C31" s="85"/>
      <c r="D31" s="85"/>
      <c r="E31" s="85"/>
      <c r="F31" s="85"/>
      <c r="G31" s="85"/>
      <c r="H31" s="85"/>
      <c r="I31" s="85"/>
      <c r="J31" s="127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</row>
    <row r="32" spans="1:38" s="77" customFormat="1" ht="11.25" x14ac:dyDescent="0.15">
      <c r="A32" s="85"/>
      <c r="B32" s="85"/>
      <c r="C32" s="85"/>
      <c r="D32" s="85"/>
      <c r="E32" s="85"/>
      <c r="F32" s="85"/>
      <c r="G32" s="85"/>
      <c r="H32" s="85"/>
      <c r="I32" s="85"/>
      <c r="J32" s="127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</row>
    <row r="33" spans="1:38" s="77" customFormat="1" ht="11.25" x14ac:dyDescent="0.15">
      <c r="A33" s="85"/>
      <c r="B33" s="85"/>
      <c r="C33" s="85"/>
      <c r="D33" s="85"/>
      <c r="E33" s="85"/>
      <c r="F33" s="85"/>
      <c r="G33" s="85"/>
      <c r="H33" s="85"/>
      <c r="I33" s="85"/>
      <c r="J33" s="127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</row>
    <row r="34" spans="1:38" s="77" customFormat="1" ht="11.25" x14ac:dyDescent="0.15">
      <c r="A34" s="85"/>
      <c r="B34" s="85"/>
      <c r="C34" s="85"/>
      <c r="D34" s="85"/>
      <c r="E34" s="85"/>
      <c r="F34" s="85"/>
      <c r="G34" s="85"/>
      <c r="H34" s="85"/>
      <c r="I34" s="85"/>
      <c r="J34" s="127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</row>
    <row r="35" spans="1:38" s="77" customFormat="1" ht="11.25" x14ac:dyDescent="0.15">
      <c r="A35" s="85"/>
      <c r="B35" s="85"/>
      <c r="C35" s="85"/>
      <c r="D35" s="85"/>
      <c r="E35" s="85"/>
      <c r="F35" s="85"/>
      <c r="G35" s="85"/>
      <c r="H35" s="85"/>
      <c r="I35" s="85"/>
      <c r="J35" s="127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</row>
    <row r="36" spans="1:38" s="77" customFormat="1" ht="11.25" x14ac:dyDescent="0.15">
      <c r="A36" s="85"/>
      <c r="B36" s="85"/>
      <c r="C36" s="85"/>
      <c r="D36" s="85"/>
      <c r="E36" s="85"/>
      <c r="F36" s="85"/>
      <c r="G36" s="85"/>
      <c r="H36" s="85"/>
      <c r="I36" s="85"/>
      <c r="J36" s="127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</row>
    <row r="37" spans="1:38" s="77" customFormat="1" ht="11.25" x14ac:dyDescent="0.15">
      <c r="A37" s="85"/>
      <c r="B37" s="85"/>
      <c r="C37" s="85"/>
      <c r="D37" s="85"/>
      <c r="E37" s="85"/>
      <c r="F37" s="85"/>
      <c r="G37" s="85"/>
      <c r="H37" s="85"/>
      <c r="I37" s="85"/>
      <c r="J37" s="127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</row>
    <row r="38" spans="1:38" s="77" customFormat="1" ht="11.25" x14ac:dyDescent="0.15">
      <c r="A38" s="85"/>
      <c r="B38" s="85"/>
      <c r="C38" s="85"/>
      <c r="D38" s="85"/>
      <c r="E38" s="85"/>
      <c r="F38" s="85"/>
      <c r="G38" s="85"/>
      <c r="H38" s="85"/>
      <c r="I38" s="85"/>
      <c r="J38" s="127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</row>
    <row r="39" spans="1:38" s="77" customFormat="1" ht="11.25" x14ac:dyDescent="0.15">
      <c r="A39" s="85"/>
      <c r="B39" s="85"/>
      <c r="C39" s="85"/>
      <c r="D39" s="85"/>
      <c r="E39" s="85"/>
      <c r="F39" s="85"/>
      <c r="G39" s="85"/>
      <c r="H39" s="85"/>
      <c r="I39" s="85"/>
      <c r="J39" s="127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</row>
    <row r="40" spans="1:38" s="77" customFormat="1" ht="11.25" x14ac:dyDescent="0.15">
      <c r="A40" s="85"/>
      <c r="B40" s="85"/>
      <c r="C40" s="85"/>
      <c r="D40" s="85"/>
      <c r="E40" s="85"/>
      <c r="F40" s="85"/>
      <c r="G40" s="85"/>
      <c r="H40" s="85"/>
      <c r="I40" s="85"/>
      <c r="J40" s="127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</row>
    <row r="41" spans="1:38" s="77" customFormat="1" ht="11.25" x14ac:dyDescent="0.15">
      <c r="A41" s="85"/>
      <c r="B41" s="85"/>
      <c r="C41" s="85"/>
      <c r="D41" s="85"/>
      <c r="E41" s="85"/>
      <c r="F41" s="85"/>
      <c r="G41" s="85"/>
      <c r="H41" s="85"/>
      <c r="I41" s="85"/>
      <c r="J41" s="127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</row>
    <row r="42" spans="1:38" s="77" customFormat="1" ht="11.25" x14ac:dyDescent="0.15">
      <c r="A42" s="85"/>
      <c r="B42" s="85"/>
      <c r="C42" s="85"/>
      <c r="D42" s="85"/>
      <c r="E42" s="85"/>
      <c r="F42" s="85"/>
      <c r="G42" s="85"/>
      <c r="H42" s="85"/>
      <c r="I42" s="85"/>
      <c r="J42" s="127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</row>
    <row r="43" spans="1:38" s="77" customFormat="1" ht="11.25" x14ac:dyDescent="0.15">
      <c r="A43" s="85"/>
      <c r="B43" s="85"/>
      <c r="C43" s="85"/>
      <c r="D43" s="85"/>
      <c r="E43" s="85"/>
      <c r="F43" s="85"/>
      <c r="G43" s="85"/>
      <c r="H43" s="85"/>
      <c r="I43" s="85"/>
      <c r="J43" s="127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</row>
    <row r="44" spans="1:38" s="77" customFormat="1" ht="11.25" x14ac:dyDescent="0.15">
      <c r="A44" s="85"/>
      <c r="B44" s="85"/>
      <c r="C44" s="85"/>
      <c r="D44" s="85"/>
      <c r="E44" s="85"/>
      <c r="F44" s="85"/>
      <c r="G44" s="85"/>
      <c r="H44" s="85"/>
      <c r="I44" s="85"/>
      <c r="J44" s="127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</row>
    <row r="45" spans="1:38" s="77" customFormat="1" ht="11.25" x14ac:dyDescent="0.15">
      <c r="A45" s="85"/>
      <c r="B45" s="85"/>
      <c r="C45" s="85"/>
      <c r="D45" s="85"/>
      <c r="E45" s="85"/>
      <c r="F45" s="85"/>
      <c r="G45" s="85"/>
      <c r="H45" s="85"/>
      <c r="I45" s="85"/>
      <c r="J45" s="127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</row>
    <row r="46" spans="1:38" s="77" customFormat="1" ht="11.25" x14ac:dyDescent="0.15">
      <c r="A46" s="85"/>
      <c r="B46" s="85"/>
      <c r="C46" s="85"/>
      <c r="D46" s="85"/>
      <c r="E46" s="85"/>
      <c r="F46" s="85"/>
      <c r="G46" s="85"/>
      <c r="H46" s="85"/>
      <c r="I46" s="85"/>
      <c r="J46" s="127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</row>
    <row r="47" spans="1:38" s="77" customFormat="1" ht="11.25" x14ac:dyDescent="0.15">
      <c r="A47" s="85"/>
      <c r="B47" s="85"/>
      <c r="C47" s="85"/>
      <c r="D47" s="85"/>
      <c r="E47" s="85"/>
      <c r="F47" s="85"/>
      <c r="G47" s="85"/>
      <c r="H47" s="85"/>
      <c r="I47" s="85"/>
      <c r="J47" s="127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</row>
    <row r="48" spans="1:38" s="77" customFormat="1" ht="11.25" x14ac:dyDescent="0.15">
      <c r="A48" s="85"/>
      <c r="B48" s="85"/>
      <c r="C48" s="85"/>
      <c r="D48" s="85"/>
      <c r="E48" s="85"/>
      <c r="F48" s="85"/>
      <c r="G48" s="85"/>
      <c r="H48" s="85"/>
      <c r="I48" s="85"/>
      <c r="J48" s="127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</row>
    <row r="49" spans="1:38" s="77" customFormat="1" ht="11.25" x14ac:dyDescent="0.15">
      <c r="A49" s="85"/>
      <c r="B49" s="85"/>
      <c r="C49" s="85"/>
      <c r="D49" s="85"/>
      <c r="E49" s="85"/>
      <c r="F49" s="85"/>
      <c r="G49" s="85"/>
      <c r="H49" s="85"/>
      <c r="I49" s="85"/>
      <c r="J49" s="127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</row>
    <row r="50" spans="1:38" s="77" customFormat="1" ht="11.25" x14ac:dyDescent="0.15">
      <c r="A50" s="85"/>
      <c r="B50" s="85"/>
      <c r="C50" s="85"/>
      <c r="D50" s="85"/>
      <c r="E50" s="85"/>
      <c r="F50" s="85"/>
      <c r="G50" s="85"/>
      <c r="H50" s="85"/>
      <c r="I50" s="85"/>
      <c r="J50" s="127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</row>
    <row r="51" spans="1:38" s="77" customFormat="1" ht="11.25" x14ac:dyDescent="0.15">
      <c r="A51" s="85"/>
      <c r="B51" s="85"/>
      <c r="C51" s="85"/>
      <c r="D51" s="85"/>
      <c r="E51" s="85"/>
      <c r="F51" s="85"/>
      <c r="G51" s="85"/>
      <c r="H51" s="85"/>
      <c r="I51" s="85"/>
      <c r="J51" s="127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</row>
    <row r="52" spans="1:38" s="77" customFormat="1" ht="11.25" x14ac:dyDescent="0.15">
      <c r="A52" s="85"/>
      <c r="B52" s="85"/>
      <c r="C52" s="85"/>
      <c r="D52" s="85"/>
      <c r="E52" s="85"/>
      <c r="F52" s="85"/>
      <c r="G52" s="85"/>
      <c r="H52" s="85"/>
      <c r="I52" s="85"/>
      <c r="J52" s="127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</row>
    <row r="53" spans="1:38" s="77" customFormat="1" ht="11.25" x14ac:dyDescent="0.15">
      <c r="A53" s="85"/>
      <c r="B53" s="85"/>
      <c r="C53" s="85"/>
      <c r="D53" s="85"/>
      <c r="E53" s="85"/>
      <c r="F53" s="85"/>
      <c r="G53" s="85"/>
      <c r="H53" s="85"/>
      <c r="I53" s="85"/>
      <c r="J53" s="127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</row>
    <row r="54" spans="1:38" s="77" customFormat="1" ht="11.25" x14ac:dyDescent="0.15">
      <c r="A54" s="85"/>
      <c r="B54" s="85"/>
      <c r="C54" s="85"/>
      <c r="D54" s="85"/>
      <c r="E54" s="85"/>
      <c r="F54" s="85"/>
      <c r="G54" s="85"/>
      <c r="H54" s="85"/>
      <c r="I54" s="85"/>
      <c r="J54" s="127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</row>
    <row r="55" spans="1:38" s="77" customFormat="1" ht="11.25" x14ac:dyDescent="0.15">
      <c r="A55" s="85"/>
      <c r="B55" s="85"/>
      <c r="C55" s="85"/>
      <c r="D55" s="85"/>
      <c r="E55" s="85"/>
      <c r="F55" s="85"/>
      <c r="G55" s="85"/>
      <c r="H55" s="85"/>
      <c r="I55" s="85"/>
      <c r="J55" s="127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</row>
    <row r="56" spans="1:38" s="77" customFormat="1" ht="11.25" x14ac:dyDescent="0.15">
      <c r="A56" s="85"/>
      <c r="B56" s="85"/>
      <c r="C56" s="85"/>
      <c r="D56" s="85"/>
      <c r="E56" s="85"/>
      <c r="F56" s="85"/>
      <c r="G56" s="85"/>
      <c r="H56" s="85"/>
      <c r="I56" s="85"/>
      <c r="J56" s="127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</row>
    <row r="57" spans="1:38" s="77" customFormat="1" ht="11.25" x14ac:dyDescent="0.15">
      <c r="A57" s="85"/>
      <c r="B57" s="85"/>
      <c r="C57" s="85"/>
      <c r="D57" s="85"/>
      <c r="E57" s="85"/>
      <c r="F57" s="85"/>
      <c r="G57" s="85"/>
      <c r="H57" s="85"/>
      <c r="I57" s="85"/>
      <c r="J57" s="127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</row>
    <row r="58" spans="1:38" s="77" customFormat="1" ht="11.25" x14ac:dyDescent="0.15">
      <c r="A58" s="85"/>
      <c r="B58" s="85"/>
      <c r="C58" s="85"/>
      <c r="D58" s="85"/>
      <c r="E58" s="85"/>
      <c r="F58" s="85"/>
      <c r="G58" s="85"/>
      <c r="H58" s="85"/>
      <c r="I58" s="85"/>
      <c r="J58" s="127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</row>
    <row r="59" spans="1:38" s="77" customFormat="1" ht="11.25" x14ac:dyDescent="0.15">
      <c r="A59" s="85"/>
      <c r="B59" s="85"/>
      <c r="C59" s="85"/>
      <c r="D59" s="85"/>
      <c r="E59" s="85"/>
      <c r="F59" s="85"/>
      <c r="G59" s="85"/>
      <c r="H59" s="85"/>
      <c r="I59" s="85"/>
      <c r="J59" s="127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</row>
    <row r="60" spans="1:38" s="77" customFormat="1" ht="11.25" x14ac:dyDescent="0.15">
      <c r="A60" s="85"/>
      <c r="B60" s="85"/>
      <c r="C60" s="85"/>
      <c r="D60" s="85"/>
      <c r="E60" s="85"/>
      <c r="F60" s="85"/>
      <c r="G60" s="85"/>
      <c r="H60" s="85"/>
      <c r="I60" s="85"/>
      <c r="J60" s="127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</row>
    <row r="61" spans="1:38" s="77" customFormat="1" ht="11.25" x14ac:dyDescent="0.15">
      <c r="A61" s="85"/>
      <c r="B61" s="85"/>
      <c r="C61" s="85"/>
      <c r="D61" s="85"/>
      <c r="E61" s="85"/>
      <c r="F61" s="85"/>
      <c r="G61" s="85"/>
      <c r="H61" s="85"/>
      <c r="I61" s="85"/>
      <c r="J61" s="127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</row>
    <row r="62" spans="1:38" s="77" customFormat="1" ht="11.25" x14ac:dyDescent="0.15">
      <c r="A62" s="85"/>
      <c r="B62" s="85"/>
      <c r="C62" s="85"/>
      <c r="D62" s="85"/>
      <c r="E62" s="85"/>
      <c r="F62" s="85"/>
      <c r="G62" s="85"/>
      <c r="H62" s="85"/>
      <c r="I62" s="85"/>
      <c r="J62" s="127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</row>
    <row r="63" spans="1:38" s="77" customFormat="1" ht="11.25" x14ac:dyDescent="0.15">
      <c r="A63" s="85"/>
      <c r="B63" s="85"/>
      <c r="C63" s="85"/>
      <c r="D63" s="85"/>
      <c r="E63" s="85"/>
      <c r="F63" s="85"/>
      <c r="G63" s="85"/>
      <c r="H63" s="85"/>
      <c r="I63" s="85"/>
      <c r="J63" s="127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</row>
    <row r="64" spans="1:38" s="77" customFormat="1" ht="11.25" x14ac:dyDescent="0.15">
      <c r="A64" s="85"/>
      <c r="B64" s="85"/>
      <c r="C64" s="85"/>
      <c r="D64" s="85"/>
      <c r="E64" s="85"/>
      <c r="F64" s="85"/>
      <c r="G64" s="85"/>
      <c r="H64" s="85"/>
      <c r="I64" s="85"/>
      <c r="J64" s="127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</row>
    <row r="65" spans="1:38" s="77" customFormat="1" ht="11.25" x14ac:dyDescent="0.15">
      <c r="A65" s="85"/>
      <c r="B65" s="85"/>
      <c r="C65" s="85"/>
      <c r="D65" s="85"/>
      <c r="E65" s="85"/>
      <c r="F65" s="85"/>
      <c r="G65" s="85"/>
      <c r="H65" s="85"/>
      <c r="I65" s="85"/>
      <c r="J65" s="127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</row>
    <row r="66" spans="1:38" s="77" customFormat="1" ht="11.25" x14ac:dyDescent="0.15">
      <c r="A66" s="85"/>
      <c r="B66" s="85"/>
      <c r="C66" s="85"/>
      <c r="D66" s="85"/>
      <c r="E66" s="85"/>
      <c r="F66" s="85"/>
      <c r="G66" s="85"/>
      <c r="H66" s="85"/>
      <c r="I66" s="85"/>
      <c r="J66" s="127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</row>
    <row r="67" spans="1:38" s="77" customFormat="1" ht="11.25" x14ac:dyDescent="0.15">
      <c r="A67" s="85"/>
      <c r="B67" s="85"/>
      <c r="C67" s="85"/>
      <c r="D67" s="85"/>
      <c r="E67" s="85"/>
      <c r="F67" s="85"/>
      <c r="G67" s="85"/>
      <c r="H67" s="85"/>
      <c r="I67" s="85"/>
      <c r="J67" s="127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</row>
    <row r="68" spans="1:38" s="77" customFormat="1" ht="11.25" x14ac:dyDescent="0.15">
      <c r="A68" s="85"/>
      <c r="B68" s="85"/>
      <c r="C68" s="85"/>
      <c r="D68" s="85"/>
      <c r="E68" s="85"/>
      <c r="F68" s="85"/>
      <c r="G68" s="85"/>
      <c r="H68" s="85"/>
      <c r="I68" s="85"/>
      <c r="J68" s="127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</row>
    <row r="69" spans="1:38" s="77" customFormat="1" ht="11.25" x14ac:dyDescent="0.15">
      <c r="A69" s="85"/>
      <c r="B69" s="85"/>
      <c r="C69" s="85"/>
      <c r="D69" s="85"/>
      <c r="E69" s="85"/>
      <c r="F69" s="85"/>
      <c r="G69" s="85"/>
      <c r="H69" s="85"/>
      <c r="I69" s="85"/>
      <c r="J69" s="127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</row>
    <row r="70" spans="1:38" s="77" customFormat="1" ht="11.25" x14ac:dyDescent="0.15">
      <c r="A70" s="85"/>
      <c r="B70" s="85"/>
      <c r="C70" s="85"/>
      <c r="D70" s="85"/>
      <c r="E70" s="85"/>
      <c r="F70" s="85"/>
      <c r="G70" s="85"/>
      <c r="H70" s="85"/>
      <c r="I70" s="85"/>
      <c r="J70" s="127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</row>
    <row r="71" spans="1:38" s="77" customFormat="1" ht="11.25" x14ac:dyDescent="0.15">
      <c r="A71" s="85"/>
      <c r="B71" s="85"/>
      <c r="C71" s="85"/>
      <c r="D71" s="85"/>
      <c r="E71" s="85"/>
      <c r="F71" s="85"/>
      <c r="G71" s="85"/>
      <c r="H71" s="85"/>
      <c r="I71" s="85"/>
      <c r="J71" s="127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</row>
    <row r="72" spans="1:38" s="77" customFormat="1" ht="11.25" x14ac:dyDescent="0.15">
      <c r="A72" s="85"/>
      <c r="B72" s="85"/>
      <c r="C72" s="85"/>
      <c r="D72" s="85"/>
      <c r="E72" s="85"/>
      <c r="F72" s="85"/>
      <c r="G72" s="85"/>
      <c r="H72" s="85"/>
      <c r="I72" s="85"/>
      <c r="J72" s="127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</row>
    <row r="73" spans="1:38" s="77" customFormat="1" ht="11.25" x14ac:dyDescent="0.15">
      <c r="A73" s="85"/>
      <c r="B73" s="85"/>
      <c r="C73" s="85"/>
      <c r="D73" s="85"/>
      <c r="E73" s="85"/>
      <c r="F73" s="85"/>
      <c r="G73" s="85"/>
      <c r="H73" s="85"/>
      <c r="I73" s="85"/>
      <c r="J73" s="127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</row>
    <row r="74" spans="1:38" s="77" customFormat="1" ht="11.25" x14ac:dyDescent="0.15">
      <c r="A74" s="85"/>
      <c r="B74" s="85"/>
      <c r="C74" s="85"/>
      <c r="D74" s="85"/>
      <c r="E74" s="85"/>
      <c r="F74" s="85"/>
      <c r="G74" s="85"/>
      <c r="H74" s="85"/>
      <c r="I74" s="85"/>
      <c r="J74" s="127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</row>
    <row r="75" spans="1:38" s="77" customFormat="1" ht="11.25" x14ac:dyDescent="0.15">
      <c r="A75" s="85"/>
      <c r="B75" s="85"/>
      <c r="C75" s="85"/>
      <c r="D75" s="85"/>
      <c r="E75" s="85"/>
      <c r="F75" s="85"/>
      <c r="G75" s="85"/>
      <c r="H75" s="85"/>
      <c r="I75" s="85"/>
      <c r="J75" s="127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</row>
    <row r="76" spans="1:38" s="77" customFormat="1" ht="11.25" x14ac:dyDescent="0.15">
      <c r="A76" s="85"/>
      <c r="B76" s="85"/>
      <c r="C76" s="85"/>
      <c r="D76" s="85"/>
      <c r="E76" s="85"/>
      <c r="F76" s="85"/>
      <c r="G76" s="85"/>
      <c r="H76" s="85"/>
      <c r="I76" s="85"/>
      <c r="J76" s="127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</row>
    <row r="77" spans="1:38" s="77" customFormat="1" ht="11.25" x14ac:dyDescent="0.15">
      <c r="A77" s="85"/>
      <c r="B77" s="85"/>
      <c r="C77" s="85"/>
      <c r="D77" s="85"/>
      <c r="E77" s="85"/>
      <c r="F77" s="85"/>
      <c r="G77" s="85"/>
      <c r="H77" s="85"/>
      <c r="I77" s="85"/>
      <c r="J77" s="127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</row>
    <row r="78" spans="1:38" s="77" customFormat="1" ht="11.25" x14ac:dyDescent="0.15">
      <c r="A78" s="85"/>
      <c r="B78" s="85"/>
      <c r="C78" s="85"/>
      <c r="D78" s="85"/>
      <c r="E78" s="85"/>
      <c r="F78" s="85"/>
      <c r="G78" s="85"/>
      <c r="H78" s="85"/>
      <c r="I78" s="85"/>
      <c r="J78" s="127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</row>
    <row r="79" spans="1:38" s="77" customFormat="1" ht="11.25" x14ac:dyDescent="0.15">
      <c r="A79" s="85"/>
      <c r="B79" s="85"/>
      <c r="C79" s="85"/>
      <c r="D79" s="85"/>
      <c r="E79" s="85"/>
      <c r="F79" s="85"/>
      <c r="G79" s="85"/>
      <c r="H79" s="85"/>
      <c r="I79" s="85"/>
      <c r="J79" s="127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</row>
    <row r="80" spans="1:38" s="77" customFormat="1" ht="11.25" x14ac:dyDescent="0.15">
      <c r="A80" s="85"/>
      <c r="B80" s="85"/>
      <c r="C80" s="85"/>
      <c r="D80" s="85"/>
      <c r="E80" s="85"/>
      <c r="F80" s="85"/>
      <c r="G80" s="85"/>
      <c r="H80" s="85"/>
      <c r="I80" s="85"/>
      <c r="J80" s="127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</row>
    <row r="81" spans="1:38" s="77" customFormat="1" ht="11.25" x14ac:dyDescent="0.15">
      <c r="A81" s="85"/>
      <c r="B81" s="85"/>
      <c r="C81" s="85"/>
      <c r="D81" s="85"/>
      <c r="E81" s="85"/>
      <c r="F81" s="85"/>
      <c r="G81" s="85"/>
      <c r="H81" s="85"/>
      <c r="I81" s="85"/>
      <c r="J81" s="127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</row>
    <row r="82" spans="1:38" s="77" customFormat="1" ht="11.25" x14ac:dyDescent="0.15">
      <c r="A82" s="85"/>
      <c r="B82" s="85"/>
      <c r="C82" s="85"/>
      <c r="D82" s="85"/>
      <c r="E82" s="85"/>
      <c r="F82" s="85"/>
      <c r="G82" s="85"/>
      <c r="H82" s="85"/>
      <c r="I82" s="85"/>
      <c r="J82" s="127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</row>
    <row r="83" spans="1:38" s="77" customFormat="1" ht="11.25" x14ac:dyDescent="0.15">
      <c r="A83" s="85"/>
      <c r="B83" s="85"/>
      <c r="C83" s="85"/>
      <c r="D83" s="85"/>
      <c r="E83" s="85"/>
      <c r="F83" s="85"/>
      <c r="G83" s="85"/>
      <c r="H83" s="85"/>
      <c r="I83" s="85"/>
      <c r="J83" s="127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</row>
    <row r="84" spans="1:38" s="77" customFormat="1" ht="11.25" x14ac:dyDescent="0.15">
      <c r="A84" s="85"/>
      <c r="B84" s="85"/>
      <c r="C84" s="85"/>
      <c r="D84" s="85"/>
      <c r="E84" s="85"/>
      <c r="F84" s="85"/>
      <c r="G84" s="85"/>
      <c r="H84" s="85"/>
      <c r="I84" s="85"/>
      <c r="J84" s="127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</row>
    <row r="85" spans="1:38" s="77" customFormat="1" ht="11.25" x14ac:dyDescent="0.15">
      <c r="A85" s="85"/>
      <c r="B85" s="85"/>
      <c r="C85" s="85"/>
      <c r="D85" s="85"/>
      <c r="E85" s="85"/>
      <c r="F85" s="85"/>
      <c r="G85" s="85"/>
      <c r="H85" s="85"/>
      <c r="I85" s="85"/>
      <c r="J85" s="127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</row>
    <row r="86" spans="1:38" s="77" customFormat="1" ht="11.25" x14ac:dyDescent="0.15">
      <c r="A86" s="85"/>
      <c r="B86" s="85"/>
      <c r="C86" s="85"/>
      <c r="D86" s="85"/>
      <c r="E86" s="85"/>
      <c r="F86" s="85"/>
      <c r="G86" s="85"/>
      <c r="H86" s="85"/>
      <c r="I86" s="85"/>
      <c r="J86" s="127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</row>
    <row r="87" spans="1:38" s="77" customFormat="1" ht="11.25" x14ac:dyDescent="0.15">
      <c r="A87" s="85"/>
      <c r="B87" s="85"/>
      <c r="C87" s="85"/>
      <c r="D87" s="85"/>
      <c r="E87" s="85"/>
      <c r="F87" s="85"/>
      <c r="G87" s="85"/>
      <c r="H87" s="85"/>
      <c r="I87" s="85"/>
      <c r="J87" s="127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</row>
    <row r="88" spans="1:38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27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</row>
    <row r="89" spans="1:38" x14ac:dyDescent="0.2">
      <c r="A89" s="202" t="str">
        <f>Reported!A2</f>
        <v/>
      </c>
      <c r="B89" s="188"/>
      <c r="C89" s="331">
        <v>2012</v>
      </c>
      <c r="D89" s="332"/>
      <c r="E89" s="332"/>
      <c r="F89" s="333"/>
      <c r="G89" s="331">
        <f>YEAR(J91)</f>
        <v>2013</v>
      </c>
      <c r="H89" s="332"/>
      <c r="I89" s="332"/>
      <c r="J89" s="333"/>
      <c r="K89" s="331">
        <f>YEAR(N91)</f>
        <v>2014</v>
      </c>
      <c r="L89" s="332"/>
      <c r="M89" s="332"/>
      <c r="N89" s="333"/>
      <c r="O89" s="331">
        <f>YEAR(R91)</f>
        <v>2015</v>
      </c>
      <c r="P89" s="332"/>
      <c r="Q89" s="332"/>
      <c r="R89" s="333"/>
      <c r="S89" s="331">
        <f>YEAR(V91)</f>
        <v>2016</v>
      </c>
      <c r="T89" s="332"/>
      <c r="U89" s="332"/>
      <c r="V89" s="333"/>
      <c r="W89" s="331">
        <f>YEAR(Z91)</f>
        <v>2017</v>
      </c>
      <c r="X89" s="332"/>
      <c r="Y89" s="332"/>
      <c r="Z89" s="333"/>
      <c r="AA89" s="331">
        <f>YEAR(AD91)</f>
        <v>2018</v>
      </c>
      <c r="AB89" s="332"/>
      <c r="AC89" s="332"/>
      <c r="AD89" s="333"/>
      <c r="AE89" s="331">
        <f>YEAR(AH91)</f>
        <v>2019</v>
      </c>
      <c r="AF89" s="332"/>
      <c r="AG89" s="332"/>
      <c r="AH89" s="333"/>
      <c r="AI89" s="331">
        <f>YEAR(AL91)</f>
        <v>2020</v>
      </c>
      <c r="AJ89" s="332"/>
      <c r="AK89" s="332"/>
      <c r="AL89" s="333"/>
    </row>
    <row r="90" spans="1:38" x14ac:dyDescent="0.2">
      <c r="A90" s="328" t="str">
        <f>Reported!A3</f>
        <v/>
      </c>
      <c r="B90" s="356" t="s">
        <v>147</v>
      </c>
      <c r="C90" s="100" t="s">
        <v>42</v>
      </c>
      <c r="D90" s="101" t="s">
        <v>43</v>
      </c>
      <c r="E90" s="101" t="s">
        <v>44</v>
      </c>
      <c r="F90" s="102" t="s">
        <v>45</v>
      </c>
      <c r="G90" s="100" t="s">
        <v>42</v>
      </c>
      <c r="H90" s="101" t="s">
        <v>43</v>
      </c>
      <c r="I90" s="101" t="s">
        <v>44</v>
      </c>
      <c r="J90" s="102" t="s">
        <v>45</v>
      </c>
      <c r="K90" s="100" t="s">
        <v>42</v>
      </c>
      <c r="L90" s="101" t="s">
        <v>43</v>
      </c>
      <c r="M90" s="101" t="s">
        <v>44</v>
      </c>
      <c r="N90" s="102" t="s">
        <v>45</v>
      </c>
      <c r="O90" s="100" t="s">
        <v>42</v>
      </c>
      <c r="P90" s="101" t="s">
        <v>43</v>
      </c>
      <c r="Q90" s="101" t="s">
        <v>44</v>
      </c>
      <c r="R90" s="102" t="s">
        <v>45</v>
      </c>
      <c r="S90" s="100" t="s">
        <v>42</v>
      </c>
      <c r="T90" s="101" t="s">
        <v>43</v>
      </c>
      <c r="U90" s="101" t="s">
        <v>44</v>
      </c>
      <c r="V90" s="102" t="s">
        <v>45</v>
      </c>
      <c r="W90" s="100" t="s">
        <v>42</v>
      </c>
      <c r="X90" s="101" t="s">
        <v>43</v>
      </c>
      <c r="Y90" s="101" t="s">
        <v>44</v>
      </c>
      <c r="Z90" s="102" t="s">
        <v>45</v>
      </c>
      <c r="AA90" s="100" t="s">
        <v>42</v>
      </c>
      <c r="AB90" s="101" t="s">
        <v>43</v>
      </c>
      <c r="AC90" s="101" t="s">
        <v>44</v>
      </c>
      <c r="AD90" s="102" t="s">
        <v>45</v>
      </c>
      <c r="AE90" s="100" t="s">
        <v>42</v>
      </c>
      <c r="AF90" s="101" t="s">
        <v>43</v>
      </c>
      <c r="AG90" s="101" t="s">
        <v>44</v>
      </c>
      <c r="AH90" s="102" t="s">
        <v>45</v>
      </c>
      <c r="AI90" s="100" t="s">
        <v>42</v>
      </c>
      <c r="AJ90" s="101" t="s">
        <v>43</v>
      </c>
      <c r="AK90" s="101" t="s">
        <v>44</v>
      </c>
      <c r="AL90" s="102" t="s">
        <v>45</v>
      </c>
    </row>
    <row r="91" spans="1:38" x14ac:dyDescent="0.2">
      <c r="A91" s="339"/>
      <c r="B91" s="357">
        <f>INDEX($C91:$Z91,,MATCH("Forecast",$C$92:$Z$92,0)-1)</f>
        <v>42825</v>
      </c>
      <c r="C91" s="134">
        <f>Adjusted!I4</f>
        <v>40999</v>
      </c>
      <c r="D91" s="135">
        <f>Adjusted!J4</f>
        <v>41090</v>
      </c>
      <c r="E91" s="135">
        <f>Adjusted!K4</f>
        <v>41182</v>
      </c>
      <c r="F91" s="136">
        <f>Adjusted!L4</f>
        <v>41274</v>
      </c>
      <c r="G91" s="134">
        <f>Adjusted!M4</f>
        <v>41364</v>
      </c>
      <c r="H91" s="135">
        <f>Adjusted!N4</f>
        <v>41455</v>
      </c>
      <c r="I91" s="135">
        <f>Adjusted!O4</f>
        <v>41547</v>
      </c>
      <c r="J91" s="136">
        <f>Adjusted!P4</f>
        <v>41639</v>
      </c>
      <c r="K91" s="134">
        <f>Adjusted!Q4</f>
        <v>41729</v>
      </c>
      <c r="L91" s="135">
        <f>Adjusted!R4</f>
        <v>41820</v>
      </c>
      <c r="M91" s="135">
        <f>Adjusted!S4</f>
        <v>41912</v>
      </c>
      <c r="N91" s="136">
        <f>Adjusted!T4</f>
        <v>42004</v>
      </c>
      <c r="O91" s="134">
        <f>Adjusted!U4</f>
        <v>42094</v>
      </c>
      <c r="P91" s="135">
        <f>Adjusted!V4</f>
        <v>42185</v>
      </c>
      <c r="Q91" s="135">
        <f>Adjusted!W4</f>
        <v>42277</v>
      </c>
      <c r="R91" s="136">
        <f>Adjusted!X4</f>
        <v>42369</v>
      </c>
      <c r="S91" s="134">
        <f>Adjusted!Y4</f>
        <v>42460</v>
      </c>
      <c r="T91" s="135">
        <f>Adjusted!Z4</f>
        <v>42551</v>
      </c>
      <c r="U91" s="135">
        <f>Adjusted!AA4</f>
        <v>42643</v>
      </c>
      <c r="V91" s="136">
        <f>Adjusted!AB4</f>
        <v>42735</v>
      </c>
      <c r="W91" s="134">
        <f>Adjusted!AC4</f>
        <v>42825</v>
      </c>
      <c r="X91" s="135">
        <f>Adjusted!AD4</f>
        <v>42916</v>
      </c>
      <c r="Y91" s="135">
        <f>Adjusted!AE4</f>
        <v>43008</v>
      </c>
      <c r="Z91" s="136">
        <f>Adjusted!AF4</f>
        <v>43100</v>
      </c>
      <c r="AA91" s="134">
        <f>Adjusted!AG4</f>
        <v>43190</v>
      </c>
      <c r="AB91" s="135">
        <f>Adjusted!AH4</f>
        <v>43281</v>
      </c>
      <c r="AC91" s="135">
        <f>Adjusted!AI4</f>
        <v>43373</v>
      </c>
      <c r="AD91" s="136">
        <f>Adjusted!AJ4</f>
        <v>43465</v>
      </c>
      <c r="AE91" s="134">
        <f>Adjusted!AK4</f>
        <v>43555</v>
      </c>
      <c r="AF91" s="135">
        <f>Adjusted!AL4</f>
        <v>43646</v>
      </c>
      <c r="AG91" s="135">
        <f>Adjusted!AM4</f>
        <v>43738</v>
      </c>
      <c r="AH91" s="136">
        <f>Adjusted!AN4</f>
        <v>43830</v>
      </c>
      <c r="AI91" s="134">
        <f>Adjusted!AO4</f>
        <v>43921</v>
      </c>
      <c r="AJ91" s="135">
        <f>Adjusted!AP4</f>
        <v>44012</v>
      </c>
      <c r="AK91" s="135">
        <f>Adjusted!AQ4</f>
        <v>44104</v>
      </c>
      <c r="AL91" s="136">
        <f>Adjusted!AR4</f>
        <v>44196</v>
      </c>
    </row>
    <row r="92" spans="1:38" x14ac:dyDescent="0.2">
      <c r="A92" s="85"/>
      <c r="B92" s="358"/>
      <c r="C92" s="126" t="str">
        <f>IF(Adjusted!I5="Forecast","Forecast","Actual")</f>
        <v>Actual</v>
      </c>
      <c r="D92" s="92" t="str">
        <f>IF(Adjusted!J5="Forecast","Forecast","Actual")</f>
        <v>Actual</v>
      </c>
      <c r="E92" s="92" t="str">
        <f>IF(Adjusted!K5="Forecast","Forecast","Actual")</f>
        <v>Actual</v>
      </c>
      <c r="F92" s="249" t="str">
        <f>IF(Adjusted!L5="Forecast","Forecast","Actual")</f>
        <v>Actual</v>
      </c>
      <c r="G92" s="511" t="str">
        <f>IF(Adjusted!M5="Forecast","Forecast","Actual")</f>
        <v>Actual</v>
      </c>
      <c r="H92" s="512" t="str">
        <f>IF(Adjusted!N5="Forecast","Forecast","Actual")</f>
        <v>Actual</v>
      </c>
      <c r="I92" s="512" t="str">
        <f>IF(Adjusted!O5="Forecast","Forecast","Actual")</f>
        <v>Actual</v>
      </c>
      <c r="J92" s="513" t="str">
        <f>IF(Adjusted!P5="Forecast","Forecast","Actual")</f>
        <v>Actual</v>
      </c>
      <c r="K92" s="511" t="str">
        <f>IF(Adjusted!Q5="Forecast","Forecast","Actual")</f>
        <v>Actual</v>
      </c>
      <c r="L92" s="512" t="str">
        <f>IF(Adjusted!R5="Forecast","Forecast","Actual")</f>
        <v>Actual</v>
      </c>
      <c r="M92" s="512" t="str">
        <f>IF(Adjusted!S5="Forecast","Forecast","Actual")</f>
        <v>Actual</v>
      </c>
      <c r="N92" s="513" t="str">
        <f>IF(Adjusted!T5="Forecast","Forecast","Actual")</f>
        <v>Actual</v>
      </c>
      <c r="O92" s="511" t="str">
        <f>IF(Adjusted!U5="Forecast","Forecast","Actual")</f>
        <v>Actual</v>
      </c>
      <c r="P92" s="512" t="str">
        <f>IF(Adjusted!V5="Forecast","Forecast","Actual")</f>
        <v>Actual</v>
      </c>
      <c r="Q92" s="512" t="str">
        <f>IF(Adjusted!W5="Forecast","Forecast","Actual")</f>
        <v>Actual</v>
      </c>
      <c r="R92" s="513" t="str">
        <f>IF(Adjusted!X5="Forecast","Forecast","Actual")</f>
        <v>Actual</v>
      </c>
      <c r="S92" s="511" t="str">
        <f>IF(Adjusted!Y5="Forecast","Forecast","Actual")</f>
        <v>Actual</v>
      </c>
      <c r="T92" s="512" t="str">
        <f>IF(Adjusted!Z5="Forecast","Forecast","Actual")</f>
        <v>Actual</v>
      </c>
      <c r="U92" s="512" t="str">
        <f>IF(Adjusted!AA5="Forecast","Forecast","Actual")</f>
        <v>Actual</v>
      </c>
      <c r="V92" s="513" t="str">
        <f>IF(Adjusted!AB5="Forecast","Forecast","Actual")</f>
        <v>Actual</v>
      </c>
      <c r="W92" s="511" t="str">
        <f>IF(Adjusted!AC5="Forecast","Forecast","Actual")</f>
        <v>Actual</v>
      </c>
      <c r="X92" s="515" t="str">
        <f>IF(Adjusted!AD5="Forecast","Forecast","Actual")</f>
        <v>Forecast</v>
      </c>
      <c r="Y92" s="515" t="str">
        <f>IF(Adjusted!AE5="Forecast","Forecast","Actual")</f>
        <v>Forecast</v>
      </c>
      <c r="Z92" s="516" t="str">
        <f>IF(Adjusted!AF5="Forecast","Forecast","Actual")</f>
        <v>Forecast</v>
      </c>
      <c r="AA92" s="514" t="str">
        <f>IF(Adjusted!AG5="Forecast","Forecast","Actual")</f>
        <v>Forecast</v>
      </c>
      <c r="AB92" s="515" t="str">
        <f>IF(Adjusted!AH5="Forecast","Forecast","Actual")</f>
        <v>Forecast</v>
      </c>
      <c r="AC92" s="515" t="str">
        <f>IF(Adjusted!AI5="Forecast","Forecast","Actual")</f>
        <v>Forecast</v>
      </c>
      <c r="AD92" s="516" t="str">
        <f>IF(Adjusted!AJ5="Forecast","Forecast","Actual")</f>
        <v>Forecast</v>
      </c>
      <c r="AE92" s="514" t="str">
        <f>IF(Adjusted!AK5="Forecast","Forecast","Actual")</f>
        <v>Forecast</v>
      </c>
      <c r="AF92" s="515" t="str">
        <f>IF(Adjusted!AL5="Forecast","Forecast","Actual")</f>
        <v>Forecast</v>
      </c>
      <c r="AG92" s="515" t="str">
        <f>IF(Adjusted!AM5="Forecast","Forecast","Actual")</f>
        <v>Forecast</v>
      </c>
      <c r="AH92" s="516" t="str">
        <f>IF(Adjusted!AN5="Forecast","Forecast","Actual")</f>
        <v>Forecast</v>
      </c>
      <c r="AI92" s="514" t="str">
        <f>IF(Adjusted!AO5="Forecast","Forecast","Actual")</f>
        <v>Forecast</v>
      </c>
      <c r="AJ92" s="515" t="str">
        <f>IF(Adjusted!AP5="Forecast","Forecast","Actual")</f>
        <v>Forecast</v>
      </c>
      <c r="AK92" s="515" t="str">
        <f>IF(Adjusted!AQ5="Forecast","Forecast","Actual")</f>
        <v>Forecast</v>
      </c>
      <c r="AL92" s="516" t="str">
        <f>IF(Adjusted!AR5="Forecast","Forecast","Actual")</f>
        <v>Forecast</v>
      </c>
    </row>
    <row r="93" spans="1:38" x14ac:dyDescent="0.2">
      <c r="A93" s="85" t="s">
        <v>23</v>
      </c>
      <c r="B93" s="359">
        <f t="shared" ref="B93:B94" si="2">INDEX($C93:$Z93,,MATCH("Forecast",$C$92:$Z$92,0)-1)</f>
        <v>0</v>
      </c>
      <c r="C93" s="126"/>
      <c r="D93" s="92"/>
      <c r="E93" s="92"/>
      <c r="F93" s="341">
        <f>F94+F95</f>
        <v>0</v>
      </c>
      <c r="G93" s="84">
        <f t="shared" ref="G93:I93" si="3">G94+G95</f>
        <v>0</v>
      </c>
      <c r="H93" s="248">
        <f t="shared" si="3"/>
        <v>0</v>
      </c>
      <c r="I93" s="248">
        <f t="shared" si="3"/>
        <v>0</v>
      </c>
      <c r="J93" s="341">
        <f t="shared" ref="J93" si="4">J94+J95</f>
        <v>0</v>
      </c>
      <c r="K93" s="84">
        <f t="shared" ref="K93" si="5">K94+K95</f>
        <v>0</v>
      </c>
      <c r="L93" s="248">
        <f t="shared" ref="L93" si="6">L94+L95</f>
        <v>0</v>
      </c>
      <c r="M93" s="248">
        <f t="shared" ref="M93" si="7">M94+M95</f>
        <v>0</v>
      </c>
      <c r="N93" s="341">
        <f t="shared" ref="N93" si="8">N94+N95</f>
        <v>0</v>
      </c>
      <c r="O93" s="84">
        <f t="shared" ref="O93" si="9">O94+O95</f>
        <v>0</v>
      </c>
      <c r="P93" s="248">
        <f t="shared" ref="P93:Q93" si="10">P94+P95</f>
        <v>0</v>
      </c>
      <c r="Q93" s="248">
        <f t="shared" si="10"/>
        <v>0</v>
      </c>
      <c r="R93" s="341">
        <f t="shared" ref="R93:U93" si="11">R94+R95</f>
        <v>0</v>
      </c>
      <c r="S93" s="84">
        <f t="shared" si="11"/>
        <v>0</v>
      </c>
      <c r="T93" s="248">
        <f t="shared" si="11"/>
        <v>0</v>
      </c>
      <c r="U93" s="248">
        <f t="shared" si="11"/>
        <v>0</v>
      </c>
      <c r="V93" s="341">
        <f t="shared" ref="V93" si="12">V94+V95</f>
        <v>0</v>
      </c>
      <c r="W93" s="84">
        <f t="shared" ref="W93:Z93" si="13">W94+W95</f>
        <v>0</v>
      </c>
      <c r="X93" s="342">
        <f t="shared" si="13"/>
        <v>0</v>
      </c>
      <c r="Y93" s="342">
        <f t="shared" si="13"/>
        <v>0</v>
      </c>
      <c r="Z93" s="343">
        <f t="shared" si="13"/>
        <v>0</v>
      </c>
      <c r="AA93" s="344">
        <f t="shared" ref="AA93:AD93" si="14">AA94+AA95</f>
        <v>0</v>
      </c>
      <c r="AB93" s="342">
        <f t="shared" si="14"/>
        <v>0</v>
      </c>
      <c r="AC93" s="342">
        <f t="shared" si="14"/>
        <v>0</v>
      </c>
      <c r="AD93" s="343">
        <f t="shared" si="14"/>
        <v>0</v>
      </c>
      <c r="AE93" s="344">
        <f t="shared" ref="AE93:AH93" si="15">AE94+AE95</f>
        <v>0</v>
      </c>
      <c r="AF93" s="342">
        <f t="shared" si="15"/>
        <v>0</v>
      </c>
      <c r="AG93" s="342">
        <f t="shared" si="15"/>
        <v>0</v>
      </c>
      <c r="AH93" s="343">
        <f t="shared" si="15"/>
        <v>0</v>
      </c>
      <c r="AI93" s="344">
        <f t="shared" ref="AI93:AL93" si="16">AI94+AI95</f>
        <v>0</v>
      </c>
      <c r="AJ93" s="342">
        <f t="shared" si="16"/>
        <v>0</v>
      </c>
      <c r="AK93" s="342">
        <f t="shared" si="16"/>
        <v>0</v>
      </c>
      <c r="AL93" s="343">
        <f t="shared" si="16"/>
        <v>0</v>
      </c>
    </row>
    <row r="94" spans="1:38" x14ac:dyDescent="0.2">
      <c r="A94" s="85" t="s">
        <v>98</v>
      </c>
      <c r="B94" s="359">
        <f t="shared" si="2"/>
        <v>0</v>
      </c>
      <c r="C94" s="126"/>
      <c r="D94" s="92"/>
      <c r="E94" s="92"/>
      <c r="F94" s="341">
        <f>SUM(Adjusted!I20:L20)+SUM(Adjusted!I14:L14)</f>
        <v>0</v>
      </c>
      <c r="G94" s="84">
        <f>SUM(Adjusted!J20:M20)+SUM(Adjusted!J14:M14)</f>
        <v>0</v>
      </c>
      <c r="H94" s="248">
        <f>SUM(Adjusted!K20:N20)+SUM(Adjusted!K14:N14)</f>
        <v>0</v>
      </c>
      <c r="I94" s="248">
        <f>SUM(Adjusted!L20:O20)+SUM(Adjusted!L14:O14)</f>
        <v>0</v>
      </c>
      <c r="J94" s="341">
        <f>SUM(Adjusted!M20:P20)+SUM(Adjusted!M14:P14)</f>
        <v>0</v>
      </c>
      <c r="K94" s="84">
        <f>SUM(Adjusted!N20:Q20)+SUM(Adjusted!N14:Q14)</f>
        <v>0</v>
      </c>
      <c r="L94" s="248">
        <f>SUM(Adjusted!O20:R20)+SUM(Adjusted!O14:R14)</f>
        <v>0</v>
      </c>
      <c r="M94" s="248">
        <f>SUM(Adjusted!P20:S20)+SUM(Adjusted!P14:S14)</f>
        <v>0</v>
      </c>
      <c r="N94" s="341">
        <f>SUM(Adjusted!Q20:T20)+SUM(Adjusted!Q14:T14)</f>
        <v>0</v>
      </c>
      <c r="O94" s="84">
        <f>SUM(Adjusted!R20:U20)+SUM(Adjusted!R14:U14)</f>
        <v>0</v>
      </c>
      <c r="P94" s="248">
        <f>SUM(Adjusted!S20:V20)+SUM(Adjusted!S14:V14)</f>
        <v>0</v>
      </c>
      <c r="Q94" s="248">
        <f>SUM(Adjusted!T20:W20)+SUM(Adjusted!T14:W14)</f>
        <v>0</v>
      </c>
      <c r="R94" s="341">
        <f>SUM(Adjusted!U20:X20)+SUM(Adjusted!U14:X14)</f>
        <v>0</v>
      </c>
      <c r="S94" s="84">
        <f>SUM(Adjusted!V20:Y20)+SUM(Adjusted!V14:Y14)</f>
        <v>0</v>
      </c>
      <c r="T94" s="248">
        <f>SUM(Adjusted!W20:Z20)+SUM(Adjusted!W14:Z14)</f>
        <v>0</v>
      </c>
      <c r="U94" s="248">
        <f>SUM(Adjusted!X20:AA20)+SUM(Adjusted!X14:AA14)</f>
        <v>0</v>
      </c>
      <c r="V94" s="341">
        <f>SUM(Adjusted!Y20:AB20)+SUM(Adjusted!Y14:AB14)</f>
        <v>0</v>
      </c>
      <c r="W94" s="84">
        <f>SUM(Adjusted!Z20:AC20)+SUM(Adjusted!Z14:AC14)</f>
        <v>0</v>
      </c>
      <c r="X94" s="342">
        <f>SUM(Adjusted!AA20:AD20)+SUM(Adjusted!AA14:AD14)</f>
        <v>0</v>
      </c>
      <c r="Y94" s="342">
        <f>SUM(Adjusted!AB20:AE20)+SUM(Adjusted!AB14:AE14)</f>
        <v>0</v>
      </c>
      <c r="Z94" s="343">
        <f>SUM(Adjusted!AC20:AF20)+SUM(Adjusted!AC14:AF14)</f>
        <v>0</v>
      </c>
      <c r="AA94" s="344">
        <f>SUM(Adjusted!AD20:AG20)+SUM(Adjusted!AD14:AG14)</f>
        <v>0</v>
      </c>
      <c r="AB94" s="342">
        <f>SUM(Adjusted!AE20:AH20)+SUM(Adjusted!AE14:AH14)</f>
        <v>0</v>
      </c>
      <c r="AC94" s="342">
        <f>SUM(Adjusted!AF20:AI20)+SUM(Adjusted!AF14:AI14)</f>
        <v>0</v>
      </c>
      <c r="AD94" s="343">
        <f>SUM(Adjusted!AG20:AJ20)+SUM(Adjusted!AG14:AJ14)</f>
        <v>0</v>
      </c>
      <c r="AE94" s="344">
        <f>SUM(Adjusted!AH20:AK20)+SUM(Adjusted!AH14:AK14)</f>
        <v>0</v>
      </c>
      <c r="AF94" s="342">
        <f>SUM(Adjusted!AI20:AL20)+SUM(Adjusted!AI14:AL14)</f>
        <v>0</v>
      </c>
      <c r="AG94" s="342">
        <f>SUM(Adjusted!AJ20:AM20)+SUM(Adjusted!AJ14:AM14)</f>
        <v>0</v>
      </c>
      <c r="AH94" s="343">
        <f>SUM(Adjusted!AK20:AN20)+SUM(Adjusted!AK14:AN14)</f>
        <v>0</v>
      </c>
      <c r="AI94" s="344">
        <f>SUM(Adjusted!AL20:AO20)+SUM(Adjusted!AL14:AO14)</f>
        <v>0</v>
      </c>
      <c r="AJ94" s="342">
        <f>SUM(Adjusted!AM20:AP20)+SUM(Adjusted!AM14:AP14)</f>
        <v>0</v>
      </c>
      <c r="AK94" s="342">
        <f>SUM(Adjusted!AN20:AQ20)+SUM(Adjusted!AN14:AQ14)</f>
        <v>0</v>
      </c>
      <c r="AL94" s="343">
        <f>SUM(Adjusted!AO20:AR20)+SUM(Adjusted!AO14:AR14)</f>
        <v>0</v>
      </c>
    </row>
    <row r="95" spans="1:38" x14ac:dyDescent="0.2">
      <c r="A95" s="85"/>
      <c r="B95" s="359"/>
      <c r="C95" s="126"/>
      <c r="D95" s="92"/>
      <c r="E95" s="92"/>
      <c r="F95" s="341"/>
      <c r="G95" s="84"/>
      <c r="H95" s="248"/>
      <c r="I95" s="248"/>
      <c r="J95" s="341"/>
      <c r="K95" s="84"/>
      <c r="L95" s="248"/>
      <c r="M95" s="248"/>
      <c r="N95" s="341"/>
      <c r="O95" s="84"/>
      <c r="P95" s="248"/>
      <c r="Q95" s="248"/>
      <c r="R95" s="341"/>
      <c r="S95" s="84"/>
      <c r="T95" s="248"/>
      <c r="U95" s="248"/>
      <c r="V95" s="341"/>
      <c r="W95" s="84"/>
      <c r="X95" s="342"/>
      <c r="Y95" s="342"/>
      <c r="Z95" s="343"/>
      <c r="AA95" s="344"/>
      <c r="AB95" s="342"/>
      <c r="AC95" s="342"/>
      <c r="AD95" s="343"/>
      <c r="AE95" s="344"/>
      <c r="AF95" s="342"/>
      <c r="AG95" s="342"/>
      <c r="AH95" s="343"/>
      <c r="AI95" s="344"/>
      <c r="AJ95" s="342"/>
      <c r="AK95" s="342"/>
      <c r="AL95" s="343"/>
    </row>
    <row r="96" spans="1:38" ht="15.75" x14ac:dyDescent="0.25">
      <c r="A96" s="85" t="s">
        <v>142</v>
      </c>
      <c r="B96" s="371">
        <f>INDEX($C96:$Z96,,MATCH("Forecast",$C$92:$Z$92,0)-1)</f>
        <v>0</v>
      </c>
      <c r="C96" s="372"/>
      <c r="D96" s="373"/>
      <c r="E96" s="373"/>
      <c r="F96" s="374">
        <f>SUM(Adjusted!I15:L15)+SUM(Adjusted!I21:L21)</f>
        <v>0</v>
      </c>
      <c r="G96" s="375">
        <f>SUM(Adjusted!J15:M15)+SUM(Adjusted!J21:M21)</f>
        <v>0</v>
      </c>
      <c r="H96" s="376">
        <f>SUM(Adjusted!K15:N15)+SUM(Adjusted!K21:N21)</f>
        <v>0</v>
      </c>
      <c r="I96" s="376">
        <f>SUM(Adjusted!L15:O15)+SUM(Adjusted!L21:O21)</f>
        <v>0</v>
      </c>
      <c r="J96" s="374">
        <f>SUM(Adjusted!M15:P15)+SUM(Adjusted!M21:P21)</f>
        <v>0</v>
      </c>
      <c r="K96" s="375">
        <f>SUM(Adjusted!N15:Q15)+SUM(Adjusted!N21:Q21)</f>
        <v>0</v>
      </c>
      <c r="L96" s="376">
        <f>SUM(Adjusted!O15:R15)+SUM(Adjusted!O21:R21)</f>
        <v>0</v>
      </c>
      <c r="M96" s="376">
        <f>SUM(Adjusted!P15:S15)+SUM(Adjusted!P21:S21)</f>
        <v>0</v>
      </c>
      <c r="N96" s="374">
        <f>SUM(Adjusted!Q15:T15)+SUM(Adjusted!Q21:T21)</f>
        <v>0</v>
      </c>
      <c r="O96" s="375">
        <f>SUM(Adjusted!R15:U15)+SUM(Adjusted!R21:U21)</f>
        <v>0</v>
      </c>
      <c r="P96" s="376">
        <f>SUM(Adjusted!S15:V15)+SUM(Adjusted!S21:V21)</f>
        <v>0</v>
      </c>
      <c r="Q96" s="376">
        <f>SUM(Adjusted!T15:W15)+SUM(Adjusted!T21:W21)</f>
        <v>0</v>
      </c>
      <c r="R96" s="374">
        <f>SUM(Adjusted!U15:X15)+SUM(Adjusted!U21:X21)</f>
        <v>0</v>
      </c>
      <c r="S96" s="375">
        <f>SUM(Adjusted!V15:Y15)+SUM(Adjusted!V21:Y21)</f>
        <v>0</v>
      </c>
      <c r="T96" s="376">
        <f>SUM(Adjusted!W15:Z15)+SUM(Adjusted!W21:Z21)</f>
        <v>0</v>
      </c>
      <c r="U96" s="376">
        <f>SUM(Adjusted!X15:AA15)+SUM(Adjusted!X21:AA21)</f>
        <v>0</v>
      </c>
      <c r="V96" s="374">
        <f>SUM(Adjusted!Y15:AB15)+SUM(Adjusted!Y21:AB21)</f>
        <v>0</v>
      </c>
      <c r="W96" s="375">
        <f>SUM(Adjusted!Z15:AC15)+SUM(Adjusted!Z21:AC21)</f>
        <v>0</v>
      </c>
      <c r="X96" s="109">
        <f>SUM(Adjusted!AA15:AD15)+SUM(Adjusted!AA21:AD21)</f>
        <v>0</v>
      </c>
      <c r="Y96" s="109">
        <f>SUM(Adjusted!AB15:AE15)+SUM(Adjusted!AB21:AE21)</f>
        <v>0</v>
      </c>
      <c r="Z96" s="175">
        <f>SUM(Adjusted!AC15:AF15)+SUM(Adjusted!AC21:AF21)</f>
        <v>0</v>
      </c>
      <c r="AA96" s="108">
        <f>SUM(Adjusted!AD15:AG15)+SUM(Adjusted!AD21:AG21)</f>
        <v>0</v>
      </c>
      <c r="AB96" s="109">
        <f>SUM(Adjusted!AE15:AH15)+SUM(Adjusted!AE21:AH21)</f>
        <v>0</v>
      </c>
      <c r="AC96" s="109">
        <f>SUM(Adjusted!AF15:AI15)+SUM(Adjusted!AF21:AI21)</f>
        <v>0</v>
      </c>
      <c r="AD96" s="175">
        <f>SUM(Adjusted!AG15:AJ15)+SUM(Adjusted!AG21:AJ21)</f>
        <v>0</v>
      </c>
      <c r="AE96" s="108">
        <f>SUM(Adjusted!AH15:AK15)+SUM(Adjusted!AH21:AK21)</f>
        <v>0</v>
      </c>
      <c r="AF96" s="109">
        <f>SUM(Adjusted!AI15:AL15)+SUM(Adjusted!AI21:AL21)</f>
        <v>0</v>
      </c>
      <c r="AG96" s="109">
        <f>SUM(Adjusted!AJ15:AM15)+SUM(Adjusted!AJ21:AM21)</f>
        <v>0</v>
      </c>
      <c r="AH96" s="175">
        <f>SUM(Adjusted!AK15:AN15)+SUM(Adjusted!AK21:AN21)</f>
        <v>0</v>
      </c>
      <c r="AI96" s="108">
        <f>SUM(Adjusted!AL15:AO15)+SUM(Adjusted!AL21:AO21)</f>
        <v>0</v>
      </c>
      <c r="AJ96" s="109">
        <f>SUM(Adjusted!AM15:AP15)+SUM(Adjusted!AM21:AP21)</f>
        <v>0</v>
      </c>
      <c r="AK96" s="109">
        <f>SUM(Adjusted!AN15:AQ15)+SUM(Adjusted!AN21:AQ21)</f>
        <v>0</v>
      </c>
      <c r="AL96" s="175">
        <f>SUM(Adjusted!AO15:AR15)+SUM(Adjusted!AO21:AR21)</f>
        <v>0</v>
      </c>
    </row>
    <row r="97" spans="1:38" x14ac:dyDescent="0.2">
      <c r="A97" s="85" t="s">
        <v>143</v>
      </c>
      <c r="B97" s="359">
        <f>INDEX($C97:$Z97,,MATCH("Forecast",$C$92:$Z$92,0)-1)</f>
        <v>0</v>
      </c>
      <c r="C97" s="126"/>
      <c r="D97" s="92"/>
      <c r="E97" s="92"/>
      <c r="F97" s="341">
        <f t="shared" ref="F97:Z97" si="17">F94-F96</f>
        <v>0</v>
      </c>
      <c r="G97" s="84">
        <f t="shared" si="17"/>
        <v>0</v>
      </c>
      <c r="H97" s="248">
        <f t="shared" si="17"/>
        <v>0</v>
      </c>
      <c r="I97" s="248">
        <f t="shared" si="17"/>
        <v>0</v>
      </c>
      <c r="J97" s="341">
        <f t="shared" si="17"/>
        <v>0</v>
      </c>
      <c r="K97" s="84">
        <f t="shared" si="17"/>
        <v>0</v>
      </c>
      <c r="L97" s="248">
        <f t="shared" si="17"/>
        <v>0</v>
      </c>
      <c r="M97" s="248">
        <f t="shared" si="17"/>
        <v>0</v>
      </c>
      <c r="N97" s="341">
        <f t="shared" si="17"/>
        <v>0</v>
      </c>
      <c r="O97" s="84">
        <f t="shared" si="17"/>
        <v>0</v>
      </c>
      <c r="P97" s="248">
        <f t="shared" si="17"/>
        <v>0</v>
      </c>
      <c r="Q97" s="248">
        <f t="shared" si="17"/>
        <v>0</v>
      </c>
      <c r="R97" s="341">
        <f t="shared" si="17"/>
        <v>0</v>
      </c>
      <c r="S97" s="84">
        <f t="shared" ref="S97:V97" si="18">S94-S96</f>
        <v>0</v>
      </c>
      <c r="T97" s="248">
        <f t="shared" si="18"/>
        <v>0</v>
      </c>
      <c r="U97" s="248">
        <f t="shared" si="18"/>
        <v>0</v>
      </c>
      <c r="V97" s="341">
        <f t="shared" si="18"/>
        <v>0</v>
      </c>
      <c r="W97" s="84">
        <f t="shared" si="17"/>
        <v>0</v>
      </c>
      <c r="X97" s="342">
        <f t="shared" si="17"/>
        <v>0</v>
      </c>
      <c r="Y97" s="342">
        <f t="shared" si="17"/>
        <v>0</v>
      </c>
      <c r="Z97" s="343">
        <f t="shared" si="17"/>
        <v>0</v>
      </c>
      <c r="AA97" s="344">
        <f t="shared" ref="AA97:AD97" si="19">AA94-AA96</f>
        <v>0</v>
      </c>
      <c r="AB97" s="342">
        <f t="shared" si="19"/>
        <v>0</v>
      </c>
      <c r="AC97" s="342">
        <f t="shared" si="19"/>
        <v>0</v>
      </c>
      <c r="AD97" s="343">
        <f t="shared" si="19"/>
        <v>0</v>
      </c>
      <c r="AE97" s="344">
        <f t="shared" ref="AE97:AH97" si="20">AE94-AE96</f>
        <v>0</v>
      </c>
      <c r="AF97" s="342">
        <f t="shared" si="20"/>
        <v>0</v>
      </c>
      <c r="AG97" s="342">
        <f t="shared" si="20"/>
        <v>0</v>
      </c>
      <c r="AH97" s="343">
        <f t="shared" si="20"/>
        <v>0</v>
      </c>
      <c r="AI97" s="344">
        <f t="shared" ref="AI97:AL97" si="21">AI94-AI96</f>
        <v>0</v>
      </c>
      <c r="AJ97" s="342">
        <f t="shared" si="21"/>
        <v>0</v>
      </c>
      <c r="AK97" s="342">
        <f t="shared" si="21"/>
        <v>0</v>
      </c>
      <c r="AL97" s="343">
        <f t="shared" si="21"/>
        <v>0</v>
      </c>
    </row>
    <row r="98" spans="1:38" x14ac:dyDescent="0.2">
      <c r="A98" s="85" t="s">
        <v>152</v>
      </c>
      <c r="B98" s="361" t="e">
        <f>B97/B94</f>
        <v>#DIV/0!</v>
      </c>
      <c r="C98" s="126"/>
      <c r="D98" s="92"/>
      <c r="E98" s="92"/>
      <c r="F98" s="341"/>
      <c r="G98" s="325" t="e">
        <f t="shared" ref="G98:Z98" si="22">G97/G94</f>
        <v>#DIV/0!</v>
      </c>
      <c r="H98" s="326" t="e">
        <f t="shared" si="22"/>
        <v>#DIV/0!</v>
      </c>
      <c r="I98" s="326" t="e">
        <f t="shared" si="22"/>
        <v>#DIV/0!</v>
      </c>
      <c r="J98" s="327" t="e">
        <f t="shared" si="22"/>
        <v>#DIV/0!</v>
      </c>
      <c r="K98" s="325" t="e">
        <f t="shared" si="22"/>
        <v>#DIV/0!</v>
      </c>
      <c r="L98" s="326" t="e">
        <f t="shared" si="22"/>
        <v>#DIV/0!</v>
      </c>
      <c r="M98" s="326" t="e">
        <f t="shared" si="22"/>
        <v>#DIV/0!</v>
      </c>
      <c r="N98" s="327" t="e">
        <f t="shared" si="22"/>
        <v>#DIV/0!</v>
      </c>
      <c r="O98" s="325" t="e">
        <f t="shared" si="22"/>
        <v>#DIV/0!</v>
      </c>
      <c r="P98" s="326" t="e">
        <f t="shared" si="22"/>
        <v>#DIV/0!</v>
      </c>
      <c r="Q98" s="326" t="e">
        <f t="shared" si="22"/>
        <v>#DIV/0!</v>
      </c>
      <c r="R98" s="327" t="e">
        <f t="shared" si="22"/>
        <v>#DIV/0!</v>
      </c>
      <c r="S98" s="325" t="e">
        <f t="shared" ref="S98:V98" si="23">S97/S94</f>
        <v>#DIV/0!</v>
      </c>
      <c r="T98" s="326" t="e">
        <f t="shared" si="23"/>
        <v>#DIV/0!</v>
      </c>
      <c r="U98" s="326" t="e">
        <f t="shared" si="23"/>
        <v>#DIV/0!</v>
      </c>
      <c r="V98" s="327" t="e">
        <f t="shared" si="23"/>
        <v>#DIV/0!</v>
      </c>
      <c r="W98" s="325" t="e">
        <f t="shared" si="22"/>
        <v>#DIV/0!</v>
      </c>
      <c r="X98" s="306" t="e">
        <f t="shared" si="22"/>
        <v>#DIV/0!</v>
      </c>
      <c r="Y98" s="306" t="e">
        <f t="shared" si="22"/>
        <v>#DIV/0!</v>
      </c>
      <c r="Z98" s="304" t="e">
        <f t="shared" si="22"/>
        <v>#DIV/0!</v>
      </c>
      <c r="AA98" s="305" t="e">
        <f t="shared" ref="AA98:AD98" si="24">AA97/AA94</f>
        <v>#DIV/0!</v>
      </c>
      <c r="AB98" s="306" t="e">
        <f t="shared" si="24"/>
        <v>#DIV/0!</v>
      </c>
      <c r="AC98" s="306" t="e">
        <f t="shared" si="24"/>
        <v>#DIV/0!</v>
      </c>
      <c r="AD98" s="304" t="e">
        <f t="shared" si="24"/>
        <v>#DIV/0!</v>
      </c>
      <c r="AE98" s="305" t="e">
        <f t="shared" ref="AE98:AH98" si="25">AE97/AE94</f>
        <v>#DIV/0!</v>
      </c>
      <c r="AF98" s="306" t="e">
        <f t="shared" si="25"/>
        <v>#DIV/0!</v>
      </c>
      <c r="AG98" s="306" t="e">
        <f t="shared" si="25"/>
        <v>#DIV/0!</v>
      </c>
      <c r="AH98" s="304" t="e">
        <f t="shared" si="25"/>
        <v>#DIV/0!</v>
      </c>
      <c r="AI98" s="305" t="e">
        <f t="shared" ref="AI98:AL98" si="26">AI97/AI94</f>
        <v>#DIV/0!</v>
      </c>
      <c r="AJ98" s="306" t="e">
        <f t="shared" si="26"/>
        <v>#DIV/0!</v>
      </c>
      <c r="AK98" s="306" t="e">
        <f t="shared" si="26"/>
        <v>#DIV/0!</v>
      </c>
      <c r="AL98" s="304" t="e">
        <f t="shared" si="26"/>
        <v>#DIV/0!</v>
      </c>
    </row>
    <row r="99" spans="1:38" x14ac:dyDescent="0.2">
      <c r="A99" s="85"/>
      <c r="B99" s="360"/>
      <c r="C99" s="126"/>
      <c r="D99" s="92"/>
      <c r="E99" s="92"/>
      <c r="F99" s="249"/>
      <c r="G99" s="126"/>
      <c r="H99" s="92"/>
      <c r="I99" s="92"/>
      <c r="J99" s="341"/>
      <c r="K99" s="126"/>
      <c r="L99" s="92"/>
      <c r="M99" s="92"/>
      <c r="N99" s="249"/>
      <c r="O99" s="126"/>
      <c r="P99" s="92"/>
      <c r="Q99" s="92"/>
      <c r="R99" s="249"/>
      <c r="S99" s="126"/>
      <c r="T99" s="92"/>
      <c r="U99" s="92"/>
      <c r="V99" s="249"/>
      <c r="W99" s="126"/>
      <c r="X99" s="140"/>
      <c r="Y99" s="140"/>
      <c r="Z99" s="141"/>
      <c r="AA99" s="125"/>
      <c r="AB99" s="140"/>
      <c r="AC99" s="140"/>
      <c r="AD99" s="141"/>
      <c r="AE99" s="125"/>
      <c r="AF99" s="140"/>
      <c r="AG99" s="140"/>
      <c r="AH99" s="141"/>
      <c r="AI99" s="125"/>
      <c r="AJ99" s="140"/>
      <c r="AK99" s="140"/>
      <c r="AL99" s="141"/>
    </row>
    <row r="100" spans="1:38" x14ac:dyDescent="0.2">
      <c r="A100" s="85" t="s">
        <v>153</v>
      </c>
      <c r="B100" s="361" t="e">
        <f>INDEX($C100:$Z100,,MATCH("Forecast",$C$92:$Z$92,0)-1)</f>
        <v>#DIV/0!</v>
      </c>
      <c r="C100" s="126"/>
      <c r="D100" s="92"/>
      <c r="E100" s="92"/>
      <c r="F100" s="249"/>
      <c r="G100" s="126"/>
      <c r="H100" s="92"/>
      <c r="I100" s="326"/>
      <c r="J100" s="377" t="e">
        <f t="shared" ref="J100:Z100" si="27">J97/F97-1</f>
        <v>#DIV/0!</v>
      </c>
      <c r="K100" s="378" t="e">
        <f t="shared" si="27"/>
        <v>#DIV/0!</v>
      </c>
      <c r="L100" s="379" t="e">
        <f t="shared" si="27"/>
        <v>#DIV/0!</v>
      </c>
      <c r="M100" s="379" t="e">
        <f t="shared" si="27"/>
        <v>#DIV/0!</v>
      </c>
      <c r="N100" s="377" t="e">
        <f t="shared" si="27"/>
        <v>#DIV/0!</v>
      </c>
      <c r="O100" s="378" t="e">
        <f t="shared" si="27"/>
        <v>#DIV/0!</v>
      </c>
      <c r="P100" s="379" t="e">
        <f t="shared" si="27"/>
        <v>#DIV/0!</v>
      </c>
      <c r="Q100" s="379" t="e">
        <f t="shared" si="27"/>
        <v>#DIV/0!</v>
      </c>
      <c r="R100" s="377" t="e">
        <f t="shared" si="27"/>
        <v>#DIV/0!</v>
      </c>
      <c r="S100" s="378" t="e">
        <f t="shared" si="27"/>
        <v>#DIV/0!</v>
      </c>
      <c r="T100" s="379" t="e">
        <f t="shared" si="27"/>
        <v>#DIV/0!</v>
      </c>
      <c r="U100" s="379" t="e">
        <f t="shared" si="27"/>
        <v>#DIV/0!</v>
      </c>
      <c r="V100" s="377" t="e">
        <f t="shared" si="27"/>
        <v>#DIV/0!</v>
      </c>
      <c r="W100" s="378" t="e">
        <f t="shared" si="27"/>
        <v>#DIV/0!</v>
      </c>
      <c r="X100" s="382" t="e">
        <f t="shared" si="27"/>
        <v>#DIV/0!</v>
      </c>
      <c r="Y100" s="382" t="e">
        <f t="shared" si="27"/>
        <v>#DIV/0!</v>
      </c>
      <c r="Z100" s="380" t="e">
        <f t="shared" si="27"/>
        <v>#DIV/0!</v>
      </c>
      <c r="AA100" s="381" t="e">
        <f t="shared" ref="AA100" si="28">AA97/W97-1</f>
        <v>#DIV/0!</v>
      </c>
      <c r="AB100" s="382" t="e">
        <f t="shared" ref="AB100" si="29">AB97/X97-1</f>
        <v>#DIV/0!</v>
      </c>
      <c r="AC100" s="382" t="e">
        <f t="shared" ref="AC100" si="30">AC97/Y97-1</f>
        <v>#DIV/0!</v>
      </c>
      <c r="AD100" s="380" t="e">
        <f t="shared" ref="AD100" si="31">AD97/Z97-1</f>
        <v>#DIV/0!</v>
      </c>
      <c r="AE100" s="381" t="e">
        <f t="shared" ref="AE100" si="32">AE97/AA97-1</f>
        <v>#DIV/0!</v>
      </c>
      <c r="AF100" s="382" t="e">
        <f t="shared" ref="AF100" si="33">AF97/AB97-1</f>
        <v>#DIV/0!</v>
      </c>
      <c r="AG100" s="382" t="e">
        <f t="shared" ref="AG100" si="34">AG97/AC97-1</f>
        <v>#DIV/0!</v>
      </c>
      <c r="AH100" s="380" t="e">
        <f t="shared" ref="AH100" si="35">AH97/AD97-1</f>
        <v>#DIV/0!</v>
      </c>
      <c r="AI100" s="381" t="e">
        <f t="shared" ref="AI100" si="36">AI97/AE97-1</f>
        <v>#DIV/0!</v>
      </c>
      <c r="AJ100" s="382" t="e">
        <f t="shared" ref="AJ100" si="37">AJ97/AF97-1</f>
        <v>#DIV/0!</v>
      </c>
      <c r="AK100" s="382" t="e">
        <f t="shared" ref="AK100" si="38">AK97/AG97-1</f>
        <v>#DIV/0!</v>
      </c>
      <c r="AL100" s="380" t="e">
        <f t="shared" ref="AL100" si="39">AL97/AH97-1</f>
        <v>#DIV/0!</v>
      </c>
    </row>
    <row r="101" spans="1:38" x14ac:dyDescent="0.2">
      <c r="B101" s="361"/>
      <c r="C101" s="126"/>
      <c r="D101" s="92"/>
      <c r="E101" s="92"/>
      <c r="F101" s="249"/>
      <c r="G101" s="126"/>
      <c r="H101" s="92"/>
      <c r="I101" s="326"/>
      <c r="J101" s="327"/>
      <c r="K101" s="325"/>
      <c r="L101" s="326"/>
      <c r="M101" s="326"/>
      <c r="N101" s="327"/>
      <c r="O101" s="325"/>
      <c r="P101" s="326"/>
      <c r="Q101" s="326"/>
      <c r="R101" s="327"/>
      <c r="S101" s="325"/>
      <c r="T101" s="326"/>
      <c r="U101" s="326"/>
      <c r="V101" s="327"/>
      <c r="W101" s="325"/>
      <c r="X101" s="306"/>
      <c r="Y101" s="306"/>
      <c r="Z101" s="304"/>
      <c r="AA101" s="305"/>
      <c r="AB101" s="306"/>
      <c r="AC101" s="306"/>
      <c r="AD101" s="304"/>
      <c r="AE101" s="305"/>
      <c r="AF101" s="306"/>
      <c r="AG101" s="306"/>
      <c r="AH101" s="304"/>
      <c r="AI101" s="305"/>
      <c r="AJ101" s="306"/>
      <c r="AK101" s="306"/>
      <c r="AL101" s="304"/>
    </row>
    <row r="102" spans="1:38" x14ac:dyDescent="0.2">
      <c r="A102" s="85" t="s">
        <v>144</v>
      </c>
      <c r="B102" s="359">
        <f>INDEX($C102:$Z102,,MATCH("Forecast",$C$92:$Z$92,0)-1)</f>
        <v>0</v>
      </c>
      <c r="C102" s="126"/>
      <c r="D102" s="92"/>
      <c r="E102" s="92"/>
      <c r="F102" s="341">
        <f>SUM(Adjusted!I59:L59)</f>
        <v>0</v>
      </c>
      <c r="G102" s="84">
        <f>SUM(Adjusted!J59:M59)</f>
        <v>0</v>
      </c>
      <c r="H102" s="248">
        <f>SUM(Adjusted!K59:N59)</f>
        <v>0</v>
      </c>
      <c r="I102" s="248">
        <f>SUM(Adjusted!L59:O59)</f>
        <v>0</v>
      </c>
      <c r="J102" s="341">
        <f>SUM(Adjusted!M59:P59)</f>
        <v>0</v>
      </c>
      <c r="K102" s="84">
        <f>SUM(Adjusted!N59:Q59)</f>
        <v>0</v>
      </c>
      <c r="L102" s="248">
        <f>SUM(Adjusted!O59:R59)</f>
        <v>0</v>
      </c>
      <c r="M102" s="248">
        <f>SUM(Adjusted!P59:S59)</f>
        <v>0</v>
      </c>
      <c r="N102" s="341">
        <f>SUM(Adjusted!Q59:T59)</f>
        <v>0</v>
      </c>
      <c r="O102" s="84">
        <f>SUM(Adjusted!R59:U59)</f>
        <v>0</v>
      </c>
      <c r="P102" s="248">
        <f>SUM(Adjusted!S59:V59)</f>
        <v>0</v>
      </c>
      <c r="Q102" s="248">
        <f>SUM(Adjusted!T59:W59)</f>
        <v>0</v>
      </c>
      <c r="R102" s="341">
        <f>SUM(Adjusted!U59:X59)</f>
        <v>0</v>
      </c>
      <c r="S102" s="84">
        <f>SUM(Adjusted!V59:Y59)</f>
        <v>0</v>
      </c>
      <c r="T102" s="248">
        <f>SUM(Adjusted!W59:Z59)</f>
        <v>0</v>
      </c>
      <c r="U102" s="248">
        <f>SUM(Adjusted!X59:AA59)</f>
        <v>0</v>
      </c>
      <c r="V102" s="341">
        <f>SUM(Adjusted!Y59:AB59)</f>
        <v>0</v>
      </c>
      <c r="W102" s="84">
        <f>SUM(Adjusted!Z59:AC59)</f>
        <v>0</v>
      </c>
      <c r="X102" s="342">
        <f>SUM(Adjusted!AA59:AD59)</f>
        <v>0</v>
      </c>
      <c r="Y102" s="342">
        <f>SUM(Adjusted!AB59:AE59)</f>
        <v>0</v>
      </c>
      <c r="Z102" s="343">
        <f>SUM(Adjusted!AC59:AF59)</f>
        <v>0</v>
      </c>
      <c r="AA102" s="344">
        <f>SUM(Adjusted!AD59:AG59)</f>
        <v>0</v>
      </c>
      <c r="AB102" s="342">
        <f>SUM(Adjusted!AE59:AH59)</f>
        <v>0</v>
      </c>
      <c r="AC102" s="342">
        <f>SUM(Adjusted!AF59:AI59)</f>
        <v>0</v>
      </c>
      <c r="AD102" s="343">
        <f>SUM(Adjusted!AG59:AJ59)</f>
        <v>0</v>
      </c>
      <c r="AE102" s="344">
        <f>SUM(Adjusted!AH59:AK59)</f>
        <v>0</v>
      </c>
      <c r="AF102" s="342">
        <f>SUM(Adjusted!AI59:AL59)</f>
        <v>0</v>
      </c>
      <c r="AG102" s="342">
        <f>SUM(Adjusted!AJ59:AM59)</f>
        <v>0</v>
      </c>
      <c r="AH102" s="343">
        <f>SUM(Adjusted!AK59:AN59)</f>
        <v>0</v>
      </c>
      <c r="AI102" s="344">
        <f>SUM(Adjusted!AL59:AO59)</f>
        <v>0</v>
      </c>
      <c r="AJ102" s="342">
        <f>SUM(Adjusted!AM59:AP59)</f>
        <v>0</v>
      </c>
      <c r="AK102" s="342">
        <f>SUM(Adjusted!AN59:AQ59)</f>
        <v>0</v>
      </c>
      <c r="AL102" s="343">
        <f>SUM(Adjusted!AO59:AR59)</f>
        <v>0</v>
      </c>
    </row>
    <row r="103" spans="1:38" x14ac:dyDescent="0.2">
      <c r="A103" s="85" t="s">
        <v>145</v>
      </c>
      <c r="B103" s="362" t="e">
        <f>INDEX($C103:$Z103,,MATCH("Forecast",$C$92:$Z$92,0)-1)</f>
        <v>#DIV/0!</v>
      </c>
      <c r="C103" s="126"/>
      <c r="D103" s="92"/>
      <c r="E103" s="92"/>
      <c r="F103" s="296"/>
      <c r="G103" s="168"/>
      <c r="H103" s="295"/>
      <c r="I103" s="295"/>
      <c r="J103" s="296" t="e">
        <f t="shared" ref="J103:Z103" si="40">J102/(J97-F97)</f>
        <v>#DIV/0!</v>
      </c>
      <c r="K103" s="168" t="e">
        <f t="shared" si="40"/>
        <v>#DIV/0!</v>
      </c>
      <c r="L103" s="295" t="e">
        <f t="shared" si="40"/>
        <v>#DIV/0!</v>
      </c>
      <c r="M103" s="295" t="e">
        <f t="shared" si="40"/>
        <v>#DIV/0!</v>
      </c>
      <c r="N103" s="296" t="e">
        <f t="shared" si="40"/>
        <v>#DIV/0!</v>
      </c>
      <c r="O103" s="168" t="e">
        <f t="shared" si="40"/>
        <v>#DIV/0!</v>
      </c>
      <c r="P103" s="295" t="e">
        <f t="shared" si="40"/>
        <v>#DIV/0!</v>
      </c>
      <c r="Q103" s="295" t="e">
        <f t="shared" si="40"/>
        <v>#DIV/0!</v>
      </c>
      <c r="R103" s="296" t="e">
        <f t="shared" si="40"/>
        <v>#DIV/0!</v>
      </c>
      <c r="S103" s="168" t="e">
        <f t="shared" si="40"/>
        <v>#DIV/0!</v>
      </c>
      <c r="T103" s="295" t="e">
        <f t="shared" si="40"/>
        <v>#DIV/0!</v>
      </c>
      <c r="U103" s="295" t="e">
        <f t="shared" si="40"/>
        <v>#DIV/0!</v>
      </c>
      <c r="V103" s="296" t="e">
        <f t="shared" si="40"/>
        <v>#DIV/0!</v>
      </c>
      <c r="W103" s="168" t="e">
        <f t="shared" si="40"/>
        <v>#DIV/0!</v>
      </c>
      <c r="X103" s="294" t="e">
        <f t="shared" si="40"/>
        <v>#DIV/0!</v>
      </c>
      <c r="Y103" s="294" t="e">
        <f t="shared" si="40"/>
        <v>#DIV/0!</v>
      </c>
      <c r="Z103" s="354" t="e">
        <f t="shared" si="40"/>
        <v>#DIV/0!</v>
      </c>
      <c r="AA103" s="166" t="e">
        <f t="shared" ref="AA103" si="41">AA102/(AA97-W97)</f>
        <v>#DIV/0!</v>
      </c>
      <c r="AB103" s="294" t="e">
        <f t="shared" ref="AB103" si="42">AB102/(AB97-X97)</f>
        <v>#DIV/0!</v>
      </c>
      <c r="AC103" s="294" t="e">
        <f t="shared" ref="AC103" si="43">AC102/(AC97-Y97)</f>
        <v>#DIV/0!</v>
      </c>
      <c r="AD103" s="354" t="e">
        <f t="shared" ref="AD103" si="44">AD102/(AD97-Z97)</f>
        <v>#DIV/0!</v>
      </c>
      <c r="AE103" s="166" t="e">
        <f t="shared" ref="AE103" si="45">AE102/(AE97-AA97)</f>
        <v>#DIV/0!</v>
      </c>
      <c r="AF103" s="294" t="e">
        <f t="shared" ref="AF103" si="46">AF102/(AF97-AB97)</f>
        <v>#DIV/0!</v>
      </c>
      <c r="AG103" s="294" t="e">
        <f t="shared" ref="AG103" si="47">AG102/(AG97-AC97)</f>
        <v>#DIV/0!</v>
      </c>
      <c r="AH103" s="354" t="e">
        <f t="shared" ref="AH103" si="48">AH102/(AH97-AD97)</f>
        <v>#DIV/0!</v>
      </c>
      <c r="AI103" s="166" t="e">
        <f t="shared" ref="AI103" si="49">AI102/(AI97-AE97)</f>
        <v>#DIV/0!</v>
      </c>
      <c r="AJ103" s="294" t="e">
        <f t="shared" ref="AJ103" si="50">AJ102/(AJ97-AF97)</f>
        <v>#DIV/0!</v>
      </c>
      <c r="AK103" s="294" t="e">
        <f t="shared" ref="AK103" si="51">AK102/(AK97-AG97)</f>
        <v>#DIV/0!</v>
      </c>
      <c r="AL103" s="354" t="e">
        <f t="shared" ref="AL103" si="52">AL102/(AL97-AH97)</f>
        <v>#DIV/0!</v>
      </c>
    </row>
    <row r="104" spans="1:38" x14ac:dyDescent="0.2">
      <c r="B104" s="362"/>
      <c r="C104" s="126"/>
      <c r="D104" s="92"/>
      <c r="E104" s="92"/>
      <c r="F104" s="296"/>
      <c r="G104" s="168"/>
      <c r="H104" s="295"/>
      <c r="I104" s="295"/>
      <c r="J104" s="296"/>
      <c r="K104" s="168"/>
      <c r="L104" s="295"/>
      <c r="M104" s="295"/>
      <c r="N104" s="296"/>
      <c r="O104" s="168"/>
      <c r="P104" s="295"/>
      <c r="Q104" s="295"/>
      <c r="R104" s="296"/>
      <c r="S104" s="168"/>
      <c r="T104" s="295"/>
      <c r="U104" s="295"/>
      <c r="V104" s="296"/>
      <c r="W104" s="168"/>
      <c r="X104" s="294"/>
      <c r="Y104" s="294"/>
      <c r="Z104" s="354"/>
      <c r="AA104" s="166"/>
      <c r="AB104" s="294"/>
      <c r="AC104" s="294"/>
      <c r="AD104" s="354"/>
      <c r="AE104" s="166"/>
      <c r="AF104" s="294"/>
      <c r="AG104" s="294"/>
      <c r="AH104" s="354"/>
      <c r="AI104" s="166"/>
      <c r="AJ104" s="294"/>
      <c r="AK104" s="294"/>
      <c r="AL104" s="354"/>
    </row>
    <row r="105" spans="1:38" x14ac:dyDescent="0.2">
      <c r="A105" s="85" t="s">
        <v>148</v>
      </c>
      <c r="B105" s="84">
        <f>INDEX($C105:$Z105,,MATCH("Forecast",$C$92:$Z$92,0)-1)</f>
        <v>0</v>
      </c>
      <c r="C105" s="126"/>
      <c r="D105" s="92"/>
      <c r="E105" s="92"/>
      <c r="F105" s="296">
        <f>SUM(Adjusted!I62:L62)</f>
        <v>0</v>
      </c>
      <c r="G105" s="84">
        <f>SUM(Adjusted!J62:M62)</f>
        <v>0</v>
      </c>
      <c r="H105" s="248">
        <f>SUM(Adjusted!K62:N62)</f>
        <v>0</v>
      </c>
      <c r="I105" s="248">
        <f>SUM(Adjusted!L62:O62)</f>
        <v>0</v>
      </c>
      <c r="J105" s="341">
        <f>SUM(Adjusted!M62:P62)</f>
        <v>0</v>
      </c>
      <c r="K105" s="84">
        <f>SUM(Adjusted!N62:Q62)</f>
        <v>0</v>
      </c>
      <c r="L105" s="248">
        <f>SUM(Adjusted!O62:R62)</f>
        <v>0</v>
      </c>
      <c r="M105" s="248">
        <f>SUM(Adjusted!P62:S62)</f>
        <v>0</v>
      </c>
      <c r="N105" s="341">
        <f>SUM(Adjusted!Q62:T62)</f>
        <v>0</v>
      </c>
      <c r="O105" s="84">
        <f>SUM(Adjusted!R62:U62)</f>
        <v>0</v>
      </c>
      <c r="P105" s="248">
        <f>SUM(Adjusted!S62:V62)</f>
        <v>0</v>
      </c>
      <c r="Q105" s="248">
        <f>SUM(Adjusted!T62:W62)</f>
        <v>0</v>
      </c>
      <c r="R105" s="341">
        <f>SUM(Adjusted!U62:X62)</f>
        <v>0</v>
      </c>
      <c r="S105" s="84">
        <f>SUM(Adjusted!V62:Y62)</f>
        <v>0</v>
      </c>
      <c r="T105" s="248">
        <f>SUM(Adjusted!W62:Z62)</f>
        <v>0</v>
      </c>
      <c r="U105" s="248">
        <f>SUM(Adjusted!X62:AA62)</f>
        <v>0</v>
      </c>
      <c r="V105" s="341">
        <f>SUM(Adjusted!Y62:AB62)</f>
        <v>0</v>
      </c>
      <c r="W105" s="84">
        <f>SUM(Adjusted!Z62:AC62)</f>
        <v>0</v>
      </c>
      <c r="X105" s="342">
        <f>SUM(Adjusted!AA62:AD62)</f>
        <v>0</v>
      </c>
      <c r="Y105" s="342">
        <f>SUM(Adjusted!AB62:AE62)</f>
        <v>0</v>
      </c>
      <c r="Z105" s="343">
        <f>SUM(Adjusted!AC62:AF62)</f>
        <v>0</v>
      </c>
      <c r="AA105" s="344">
        <f>SUM(Adjusted!AD62:AG62)</f>
        <v>0</v>
      </c>
      <c r="AB105" s="342">
        <f>SUM(Adjusted!AE62:AH62)</f>
        <v>0</v>
      </c>
      <c r="AC105" s="342">
        <f>SUM(Adjusted!AF62:AI62)</f>
        <v>0</v>
      </c>
      <c r="AD105" s="343">
        <f>SUM(Adjusted!AG62:AJ62)</f>
        <v>0</v>
      </c>
      <c r="AE105" s="344">
        <f>SUM(Adjusted!AH62:AK62)</f>
        <v>0</v>
      </c>
      <c r="AF105" s="342">
        <f>SUM(Adjusted!AI62:AL62)</f>
        <v>0</v>
      </c>
      <c r="AG105" s="342">
        <f>SUM(Adjusted!AJ62:AM62)</f>
        <v>0</v>
      </c>
      <c r="AH105" s="343">
        <f>SUM(Adjusted!AK62:AN62)</f>
        <v>0</v>
      </c>
      <c r="AI105" s="344">
        <f>SUM(Adjusted!AL62:AO62)</f>
        <v>0</v>
      </c>
      <c r="AJ105" s="342">
        <f>SUM(Adjusted!AM62:AP62)</f>
        <v>0</v>
      </c>
      <c r="AK105" s="342">
        <f>SUM(Adjusted!AN62:AQ62)</f>
        <v>0</v>
      </c>
      <c r="AL105" s="343">
        <f>SUM(Adjusted!AO62:AR62)</f>
        <v>0</v>
      </c>
    </row>
    <row r="106" spans="1:38" x14ac:dyDescent="0.2">
      <c r="A106" s="85" t="s">
        <v>161</v>
      </c>
      <c r="B106" s="345" t="e">
        <f>INDEX($C106:$Z106,,MATCH("Forecast",$C$92:$Z$92,0)-1)</f>
        <v>#DIV/0!</v>
      </c>
      <c r="C106" s="346"/>
      <c r="D106" s="347"/>
      <c r="E106" s="347"/>
      <c r="F106" s="348"/>
      <c r="G106" s="345" t="e">
        <f t="shared" ref="G106:Z106" si="53">G105/G97</f>
        <v>#DIV/0!</v>
      </c>
      <c r="H106" s="349" t="e">
        <f t="shared" si="53"/>
        <v>#DIV/0!</v>
      </c>
      <c r="I106" s="349" t="e">
        <f t="shared" si="53"/>
        <v>#DIV/0!</v>
      </c>
      <c r="J106" s="350" t="e">
        <f t="shared" si="53"/>
        <v>#DIV/0!</v>
      </c>
      <c r="K106" s="345" t="e">
        <f t="shared" si="53"/>
        <v>#DIV/0!</v>
      </c>
      <c r="L106" s="349" t="e">
        <f t="shared" si="53"/>
        <v>#DIV/0!</v>
      </c>
      <c r="M106" s="349" t="e">
        <f t="shared" si="53"/>
        <v>#DIV/0!</v>
      </c>
      <c r="N106" s="350" t="e">
        <f t="shared" si="53"/>
        <v>#DIV/0!</v>
      </c>
      <c r="O106" s="345" t="e">
        <f t="shared" si="53"/>
        <v>#DIV/0!</v>
      </c>
      <c r="P106" s="349" t="e">
        <f t="shared" si="53"/>
        <v>#DIV/0!</v>
      </c>
      <c r="Q106" s="349" t="e">
        <f t="shared" si="53"/>
        <v>#DIV/0!</v>
      </c>
      <c r="R106" s="350" t="e">
        <f t="shared" si="53"/>
        <v>#DIV/0!</v>
      </c>
      <c r="S106" s="345" t="e">
        <f t="shared" ref="S106:V106" si="54">S105/S97</f>
        <v>#DIV/0!</v>
      </c>
      <c r="T106" s="349" t="e">
        <f t="shared" si="54"/>
        <v>#DIV/0!</v>
      </c>
      <c r="U106" s="349" t="e">
        <f t="shared" si="54"/>
        <v>#DIV/0!</v>
      </c>
      <c r="V106" s="350" t="e">
        <f t="shared" si="54"/>
        <v>#DIV/0!</v>
      </c>
      <c r="W106" s="345" t="e">
        <f t="shared" si="53"/>
        <v>#DIV/0!</v>
      </c>
      <c r="X106" s="351" t="e">
        <f t="shared" si="53"/>
        <v>#DIV/0!</v>
      </c>
      <c r="Y106" s="351" t="e">
        <f t="shared" si="53"/>
        <v>#DIV/0!</v>
      </c>
      <c r="Z106" s="352" t="e">
        <f t="shared" si="53"/>
        <v>#DIV/0!</v>
      </c>
      <c r="AA106" s="353" t="e">
        <f t="shared" ref="AA106:AD106" si="55">AA105/AA97</f>
        <v>#DIV/0!</v>
      </c>
      <c r="AB106" s="351" t="e">
        <f t="shared" si="55"/>
        <v>#DIV/0!</v>
      </c>
      <c r="AC106" s="351" t="e">
        <f t="shared" si="55"/>
        <v>#DIV/0!</v>
      </c>
      <c r="AD106" s="352" t="e">
        <f t="shared" si="55"/>
        <v>#DIV/0!</v>
      </c>
      <c r="AE106" s="353" t="e">
        <f t="shared" ref="AE106:AH106" si="56">AE105/AE97</f>
        <v>#DIV/0!</v>
      </c>
      <c r="AF106" s="351" t="e">
        <f t="shared" si="56"/>
        <v>#DIV/0!</v>
      </c>
      <c r="AG106" s="351" t="e">
        <f t="shared" si="56"/>
        <v>#DIV/0!</v>
      </c>
      <c r="AH106" s="352" t="e">
        <f t="shared" si="56"/>
        <v>#DIV/0!</v>
      </c>
      <c r="AI106" s="353" t="e">
        <f t="shared" ref="AI106:AL106" si="57">AI105/AI97</f>
        <v>#DIV/0!</v>
      </c>
      <c r="AJ106" s="351" t="e">
        <f t="shared" si="57"/>
        <v>#DIV/0!</v>
      </c>
      <c r="AK106" s="351" t="e">
        <f t="shared" si="57"/>
        <v>#DIV/0!</v>
      </c>
      <c r="AL106" s="352" t="e">
        <f t="shared" si="57"/>
        <v>#DIV/0!</v>
      </c>
    </row>
    <row r="107" spans="1:38" x14ac:dyDescent="0.2">
      <c r="A107" s="85"/>
      <c r="B107" s="393"/>
      <c r="C107" s="394"/>
      <c r="D107" s="395"/>
      <c r="E107" s="395"/>
      <c r="F107" s="324"/>
      <c r="G107" s="393"/>
      <c r="H107" s="396"/>
      <c r="I107" s="396"/>
      <c r="J107" s="397"/>
      <c r="K107" s="393"/>
      <c r="L107" s="396"/>
      <c r="M107" s="396"/>
      <c r="N107" s="397"/>
      <c r="O107" s="393"/>
      <c r="P107" s="396"/>
      <c r="Q107" s="396"/>
      <c r="R107" s="397"/>
      <c r="S107" s="393"/>
      <c r="T107" s="396"/>
      <c r="U107" s="396"/>
      <c r="V107" s="397"/>
      <c r="W107" s="393"/>
      <c r="X107" s="399"/>
      <c r="Y107" s="399"/>
      <c r="Z107" s="400"/>
      <c r="AA107" s="398"/>
      <c r="AB107" s="399"/>
      <c r="AC107" s="399"/>
      <c r="AD107" s="400"/>
      <c r="AE107" s="398"/>
      <c r="AF107" s="399"/>
      <c r="AG107" s="399"/>
      <c r="AH107" s="400"/>
      <c r="AI107" s="398"/>
      <c r="AJ107" s="399"/>
      <c r="AK107" s="399"/>
      <c r="AL107" s="400"/>
    </row>
    <row r="108" spans="1:38" x14ac:dyDescent="0.2">
      <c r="A108" s="85" t="s">
        <v>155</v>
      </c>
      <c r="B108" s="360"/>
      <c r="C108" s="126"/>
      <c r="D108" s="92"/>
      <c r="E108" s="92"/>
      <c r="F108" s="249"/>
      <c r="G108" s="126"/>
      <c r="H108" s="92"/>
      <c r="I108" s="92"/>
      <c r="J108" s="341"/>
      <c r="K108" s="126"/>
      <c r="L108" s="92"/>
      <c r="M108" s="92"/>
      <c r="N108" s="249"/>
      <c r="O108" s="369">
        <f>Adjusted!U92</f>
        <v>0</v>
      </c>
      <c r="P108" s="295">
        <f>Adjusted!V92</f>
        <v>0</v>
      </c>
      <c r="Q108" s="295">
        <f>Adjusted!W92</f>
        <v>0</v>
      </c>
      <c r="R108" s="296">
        <f>Adjusted!X92</f>
        <v>0</v>
      </c>
      <c r="S108" s="369">
        <f>Adjusted!Y92</f>
        <v>0</v>
      </c>
      <c r="T108" s="295">
        <f>Adjusted!Z92</f>
        <v>0</v>
      </c>
      <c r="U108" s="295">
        <f>Adjusted!AA92</f>
        <v>0</v>
      </c>
      <c r="V108" s="296">
        <f>Adjusted!AB92</f>
        <v>0</v>
      </c>
      <c r="W108" s="369">
        <f>Adjusted!AC92</f>
        <v>0</v>
      </c>
      <c r="X108" s="246" t="e">
        <f>X109/Adjusted!AD106</f>
        <v>#DIV/0!</v>
      </c>
      <c r="Y108" s="246" t="e">
        <f>Y109/Adjusted!AE106</f>
        <v>#DIV/0!</v>
      </c>
      <c r="Z108" s="370" t="e">
        <f>Z109/Adjusted!AF106</f>
        <v>#DIV/0!</v>
      </c>
      <c r="AA108" s="307" t="e">
        <f>AA109/Adjusted!AG106</f>
        <v>#DIV/0!</v>
      </c>
      <c r="AB108" s="246" t="e">
        <f>AB109/Adjusted!AH106</f>
        <v>#DIV/0!</v>
      </c>
      <c r="AC108" s="246" t="e">
        <f>AC109/Adjusted!AI106</f>
        <v>#DIV/0!</v>
      </c>
      <c r="AD108" s="370" t="e">
        <f>AD109/Adjusted!AJ106</f>
        <v>#DIV/0!</v>
      </c>
      <c r="AE108" s="307" t="e">
        <f>AE109/Adjusted!AK106</f>
        <v>#DIV/0!</v>
      </c>
      <c r="AF108" s="246" t="e">
        <f>AF109/Adjusted!AL106</f>
        <v>#DIV/0!</v>
      </c>
      <c r="AG108" s="246" t="e">
        <f>AG109/Adjusted!AM106</f>
        <v>#DIV/0!</v>
      </c>
      <c r="AH108" s="370" t="e">
        <f>AH109/Adjusted!AN106</f>
        <v>#DIV/0!</v>
      </c>
      <c r="AI108" s="307" t="e">
        <f>AI109/Adjusted!AO106</f>
        <v>#DIV/0!</v>
      </c>
      <c r="AJ108" s="246" t="e">
        <f>AJ109/Adjusted!AP106</f>
        <v>#DIV/0!</v>
      </c>
      <c r="AK108" s="246" t="e">
        <f>AK109/Adjusted!AQ106</f>
        <v>#DIV/0!</v>
      </c>
      <c r="AL108" s="370" t="e">
        <f>AL109/Adjusted!AR106</f>
        <v>#DIV/0!</v>
      </c>
    </row>
    <row r="109" spans="1:38" x14ac:dyDescent="0.2">
      <c r="A109" s="85" t="s">
        <v>146</v>
      </c>
      <c r="B109" s="517">
        <f t="shared" ref="B109:B112" si="58">INDEX($C109:$Z109,,MATCH("Forecast",$C$92:$Z$92,0)-1)</f>
        <v>0</v>
      </c>
      <c r="C109" s="170"/>
      <c r="D109" s="258"/>
      <c r="E109" s="258"/>
      <c r="F109" s="259"/>
      <c r="G109" s="170"/>
      <c r="H109" s="258"/>
      <c r="I109" s="86">
        <f>Adjusted!O110</f>
        <v>0</v>
      </c>
      <c r="J109" s="445">
        <f>Adjusted!P110</f>
        <v>0</v>
      </c>
      <c r="K109" s="88">
        <f>Adjusted!Q110</f>
        <v>0</v>
      </c>
      <c r="L109" s="86">
        <f>Adjusted!R110</f>
        <v>0</v>
      </c>
      <c r="M109" s="86">
        <f>Adjusted!S110</f>
        <v>0</v>
      </c>
      <c r="N109" s="445">
        <f>Adjusted!T110</f>
        <v>0</v>
      </c>
      <c r="O109" s="88">
        <f>Adjusted!U110</f>
        <v>0</v>
      </c>
      <c r="P109" s="86">
        <f>Adjusted!V110</f>
        <v>0</v>
      </c>
      <c r="Q109" s="86">
        <f>Adjusted!W110</f>
        <v>0</v>
      </c>
      <c r="R109" s="445">
        <f>Adjusted!X110</f>
        <v>0</v>
      </c>
      <c r="S109" s="88">
        <f>Adjusted!Y110</f>
        <v>0</v>
      </c>
      <c r="T109" s="86">
        <f>Adjusted!Z110</f>
        <v>0</v>
      </c>
      <c r="U109" s="86">
        <f>Adjusted!AA110</f>
        <v>0</v>
      </c>
      <c r="V109" s="445">
        <f>Adjusted!AB110</f>
        <v>0</v>
      </c>
      <c r="W109" s="88">
        <f>Adjusted!AC110</f>
        <v>0</v>
      </c>
      <c r="X109" s="318" t="e">
        <f t="shared" ref="X109:Z109" si="59">X112*X97+X111</f>
        <v>#DIV/0!</v>
      </c>
      <c r="Y109" s="318" t="e">
        <f t="shared" si="59"/>
        <v>#DIV/0!</v>
      </c>
      <c r="Z109" s="319" t="e">
        <f t="shared" si="59"/>
        <v>#DIV/0!</v>
      </c>
      <c r="AA109" s="317" t="e">
        <f t="shared" ref="AA109:AD109" si="60">AA112*AA97+AA111</f>
        <v>#DIV/0!</v>
      </c>
      <c r="AB109" s="318" t="e">
        <f t="shared" si="60"/>
        <v>#DIV/0!</v>
      </c>
      <c r="AC109" s="318" t="e">
        <f t="shared" si="60"/>
        <v>#DIV/0!</v>
      </c>
      <c r="AD109" s="319" t="e">
        <f t="shared" si="60"/>
        <v>#DIV/0!</v>
      </c>
      <c r="AE109" s="317" t="e">
        <f t="shared" ref="AE109:AH109" si="61">AE112*AE97+AE111</f>
        <v>#DIV/0!</v>
      </c>
      <c r="AF109" s="318" t="e">
        <f t="shared" si="61"/>
        <v>#DIV/0!</v>
      </c>
      <c r="AG109" s="318" t="e">
        <f t="shared" si="61"/>
        <v>#DIV/0!</v>
      </c>
      <c r="AH109" s="319" t="e">
        <f t="shared" si="61"/>
        <v>#DIV/0!</v>
      </c>
      <c r="AI109" s="317" t="e">
        <f t="shared" ref="AI109:AL109" si="62">AI112*AI97+AI111</f>
        <v>#DIV/0!</v>
      </c>
      <c r="AJ109" s="318" t="e">
        <f t="shared" si="62"/>
        <v>#DIV/0!</v>
      </c>
      <c r="AK109" s="318" t="e">
        <f t="shared" si="62"/>
        <v>#DIV/0!</v>
      </c>
      <c r="AL109" s="319" t="e">
        <f t="shared" si="62"/>
        <v>#DIV/0!</v>
      </c>
    </row>
    <row r="110" spans="1:38" x14ac:dyDescent="0.2">
      <c r="A110" s="85" t="s">
        <v>163</v>
      </c>
      <c r="B110" s="359"/>
      <c r="C110" s="126"/>
      <c r="D110" s="92"/>
      <c r="E110" s="92"/>
      <c r="F110" s="249"/>
      <c r="G110" s="126"/>
      <c r="H110" s="92"/>
      <c r="I110" s="248"/>
      <c r="J110" s="341"/>
      <c r="K110" s="84"/>
      <c r="L110" s="248"/>
      <c r="M110" s="248"/>
      <c r="N110" s="296"/>
      <c r="O110" s="168" t="e">
        <f>O97/Adjusted!U106</f>
        <v>#DIV/0!</v>
      </c>
      <c r="P110" s="295" t="e">
        <f>P97/Adjusted!V106</f>
        <v>#DIV/0!</v>
      </c>
      <c r="Q110" s="295" t="e">
        <f>Q97/Adjusted!W106</f>
        <v>#DIV/0!</v>
      </c>
      <c r="R110" s="296" t="e">
        <f>R97/Adjusted!X106</f>
        <v>#DIV/0!</v>
      </c>
      <c r="S110" s="168" t="e">
        <f>S97/Adjusted!Y106</f>
        <v>#DIV/0!</v>
      </c>
      <c r="T110" s="295" t="e">
        <f>T97/Adjusted!Z106</f>
        <v>#DIV/0!</v>
      </c>
      <c r="U110" s="295" t="e">
        <f>U97/Adjusted!AA106</f>
        <v>#DIV/0!</v>
      </c>
      <c r="V110" s="296" t="e">
        <f>V97/Adjusted!AB106</f>
        <v>#DIV/0!</v>
      </c>
      <c r="W110" s="168" t="e">
        <f>W97/Adjusted!AC106</f>
        <v>#DIV/0!</v>
      </c>
      <c r="X110" s="246" t="e">
        <f>X97/Adjusted!AD106</f>
        <v>#DIV/0!</v>
      </c>
      <c r="Y110" s="246" t="e">
        <f>Y97/Adjusted!AE106</f>
        <v>#DIV/0!</v>
      </c>
      <c r="Z110" s="370" t="e">
        <f>Z97/Adjusted!AF106</f>
        <v>#DIV/0!</v>
      </c>
      <c r="AA110" s="307" t="e">
        <f>AA97/Adjusted!AG106</f>
        <v>#DIV/0!</v>
      </c>
      <c r="AB110" s="246" t="e">
        <f>AB97/Adjusted!AH106</f>
        <v>#DIV/0!</v>
      </c>
      <c r="AC110" s="246" t="e">
        <f>AC97/Adjusted!AI106</f>
        <v>#DIV/0!</v>
      </c>
      <c r="AD110" s="370" t="e">
        <f>AD97/Adjusted!AJ106</f>
        <v>#DIV/0!</v>
      </c>
      <c r="AE110" s="307" t="e">
        <f>AE97/Adjusted!AK106</f>
        <v>#DIV/0!</v>
      </c>
      <c r="AF110" s="246" t="e">
        <f>AF97/Adjusted!AL106</f>
        <v>#DIV/0!</v>
      </c>
      <c r="AG110" s="246" t="e">
        <f>AG97/Adjusted!AM106</f>
        <v>#DIV/0!</v>
      </c>
      <c r="AH110" s="370" t="e">
        <f>AH97/Adjusted!AN106</f>
        <v>#DIV/0!</v>
      </c>
      <c r="AI110" s="307" t="e">
        <f>AI97/Adjusted!AO106</f>
        <v>#DIV/0!</v>
      </c>
      <c r="AJ110" s="246" t="e">
        <f>AJ97/Adjusted!AP106</f>
        <v>#DIV/0!</v>
      </c>
      <c r="AK110" s="246" t="e">
        <f>AK97/Adjusted!AQ106</f>
        <v>#DIV/0!</v>
      </c>
      <c r="AL110" s="370" t="e">
        <f>AL97/Adjusted!AR106</f>
        <v>#DIV/0!</v>
      </c>
    </row>
    <row r="111" spans="1:38" x14ac:dyDescent="0.2">
      <c r="A111" s="85" t="s">
        <v>0</v>
      </c>
      <c r="B111" s="359"/>
      <c r="C111" s="126"/>
      <c r="D111" s="92"/>
      <c r="E111" s="92"/>
      <c r="F111" s="249"/>
      <c r="G111" s="126"/>
      <c r="H111" s="92"/>
      <c r="I111" s="248"/>
      <c r="J111" s="341"/>
      <c r="K111" s="84"/>
      <c r="L111" s="248"/>
      <c r="M111" s="248"/>
      <c r="N111" s="341"/>
      <c r="O111" s="84">
        <f>Adjusted!U178+Adjusted!U179+Adjusted!U184</f>
        <v>0</v>
      </c>
      <c r="P111" s="248">
        <f>Adjusted!V178+Adjusted!V179+Adjusted!V184</f>
        <v>0</v>
      </c>
      <c r="Q111" s="248">
        <f>Adjusted!W178+Adjusted!W179+Adjusted!W184</f>
        <v>0</v>
      </c>
      <c r="R111" s="341">
        <f>Adjusted!X178+Adjusted!X179+Adjusted!X184</f>
        <v>0</v>
      </c>
      <c r="S111" s="84">
        <f>Adjusted!Y178+Adjusted!Y179+Adjusted!Y184</f>
        <v>0</v>
      </c>
      <c r="T111" s="248">
        <f>Adjusted!Z178+Adjusted!Z179+Adjusted!Z184</f>
        <v>0</v>
      </c>
      <c r="U111" s="248">
        <f>Adjusted!AA178+Adjusted!AA179+Adjusted!AA184</f>
        <v>0</v>
      </c>
      <c r="V111" s="341">
        <f>Adjusted!AB178+Adjusted!AB179+Adjusted!AB184</f>
        <v>0</v>
      </c>
      <c r="W111" s="84">
        <f>Adjusted!AC178+Adjusted!AC179+Adjusted!AC184</f>
        <v>0</v>
      </c>
      <c r="X111" s="342" t="e">
        <f>Adjusted!AD178+Adjusted!AD179+Adjusted!AD184</f>
        <v>#DIV/0!</v>
      </c>
      <c r="Y111" s="342" t="e">
        <f>Adjusted!AE178+Adjusted!AE179+Adjusted!AE184</f>
        <v>#DIV/0!</v>
      </c>
      <c r="Z111" s="343" t="e">
        <f>Adjusted!AF178+Adjusted!AF179+Adjusted!AF184</f>
        <v>#DIV/0!</v>
      </c>
      <c r="AA111" s="344" t="e">
        <f>Adjusted!AG178+Adjusted!AG179+Adjusted!AG184</f>
        <v>#DIV/0!</v>
      </c>
      <c r="AB111" s="342" t="e">
        <f>Adjusted!AH178+Adjusted!AH179+Adjusted!AH184</f>
        <v>#DIV/0!</v>
      </c>
      <c r="AC111" s="342" t="e">
        <f>Adjusted!AI178+Adjusted!AI179+Adjusted!AI184</f>
        <v>#DIV/0!</v>
      </c>
      <c r="AD111" s="343" t="e">
        <f>Adjusted!AJ178+Adjusted!AJ179+Adjusted!AJ184</f>
        <v>#DIV/0!</v>
      </c>
      <c r="AE111" s="344" t="e">
        <f>Adjusted!AK178+Adjusted!AK179+Adjusted!AK184</f>
        <v>#DIV/0!</v>
      </c>
      <c r="AF111" s="342" t="e">
        <f>Adjusted!AL178+Adjusted!AL179+Adjusted!AL184</f>
        <v>#DIV/0!</v>
      </c>
      <c r="AG111" s="342" t="e">
        <f>Adjusted!AM178+Adjusted!AM179+Adjusted!AM184</f>
        <v>#DIV/0!</v>
      </c>
      <c r="AH111" s="343" t="e">
        <f>Adjusted!AN178+Adjusted!AN179+Adjusted!AN184</f>
        <v>#DIV/0!</v>
      </c>
      <c r="AI111" s="344" t="e">
        <f>Adjusted!AO178+Adjusted!AO179+Adjusted!AO184</f>
        <v>#DIV/0!</v>
      </c>
      <c r="AJ111" s="342" t="e">
        <f>Adjusted!AP178+Adjusted!AP179+Adjusted!AP184</f>
        <v>#DIV/0!</v>
      </c>
      <c r="AK111" s="342" t="e">
        <f>Adjusted!AQ178+Adjusted!AQ179+Adjusted!AQ184</f>
        <v>#DIV/0!</v>
      </c>
      <c r="AL111" s="343" t="e">
        <f>Adjusted!AR178+Adjusted!AR179+Adjusted!AR184</f>
        <v>#DIV/0!</v>
      </c>
    </row>
    <row r="112" spans="1:38" x14ac:dyDescent="0.2">
      <c r="A112" s="85" t="s">
        <v>154</v>
      </c>
      <c r="B112" s="518" t="e">
        <f t="shared" si="58"/>
        <v>#DIV/0!</v>
      </c>
      <c r="C112" s="519"/>
      <c r="D112" s="520"/>
      <c r="E112" s="520"/>
      <c r="F112" s="521"/>
      <c r="G112" s="519"/>
      <c r="H112" s="520"/>
      <c r="I112" s="522" t="e">
        <f t="shared" ref="I112:R112" si="63">I109/I97</f>
        <v>#DIV/0!</v>
      </c>
      <c r="J112" s="523" t="e">
        <f t="shared" si="63"/>
        <v>#DIV/0!</v>
      </c>
      <c r="K112" s="524" t="e">
        <f t="shared" si="63"/>
        <v>#DIV/0!</v>
      </c>
      <c r="L112" s="522" t="e">
        <f t="shared" si="63"/>
        <v>#DIV/0!</v>
      </c>
      <c r="M112" s="522" t="e">
        <f t="shared" si="63"/>
        <v>#DIV/0!</v>
      </c>
      <c r="N112" s="523" t="e">
        <f t="shared" si="63"/>
        <v>#DIV/0!</v>
      </c>
      <c r="O112" s="524" t="e">
        <f t="shared" si="63"/>
        <v>#DIV/0!</v>
      </c>
      <c r="P112" s="522" t="e">
        <f t="shared" si="63"/>
        <v>#DIV/0!</v>
      </c>
      <c r="Q112" s="522" t="e">
        <f t="shared" si="63"/>
        <v>#DIV/0!</v>
      </c>
      <c r="R112" s="523" t="e">
        <f t="shared" si="63"/>
        <v>#DIV/0!</v>
      </c>
      <c r="S112" s="524" t="e">
        <f t="shared" ref="S112:V112" si="64">S109/S97</f>
        <v>#DIV/0!</v>
      </c>
      <c r="T112" s="522" t="e">
        <f t="shared" si="64"/>
        <v>#DIV/0!</v>
      </c>
      <c r="U112" s="522" t="e">
        <f t="shared" si="64"/>
        <v>#DIV/0!</v>
      </c>
      <c r="V112" s="523" t="e">
        <f t="shared" si="64"/>
        <v>#DIV/0!</v>
      </c>
      <c r="W112" s="524" t="e">
        <f t="shared" ref="W112" si="65">W109/W97</f>
        <v>#DIV/0!</v>
      </c>
      <c r="X112" s="526" t="e">
        <f t="shared" ref="X112:Z112" si="66">EXP($H$157*X100+$H$158)</f>
        <v>#DIV/0!</v>
      </c>
      <c r="Y112" s="526" t="e">
        <f t="shared" si="66"/>
        <v>#DIV/0!</v>
      </c>
      <c r="Z112" s="527" t="e">
        <f t="shared" si="66"/>
        <v>#DIV/0!</v>
      </c>
      <c r="AA112" s="525" t="e">
        <f t="shared" ref="AA112:AD112" si="67">EXP($H$157*AA100+$H$158)</f>
        <v>#DIV/0!</v>
      </c>
      <c r="AB112" s="526" t="e">
        <f t="shared" si="67"/>
        <v>#DIV/0!</v>
      </c>
      <c r="AC112" s="526" t="e">
        <f t="shared" si="67"/>
        <v>#DIV/0!</v>
      </c>
      <c r="AD112" s="527" t="e">
        <f t="shared" si="67"/>
        <v>#DIV/0!</v>
      </c>
      <c r="AE112" s="525" t="e">
        <f t="shared" ref="AE112:AH112" si="68">EXP($H$157*AE100+$H$158)</f>
        <v>#DIV/0!</v>
      </c>
      <c r="AF112" s="526" t="e">
        <f t="shared" si="68"/>
        <v>#DIV/0!</v>
      </c>
      <c r="AG112" s="526" t="e">
        <f t="shared" si="68"/>
        <v>#DIV/0!</v>
      </c>
      <c r="AH112" s="527" t="e">
        <f t="shared" si="68"/>
        <v>#DIV/0!</v>
      </c>
      <c r="AI112" s="525" t="e">
        <f t="shared" ref="AI112:AL112" si="69">EXP($H$157*AI100+$H$158)</f>
        <v>#DIV/0!</v>
      </c>
      <c r="AJ112" s="526" t="e">
        <f t="shared" si="69"/>
        <v>#DIV/0!</v>
      </c>
      <c r="AK112" s="526" t="e">
        <f t="shared" si="69"/>
        <v>#DIV/0!</v>
      </c>
      <c r="AL112" s="527" t="e">
        <f t="shared" si="69"/>
        <v>#DIV/0!</v>
      </c>
    </row>
    <row r="113" spans="1:38" x14ac:dyDescent="0.2">
      <c r="A113" s="85" t="s">
        <v>162</v>
      </c>
      <c r="B113" s="404"/>
      <c r="C113" s="346"/>
      <c r="D113" s="347"/>
      <c r="E113" s="347"/>
      <c r="F113" s="355"/>
      <c r="G113" s="346"/>
      <c r="H113" s="347"/>
      <c r="I113" s="405"/>
      <c r="J113" s="406"/>
      <c r="K113" s="407"/>
      <c r="L113" s="405"/>
      <c r="M113" s="405"/>
      <c r="N113" s="408"/>
      <c r="O113" s="409"/>
      <c r="P113" s="410"/>
      <c r="Q113" s="410"/>
      <c r="R113" s="408"/>
      <c r="S113" s="409"/>
      <c r="T113" s="410"/>
      <c r="U113" s="410"/>
      <c r="V113" s="408"/>
      <c r="W113" s="409" t="e">
        <f t="shared" ref="W113:Z113" si="70">(W108/V108)^4-1</f>
        <v>#DIV/0!</v>
      </c>
      <c r="X113" s="401" t="e">
        <f t="shared" si="70"/>
        <v>#DIV/0!</v>
      </c>
      <c r="Y113" s="401" t="e">
        <f t="shared" si="70"/>
        <v>#DIV/0!</v>
      </c>
      <c r="Z113" s="402" t="e">
        <f t="shared" si="70"/>
        <v>#DIV/0!</v>
      </c>
      <c r="AA113" s="403" t="e">
        <f t="shared" ref="AA113" si="71">(AA108/Z108)^4-1</f>
        <v>#DIV/0!</v>
      </c>
      <c r="AB113" s="401" t="e">
        <f t="shared" ref="AB113" si="72">(AB108/AA108)^4-1</f>
        <v>#DIV/0!</v>
      </c>
      <c r="AC113" s="401" t="e">
        <f t="shared" ref="AC113" si="73">(AC108/AB108)^4-1</f>
        <v>#DIV/0!</v>
      </c>
      <c r="AD113" s="402" t="e">
        <f t="shared" ref="AD113" si="74">(AD108/AC108)^4-1</f>
        <v>#DIV/0!</v>
      </c>
      <c r="AE113" s="403" t="e">
        <f t="shared" ref="AE113" si="75">(AE108/AD108)^4-1</f>
        <v>#DIV/0!</v>
      </c>
      <c r="AF113" s="401" t="e">
        <f t="shared" ref="AF113" si="76">(AF108/AE108)^4-1</f>
        <v>#DIV/0!</v>
      </c>
      <c r="AG113" s="401" t="e">
        <f t="shared" ref="AG113" si="77">(AG108/AF108)^4-1</f>
        <v>#DIV/0!</v>
      </c>
      <c r="AH113" s="402" t="e">
        <f t="shared" ref="AH113" si="78">(AH108/AG108)^4-1</f>
        <v>#DIV/0!</v>
      </c>
      <c r="AI113" s="403" t="e">
        <f t="shared" ref="AI113" si="79">(AI108/AH108)^4-1</f>
        <v>#DIV/0!</v>
      </c>
      <c r="AJ113" s="401" t="e">
        <f t="shared" ref="AJ113" si="80">(AJ108/AI108)^4-1</f>
        <v>#DIV/0!</v>
      </c>
      <c r="AK113" s="401" t="e">
        <f t="shared" ref="AK113" si="81">(AK108/AJ108)^4-1</f>
        <v>#DIV/0!</v>
      </c>
      <c r="AL113" s="402" t="e">
        <f t="shared" ref="AL113" si="82">(AL108/AK108)^4-1</f>
        <v>#DIV/0!</v>
      </c>
    </row>
    <row r="115" spans="1:38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27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</row>
    <row r="116" spans="1:38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27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</row>
    <row r="117" spans="1:38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27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</row>
    <row r="118" spans="1:38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27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</row>
    <row r="119" spans="1:38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</row>
    <row r="120" spans="1:38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</row>
    <row r="121" spans="1:38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</row>
    <row r="122" spans="1:38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</row>
    <row r="123" spans="1:38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</row>
    <row r="124" spans="1:38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</row>
    <row r="125" spans="1:38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</row>
    <row r="126" spans="1:38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</row>
    <row r="127" spans="1:38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</row>
    <row r="128" spans="1:38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</row>
    <row r="129" spans="1:38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</row>
    <row r="130" spans="1:38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</row>
    <row r="131" spans="1:38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</row>
    <row r="132" spans="1:38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</row>
    <row r="133" spans="1:38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</row>
    <row r="134" spans="1:38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</row>
    <row r="135" spans="1:38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</row>
    <row r="136" spans="1:38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</row>
    <row r="137" spans="1:38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</row>
    <row r="138" spans="1:38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</row>
    <row r="139" spans="1:38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</row>
    <row r="140" spans="1:38" x14ac:dyDescent="0.2">
      <c r="A140" s="340"/>
      <c r="B140" s="340"/>
      <c r="C140" s="340"/>
      <c r="D140" s="340"/>
      <c r="E140" s="340"/>
      <c r="F140" s="340"/>
      <c r="G140" s="340"/>
      <c r="H140" s="340"/>
      <c r="I140" s="340"/>
      <c r="J140" s="340"/>
      <c r="K140" s="340"/>
      <c r="L140" s="340"/>
      <c r="M140" s="340"/>
      <c r="N140" s="340"/>
      <c r="O140" s="340"/>
      <c r="P140" s="340"/>
      <c r="Q140" s="340"/>
      <c r="R140" s="340"/>
      <c r="S140" s="340"/>
      <c r="T140" s="340"/>
      <c r="U140" s="340"/>
      <c r="V140" s="340"/>
      <c r="W140" s="340"/>
      <c r="X140" s="340"/>
      <c r="Y140" s="340"/>
      <c r="Z140" s="340"/>
      <c r="AA140" s="340"/>
      <c r="AB140" s="340"/>
      <c r="AC140" s="340"/>
      <c r="AD140" s="340"/>
      <c r="AE140" s="340"/>
      <c r="AF140" s="340"/>
      <c r="AG140" s="340"/>
      <c r="AH140" s="340"/>
      <c r="AI140" s="340"/>
      <c r="AJ140" s="340"/>
      <c r="AK140" s="340"/>
      <c r="AL140" s="340"/>
    </row>
    <row r="141" spans="1:38" x14ac:dyDescent="0.2">
      <c r="A141" s="340"/>
      <c r="B141" s="340"/>
      <c r="C141" s="340"/>
      <c r="D141" s="340"/>
      <c r="E141" s="340"/>
      <c r="F141" s="340"/>
      <c r="G141" s="340"/>
      <c r="H141" s="340"/>
      <c r="I141" s="340"/>
      <c r="J141" s="340"/>
      <c r="K141" s="340"/>
      <c r="L141" s="340"/>
      <c r="M141" s="340"/>
      <c r="N141" s="340"/>
      <c r="O141" s="340"/>
      <c r="P141" s="340"/>
      <c r="Q141" s="340"/>
      <c r="R141" s="340"/>
      <c r="S141" s="340"/>
      <c r="T141" s="340"/>
      <c r="U141" s="340"/>
      <c r="V141" s="340"/>
      <c r="W141" s="340"/>
      <c r="X141" s="340"/>
      <c r="Y141" s="340"/>
      <c r="Z141" s="340"/>
      <c r="AA141" s="340"/>
      <c r="AB141" s="340"/>
      <c r="AC141" s="340"/>
      <c r="AD141" s="340"/>
      <c r="AE141" s="340"/>
      <c r="AF141" s="340"/>
      <c r="AG141" s="340"/>
      <c r="AH141" s="340"/>
      <c r="AI141" s="340"/>
      <c r="AJ141" s="340"/>
      <c r="AK141" s="340"/>
      <c r="AL141" s="340"/>
    </row>
    <row r="142" spans="1:38" x14ac:dyDescent="0.2">
      <c r="A142" s="340"/>
      <c r="B142" s="340"/>
      <c r="C142" s="340"/>
      <c r="D142" s="340"/>
      <c r="E142" s="340"/>
      <c r="F142" s="340"/>
      <c r="G142" s="340"/>
      <c r="H142" s="340"/>
      <c r="I142" s="340"/>
      <c r="J142" s="340"/>
      <c r="K142" s="340"/>
      <c r="L142" s="340"/>
      <c r="M142" s="340"/>
      <c r="N142" s="340"/>
      <c r="O142" s="340"/>
      <c r="P142" s="340"/>
      <c r="Q142" s="340"/>
      <c r="R142" s="340"/>
      <c r="S142" s="340"/>
      <c r="T142" s="340"/>
      <c r="U142" s="340"/>
      <c r="V142" s="340"/>
      <c r="W142" s="340"/>
      <c r="X142" s="340"/>
      <c r="Y142" s="340"/>
      <c r="Z142" s="340"/>
      <c r="AA142" s="340"/>
      <c r="AB142" s="340"/>
      <c r="AC142" s="340"/>
      <c r="AD142" s="340"/>
      <c r="AE142" s="340"/>
      <c r="AF142" s="340"/>
      <c r="AG142" s="340"/>
      <c r="AH142" s="340"/>
      <c r="AI142" s="340"/>
      <c r="AJ142" s="340"/>
      <c r="AK142" s="340"/>
      <c r="AL142" s="340"/>
    </row>
    <row r="143" spans="1:38" x14ac:dyDescent="0.2">
      <c r="A143" s="340"/>
      <c r="B143" s="340"/>
      <c r="C143" s="340"/>
      <c r="D143" s="340"/>
      <c r="E143" s="340"/>
      <c r="F143" s="340"/>
      <c r="G143" s="340"/>
      <c r="H143" s="340"/>
      <c r="I143" s="340"/>
      <c r="J143" s="340"/>
      <c r="K143" s="340"/>
      <c r="L143" s="340"/>
      <c r="M143" s="340"/>
      <c r="N143" s="340"/>
      <c r="O143" s="340"/>
      <c r="P143" s="340"/>
      <c r="Q143" s="340"/>
      <c r="R143" s="340"/>
      <c r="S143" s="340"/>
      <c r="T143" s="340"/>
      <c r="U143" s="340"/>
      <c r="V143" s="340"/>
      <c r="W143" s="340"/>
      <c r="X143" s="340"/>
      <c r="Y143" s="340"/>
      <c r="Z143" s="340"/>
      <c r="AA143" s="340"/>
      <c r="AB143" s="340"/>
      <c r="AC143" s="340"/>
      <c r="AD143" s="340"/>
      <c r="AE143" s="340"/>
      <c r="AF143" s="340"/>
      <c r="AG143" s="340"/>
      <c r="AH143" s="340"/>
      <c r="AI143" s="340"/>
      <c r="AJ143" s="340"/>
      <c r="AK143" s="340"/>
      <c r="AL143" s="340"/>
    </row>
    <row r="154" spans="7:9" x14ac:dyDescent="0.2">
      <c r="G154" s="195"/>
      <c r="H154" s="363"/>
      <c r="I154" s="364"/>
    </row>
    <row r="155" spans="7:9" x14ac:dyDescent="0.2">
      <c r="G155" s="195"/>
      <c r="H155" s="367"/>
      <c r="I155" s="364"/>
    </row>
    <row r="157" spans="7:9" x14ac:dyDescent="0.2">
      <c r="G157" s="195" t="s">
        <v>149</v>
      </c>
      <c r="H157" s="387">
        <v>1.8817999999999999</v>
      </c>
      <c r="I157" s="387">
        <v>2.2000000000000002</v>
      </c>
    </row>
    <row r="158" spans="7:9" x14ac:dyDescent="0.2">
      <c r="G158" s="195" t="s">
        <v>150</v>
      </c>
      <c r="H158" s="387">
        <v>1.3041</v>
      </c>
      <c r="I158" s="387">
        <v>2.5</v>
      </c>
    </row>
    <row r="160" spans="7:9" x14ac:dyDescent="0.2">
      <c r="G160" s="368">
        <v>0</v>
      </c>
      <c r="H160" s="364">
        <f>EXP(H$157*G160+H$158)</f>
        <v>3.6843716665868116</v>
      </c>
      <c r="I160" s="364">
        <f>EXP(I$157*G160+I$158)</f>
        <v>12.182493960703473</v>
      </c>
    </row>
    <row r="161" spans="7:9" x14ac:dyDescent="0.2">
      <c r="G161" s="368">
        <v>0.05</v>
      </c>
      <c r="H161" s="364">
        <f t="shared" ref="H161:H174" si="83">EXP(H$157*G161+H$158)</f>
        <v>4.0478666935190901</v>
      </c>
      <c r="I161" s="364">
        <f t="shared" ref="I161:I174" si="84">EXP(I$157*G161+I$158)</f>
        <v>13.599050851830924</v>
      </c>
    </row>
    <row r="162" spans="7:9" x14ac:dyDescent="0.2">
      <c r="G162" s="368">
        <v>0.3</v>
      </c>
      <c r="H162" s="364">
        <f t="shared" si="83"/>
        <v>6.4794783138409455</v>
      </c>
      <c r="I162" s="364">
        <f t="shared" si="84"/>
        <v>23.570595929068126</v>
      </c>
    </row>
    <row r="163" spans="7:9" x14ac:dyDescent="0.2">
      <c r="G163" s="368">
        <v>0.4</v>
      </c>
      <c r="H163" s="364">
        <f t="shared" si="83"/>
        <v>7.8210592550965607</v>
      </c>
      <c r="I163" s="364">
        <f t="shared" si="84"/>
        <v>29.370771113289432</v>
      </c>
    </row>
    <row r="164" spans="7:9" x14ac:dyDescent="0.2">
      <c r="G164" s="368">
        <v>0.5</v>
      </c>
      <c r="H164" s="364">
        <f t="shared" si="83"/>
        <v>9.4404155564603549</v>
      </c>
      <c r="I164" s="364">
        <f t="shared" si="84"/>
        <v>36.598234443677988</v>
      </c>
    </row>
    <row r="165" spans="7:9" x14ac:dyDescent="0.2">
      <c r="G165" s="368">
        <v>0.6</v>
      </c>
      <c r="H165" s="364">
        <f t="shared" si="83"/>
        <v>11.395060818722611</v>
      </c>
      <c r="I165" s="364">
        <f t="shared" si="84"/>
        <v>45.604208320848748</v>
      </c>
    </row>
    <row r="166" spans="7:9" x14ac:dyDescent="0.2">
      <c r="G166" s="368">
        <v>0.7</v>
      </c>
      <c r="H166" s="364">
        <f t="shared" si="83"/>
        <v>13.754416877711364</v>
      </c>
      <c r="I166" s="364">
        <f t="shared" si="84"/>
        <v>56.826342805469025</v>
      </c>
    </row>
    <row r="167" spans="7:9" x14ac:dyDescent="0.2">
      <c r="G167" s="368">
        <v>0.8</v>
      </c>
      <c r="H167" s="364">
        <f t="shared" si="83"/>
        <v>16.602279413465983</v>
      </c>
      <c r="I167" s="364">
        <f t="shared" si="84"/>
        <v>70.809983454276548</v>
      </c>
    </row>
    <row r="168" spans="7:9" x14ac:dyDescent="0.2">
      <c r="G168" s="368">
        <v>0.9</v>
      </c>
      <c r="H168" s="364">
        <f t="shared" si="83"/>
        <v>20.039794065676169</v>
      </c>
      <c r="I168" s="364">
        <f t="shared" si="84"/>
        <v>88.23467267565151</v>
      </c>
    </row>
    <row r="169" spans="7:9" x14ac:dyDescent="0.2">
      <c r="G169" s="368">
        <v>1</v>
      </c>
      <c r="H169" s="364">
        <f t="shared" si="83"/>
        <v>24.189048756099151</v>
      </c>
      <c r="I169" s="364">
        <f t="shared" si="84"/>
        <v>109.94717245212352</v>
      </c>
    </row>
    <row r="170" spans="7:9" x14ac:dyDescent="0.2">
      <c r="G170" s="368">
        <v>1.1000000000000001</v>
      </c>
      <c r="H170" s="364">
        <f t="shared" si="83"/>
        <v>29.197409804081211</v>
      </c>
      <c r="I170" s="364">
        <f t="shared" si="84"/>
        <v>137.00261318646898</v>
      </c>
    </row>
    <row r="171" spans="7:9" x14ac:dyDescent="0.2">
      <c r="G171" s="368">
        <v>1.2</v>
      </c>
      <c r="H171" s="364">
        <f t="shared" si="83"/>
        <v>35.242755838114817</v>
      </c>
      <c r="I171" s="364">
        <f t="shared" si="84"/>
        <v>170.71576832132297</v>
      </c>
    </row>
    <row r="172" spans="7:9" x14ac:dyDescent="0.2">
      <c r="G172" s="368">
        <v>1.3</v>
      </c>
      <c r="H172" s="364">
        <f t="shared" si="83"/>
        <v>42.539795392787312</v>
      </c>
      <c r="I172" s="364">
        <f t="shared" si="84"/>
        <v>212.72494644954682</v>
      </c>
    </row>
    <row r="173" spans="7:9" x14ac:dyDescent="0.2">
      <c r="G173" s="368">
        <v>1.4</v>
      </c>
      <c r="H173" s="364">
        <f t="shared" si="83"/>
        <v>51.347692569010142</v>
      </c>
      <c r="I173" s="364">
        <f t="shared" si="84"/>
        <v>265.07160578622688</v>
      </c>
    </row>
    <row r="174" spans="7:9" x14ac:dyDescent="0.2">
      <c r="G174" s="368">
        <v>1.5</v>
      </c>
      <c r="H174" s="364">
        <f t="shared" si="83"/>
        <v>61.979271593032074</v>
      </c>
      <c r="I174" s="364">
        <f t="shared" si="84"/>
        <v>330.29955990964891</v>
      </c>
    </row>
  </sheetData>
  <pageMargins left="0.25" right="0.25" top="0.75" bottom="0.75" header="0.3" footer="0.3"/>
  <pageSetup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BT218"/>
  <sheetViews>
    <sheetView zoomScaleNormal="100" workbookViewId="0" xr3:uid="{958C4451-9541-5A59-BF78-D2F731DF1C81}">
      <pane xSplit="4" ySplit="4" topLeftCell="E5" activePane="bottomRight" state="frozen"/>
      <selection pane="bottomLeft" activeCell="A6" sqref="A6"/>
      <selection pane="topRight" activeCell="E1" sqref="E1"/>
      <selection pane="bottomRight" activeCell="B1" sqref="B1"/>
    </sheetView>
  </sheetViews>
  <sheetFormatPr defaultColWidth="9.14453125" defaultRowHeight="11.25" outlineLevelRow="1" x14ac:dyDescent="0.1"/>
  <cols>
    <col min="1" max="1" width="2.6875" style="2" customWidth="1"/>
    <col min="2" max="2" width="30.66796875" style="186" customWidth="1"/>
    <col min="3" max="3" width="9.14453125" style="10"/>
    <col min="4" max="4" width="9.14453125" style="10" customWidth="1"/>
    <col min="5" max="21" width="11.703125" style="10" customWidth="1"/>
    <col min="22" max="23" width="12.375" style="10" customWidth="1"/>
    <col min="24" max="25" width="11.703125" style="10" customWidth="1"/>
    <col min="26" max="27" width="12.375" style="10" customWidth="1"/>
    <col min="28" max="40" width="11.703125" style="10" customWidth="1"/>
    <col min="41" max="42" width="11.703125" style="12" customWidth="1"/>
    <col min="43" max="44" width="11.703125" style="10" customWidth="1"/>
    <col min="45" max="46" width="11.703125" style="12" customWidth="1"/>
    <col min="47" max="48" width="11.703125" style="10" customWidth="1"/>
    <col min="49" max="49" width="3.62890625" style="10" customWidth="1"/>
    <col min="50" max="50" width="7.26171875" style="10" customWidth="1"/>
    <col min="51" max="53" width="6.9921875" style="10" customWidth="1"/>
    <col min="54" max="54" width="9.68359375" style="10" customWidth="1"/>
    <col min="55" max="55" width="3.359375" style="10" customWidth="1"/>
    <col min="56" max="56" width="11.1640625" style="10" customWidth="1"/>
    <col min="57" max="57" width="24.75" style="186" customWidth="1"/>
    <col min="58" max="60" width="9.14453125" style="10"/>
    <col min="61" max="61" width="10.0859375" style="10" customWidth="1"/>
    <col min="62" max="62" width="9.4140625" style="10" customWidth="1"/>
    <col min="63" max="63" width="9.68359375" style="10" customWidth="1"/>
    <col min="64" max="16384" width="9.14453125" style="10"/>
  </cols>
  <sheetData>
    <row r="1" spans="1:72" ht="21.75" customHeight="1" x14ac:dyDescent="0.2">
      <c r="A1" s="530" t="e">
        <f>#REF!</f>
        <v>#REF!</v>
      </c>
    </row>
    <row r="2" spans="1:72" customFormat="1" ht="11.25" customHeight="1" x14ac:dyDescent="0.2">
      <c r="A2" s="531" t="str">
        <f>IFERROR(CHOOSE(#REF!,"Dollars","Thousands","Millions"),"")</f>
        <v/>
      </c>
      <c r="B2" s="185"/>
      <c r="C2" s="2"/>
      <c r="D2" s="2"/>
      <c r="E2" s="331">
        <f>YEAR(H4)</f>
        <v>2011</v>
      </c>
      <c r="F2" s="332"/>
      <c r="G2" s="332"/>
      <c r="H2" s="333"/>
      <c r="I2" s="331">
        <f>YEAR(L4)</f>
        <v>2012</v>
      </c>
      <c r="J2" s="332"/>
      <c r="K2" s="332"/>
      <c r="L2" s="333"/>
      <c r="M2" s="331">
        <f>YEAR(P4)</f>
        <v>2013</v>
      </c>
      <c r="N2" s="332"/>
      <c r="O2" s="332"/>
      <c r="P2" s="333"/>
      <c r="Q2" s="331">
        <f>YEAR(T4)</f>
        <v>2014</v>
      </c>
      <c r="R2" s="332"/>
      <c r="S2" s="332"/>
      <c r="T2" s="333"/>
      <c r="U2" s="331">
        <f>YEAR(X4)</f>
        <v>2015</v>
      </c>
      <c r="V2" s="332"/>
      <c r="W2" s="332"/>
      <c r="X2" s="333"/>
      <c r="Y2" s="331">
        <f>YEAR(AB4)</f>
        <v>2016</v>
      </c>
      <c r="Z2" s="332"/>
      <c r="AA2" s="332"/>
      <c r="AB2" s="333"/>
      <c r="AC2" s="331">
        <f>YEAR(AF4)</f>
        <v>2017</v>
      </c>
      <c r="AD2" s="332"/>
      <c r="AE2" s="332"/>
      <c r="AF2" s="333"/>
      <c r="AG2" s="332">
        <f>YEAR(AJ4)</f>
        <v>2018</v>
      </c>
      <c r="AH2" s="332"/>
      <c r="AI2" s="332"/>
      <c r="AJ2" s="333"/>
      <c r="AK2" s="331">
        <f>YEAR(AN4)</f>
        <v>2019</v>
      </c>
      <c r="AL2" s="332"/>
      <c r="AM2" s="332"/>
      <c r="AN2" s="333"/>
      <c r="AO2" s="331">
        <f>YEAR(AR4)</f>
        <v>2020</v>
      </c>
      <c r="AP2" s="332"/>
      <c r="AQ2" s="332"/>
      <c r="AR2" s="333"/>
      <c r="AS2" s="331">
        <f>YEAR(AV4)</f>
        <v>2021</v>
      </c>
      <c r="AT2" s="332"/>
      <c r="AU2" s="332"/>
      <c r="AV2" s="333"/>
      <c r="AX2" s="6" t="s">
        <v>22</v>
      </c>
      <c r="AY2" s="69"/>
      <c r="AZ2" s="2"/>
      <c r="BA2" s="2"/>
      <c r="BB2" s="2"/>
      <c r="BD2" s="6" t="s">
        <v>41</v>
      </c>
      <c r="BE2" s="185"/>
    </row>
    <row r="3" spans="1:72" customFormat="1" ht="11.25" customHeight="1" x14ac:dyDescent="0.2">
      <c r="A3" s="531" t="str">
        <f>IFERROR(CHOOSE(#REF!,"CAD","USD","EUR","GBP","CNY"),"")</f>
        <v/>
      </c>
      <c r="B3" s="185"/>
      <c r="C3" s="2"/>
      <c r="D3" s="2"/>
      <c r="E3" s="100" t="s">
        <v>42</v>
      </c>
      <c r="F3" s="101" t="s">
        <v>43</v>
      </c>
      <c r="G3" s="101" t="s">
        <v>44</v>
      </c>
      <c r="H3" s="102" t="s">
        <v>45</v>
      </c>
      <c r="I3" s="100" t="s">
        <v>42</v>
      </c>
      <c r="J3" s="101" t="s">
        <v>43</v>
      </c>
      <c r="K3" s="101" t="s">
        <v>44</v>
      </c>
      <c r="L3" s="102" t="s">
        <v>45</v>
      </c>
      <c r="M3" s="40">
        <v>1</v>
      </c>
      <c r="N3" s="40">
        <v>2</v>
      </c>
      <c r="O3" s="40">
        <v>3</v>
      </c>
      <c r="P3" s="40">
        <v>4</v>
      </c>
      <c r="Q3" s="39">
        <v>1</v>
      </c>
      <c r="R3" s="40">
        <v>2</v>
      </c>
      <c r="S3" s="40">
        <v>3</v>
      </c>
      <c r="T3" s="40">
        <v>4</v>
      </c>
      <c r="U3" s="39">
        <v>1</v>
      </c>
      <c r="V3" s="40">
        <v>2</v>
      </c>
      <c r="W3" s="40">
        <v>3</v>
      </c>
      <c r="X3" s="40">
        <v>4</v>
      </c>
      <c r="Y3" s="39">
        <v>1</v>
      </c>
      <c r="Z3" s="40">
        <v>2</v>
      </c>
      <c r="AA3" s="40">
        <v>3</v>
      </c>
      <c r="AB3" s="40">
        <v>4</v>
      </c>
      <c r="AC3" s="39">
        <v>1</v>
      </c>
      <c r="AD3" s="40">
        <v>2</v>
      </c>
      <c r="AE3" s="40">
        <v>3</v>
      </c>
      <c r="AF3" s="40">
        <v>4</v>
      </c>
      <c r="AG3" s="39">
        <v>1</v>
      </c>
      <c r="AH3" s="40">
        <v>2</v>
      </c>
      <c r="AI3" s="40">
        <v>3</v>
      </c>
      <c r="AJ3" s="40">
        <v>4</v>
      </c>
      <c r="AK3" s="39">
        <v>1</v>
      </c>
      <c r="AL3" s="40">
        <v>2</v>
      </c>
      <c r="AM3" s="40">
        <v>3</v>
      </c>
      <c r="AN3" s="40">
        <v>4</v>
      </c>
      <c r="AO3" s="39">
        <v>1</v>
      </c>
      <c r="AP3" s="40">
        <v>2</v>
      </c>
      <c r="AQ3" s="40">
        <v>3</v>
      </c>
      <c r="AR3" s="40">
        <v>4</v>
      </c>
      <c r="AS3" s="39">
        <v>1</v>
      </c>
      <c r="AT3" s="40">
        <v>2</v>
      </c>
      <c r="AU3" s="40">
        <v>3</v>
      </c>
      <c r="AV3" s="41">
        <v>4</v>
      </c>
      <c r="AW3" s="42"/>
      <c r="AX3" s="2"/>
      <c r="AY3" s="2"/>
      <c r="AZ3" s="2"/>
      <c r="BA3" s="2"/>
      <c r="BB3" s="2"/>
      <c r="BD3" s="2"/>
      <c r="BE3" s="185"/>
      <c r="BF3" s="58">
        <f>I2</f>
        <v>2012</v>
      </c>
      <c r="BG3" s="58">
        <f>M2</f>
        <v>2013</v>
      </c>
      <c r="BH3" s="58">
        <f>Q2</f>
        <v>2014</v>
      </c>
      <c r="BI3" s="58">
        <f>U2</f>
        <v>2015</v>
      </c>
      <c r="BJ3" s="58">
        <f>Y2</f>
        <v>2016</v>
      </c>
      <c r="BK3" s="58">
        <f>AC2</f>
        <v>2017</v>
      </c>
      <c r="BL3" s="58">
        <f>AG2</f>
        <v>2018</v>
      </c>
      <c r="BM3" s="58">
        <f>AK2</f>
        <v>2019</v>
      </c>
      <c r="BN3" s="58">
        <f>AO2</f>
        <v>2020</v>
      </c>
      <c r="BO3" s="58">
        <v>2021</v>
      </c>
      <c r="BP3" s="58" t="s">
        <v>156</v>
      </c>
      <c r="BR3" s="58" t="s">
        <v>122</v>
      </c>
      <c r="BS3" s="58" t="s">
        <v>131</v>
      </c>
      <c r="BT3" s="58" t="s">
        <v>132</v>
      </c>
    </row>
    <row r="4" spans="1:72" customFormat="1" ht="11.25" customHeight="1" x14ac:dyDescent="0.2">
      <c r="A4" s="2"/>
      <c r="B4" s="185"/>
      <c r="C4" s="2"/>
      <c r="D4" s="2"/>
      <c r="E4" s="65">
        <f>Reported!C4</f>
        <v>40633</v>
      </c>
      <c r="F4" s="103">
        <f>Reported!D4</f>
        <v>40724</v>
      </c>
      <c r="G4" s="103">
        <f>Reported!E4</f>
        <v>40816</v>
      </c>
      <c r="H4" s="104">
        <f>Reported!F4</f>
        <v>40908</v>
      </c>
      <c r="I4" s="65">
        <f>Reported!G4</f>
        <v>40999</v>
      </c>
      <c r="J4" s="103">
        <f>Reported!H4</f>
        <v>41090</v>
      </c>
      <c r="K4" s="103">
        <f>Reported!I4</f>
        <v>41182</v>
      </c>
      <c r="L4" s="104">
        <f>Reported!J4</f>
        <v>41274</v>
      </c>
      <c r="M4" s="65">
        <f>Reported!K4</f>
        <v>41364</v>
      </c>
      <c r="N4" s="103">
        <f>Reported!L4</f>
        <v>41455</v>
      </c>
      <c r="O4" s="103">
        <f>Reported!M4</f>
        <v>41547</v>
      </c>
      <c r="P4" s="104">
        <f>Reported!N4</f>
        <v>41639</v>
      </c>
      <c r="Q4" s="65">
        <f>Reported!O4</f>
        <v>41729</v>
      </c>
      <c r="R4" s="103">
        <f>Reported!P4</f>
        <v>41820</v>
      </c>
      <c r="S4" s="103">
        <f>Reported!Q4</f>
        <v>41912</v>
      </c>
      <c r="T4" s="104">
        <f>Reported!R4</f>
        <v>42004</v>
      </c>
      <c r="U4" s="65">
        <f>Reported!S4</f>
        <v>42094</v>
      </c>
      <c r="V4" s="103">
        <f>Reported!T4</f>
        <v>42185</v>
      </c>
      <c r="W4" s="103">
        <f>Reported!U4</f>
        <v>42277</v>
      </c>
      <c r="X4" s="104">
        <f>Reported!V4</f>
        <v>42369</v>
      </c>
      <c r="Y4" s="65">
        <f>Reported!W4</f>
        <v>42460</v>
      </c>
      <c r="Z4" s="103">
        <f>Reported!X4</f>
        <v>42551</v>
      </c>
      <c r="AA4" s="103">
        <f>Reported!Y4</f>
        <v>42643</v>
      </c>
      <c r="AB4" s="104">
        <f>Reported!Z4</f>
        <v>42735</v>
      </c>
      <c r="AC4" s="65">
        <f>Reported!AA4</f>
        <v>42825</v>
      </c>
      <c r="AD4" s="34">
        <f>Reported!AB4</f>
        <v>42916</v>
      </c>
      <c r="AE4" s="34">
        <f>Reported!AC4</f>
        <v>43008</v>
      </c>
      <c r="AF4" s="35">
        <f>Reported!AD4</f>
        <v>43100</v>
      </c>
      <c r="AG4" s="34">
        <f>Reported!AE4</f>
        <v>43190</v>
      </c>
      <c r="AH4" s="34">
        <f>Reported!AF4</f>
        <v>43281</v>
      </c>
      <c r="AI4" s="34">
        <f>Reported!AG4</f>
        <v>43373</v>
      </c>
      <c r="AJ4" s="35">
        <f>Reported!AH4</f>
        <v>43465</v>
      </c>
      <c r="AK4" s="33">
        <f>Reported!AI4</f>
        <v>43555</v>
      </c>
      <c r="AL4" s="34">
        <f>Reported!AJ4</f>
        <v>43646</v>
      </c>
      <c r="AM4" s="34">
        <f>Reported!AK4</f>
        <v>43738</v>
      </c>
      <c r="AN4" s="35">
        <f>Reported!AL4</f>
        <v>43830</v>
      </c>
      <c r="AO4" s="33">
        <f>Reported!AM4</f>
        <v>43921</v>
      </c>
      <c r="AP4" s="34">
        <f>Reported!AN4</f>
        <v>44012</v>
      </c>
      <c r="AQ4" s="34">
        <f>Reported!AO4</f>
        <v>44104</v>
      </c>
      <c r="AR4" s="35">
        <f>Reported!AP4</f>
        <v>44196</v>
      </c>
      <c r="AS4" s="33">
        <f>Reported!AQ4</f>
        <v>44286</v>
      </c>
      <c r="AT4" s="34">
        <f>Reported!AR4</f>
        <v>44377</v>
      </c>
      <c r="AU4" s="34">
        <f>Reported!AS4</f>
        <v>44469</v>
      </c>
      <c r="AV4" s="35">
        <f>Reported!AT4</f>
        <v>44561</v>
      </c>
      <c r="AX4" s="8"/>
      <c r="AY4" s="8"/>
      <c r="AZ4" s="2"/>
      <c r="BA4" s="2"/>
      <c r="BB4" s="2"/>
      <c r="BD4" s="2"/>
      <c r="BE4" s="185"/>
      <c r="BR4" s="77">
        <f t="shared" ref="BR4:BR59" si="0">ROW()-3</f>
        <v>1</v>
      </c>
      <c r="BS4" s="77">
        <f>COUNTIF($E$5:$AR$5,"Forecast")</f>
        <v>15</v>
      </c>
      <c r="BT4" s="77">
        <f>COUNTA($E$5:$AR$5)</f>
        <v>40</v>
      </c>
    </row>
    <row r="5" spans="1:72" customFormat="1" ht="11.25" customHeight="1" thickBot="1" x14ac:dyDescent="0.25">
      <c r="A5" s="2"/>
      <c r="B5" s="185"/>
      <c r="C5" s="2"/>
      <c r="D5" s="2"/>
      <c r="E5" s="65" t="s">
        <v>137</v>
      </c>
      <c r="F5" s="103" t="s">
        <v>137</v>
      </c>
      <c r="G5" s="103" t="s">
        <v>137</v>
      </c>
      <c r="H5" s="104" t="s">
        <v>137</v>
      </c>
      <c r="I5" s="65" t="s">
        <v>137</v>
      </c>
      <c r="J5" s="103" t="s">
        <v>137</v>
      </c>
      <c r="K5" s="103" t="s">
        <v>137</v>
      </c>
      <c r="L5" s="103" t="s">
        <v>137</v>
      </c>
      <c r="M5" s="65" t="s">
        <v>137</v>
      </c>
      <c r="N5" s="103" t="s">
        <v>137</v>
      </c>
      <c r="O5" s="103" t="s">
        <v>137</v>
      </c>
      <c r="P5" s="103" t="s">
        <v>137</v>
      </c>
      <c r="Q5" s="65" t="s">
        <v>96</v>
      </c>
      <c r="R5" s="103" t="s">
        <v>96</v>
      </c>
      <c r="S5" s="103" t="s">
        <v>96</v>
      </c>
      <c r="T5" s="103" t="s">
        <v>96</v>
      </c>
      <c r="U5" s="65" t="s">
        <v>96</v>
      </c>
      <c r="V5" s="103" t="s">
        <v>96</v>
      </c>
      <c r="W5" s="103" t="s">
        <v>96</v>
      </c>
      <c r="X5" s="103" t="s">
        <v>96</v>
      </c>
      <c r="Y5" s="65" t="s">
        <v>96</v>
      </c>
      <c r="Z5" s="103" t="s">
        <v>96</v>
      </c>
      <c r="AA5" s="103" t="s">
        <v>96</v>
      </c>
      <c r="AB5" s="103" t="s">
        <v>96</v>
      </c>
      <c r="AC5" s="65" t="s">
        <v>96</v>
      </c>
      <c r="AD5" s="34" t="s">
        <v>97</v>
      </c>
      <c r="AE5" s="34" t="s">
        <v>97</v>
      </c>
      <c r="AF5" s="35" t="s">
        <v>97</v>
      </c>
      <c r="AG5" s="34" t="s">
        <v>97</v>
      </c>
      <c r="AH5" s="34" t="s">
        <v>97</v>
      </c>
      <c r="AI5" s="34" t="s">
        <v>97</v>
      </c>
      <c r="AJ5" s="34" t="s">
        <v>97</v>
      </c>
      <c r="AK5" s="33" t="s">
        <v>97</v>
      </c>
      <c r="AL5" s="34" t="s">
        <v>97</v>
      </c>
      <c r="AM5" s="34" t="s">
        <v>97</v>
      </c>
      <c r="AN5" s="34" t="s">
        <v>97</v>
      </c>
      <c r="AO5" s="33" t="s">
        <v>97</v>
      </c>
      <c r="AP5" s="34" t="s">
        <v>97</v>
      </c>
      <c r="AQ5" s="34" t="s">
        <v>97</v>
      </c>
      <c r="AR5" s="34" t="s">
        <v>97</v>
      </c>
      <c r="AS5" s="33" t="s">
        <v>97</v>
      </c>
      <c r="AT5" s="34" t="s">
        <v>97</v>
      </c>
      <c r="AU5" s="34" t="s">
        <v>97</v>
      </c>
      <c r="AV5" s="35" t="s">
        <v>97</v>
      </c>
      <c r="AX5" s="8"/>
      <c r="AY5" s="8"/>
      <c r="AZ5" s="2"/>
      <c r="BA5" s="2"/>
      <c r="BB5" s="2"/>
      <c r="BD5" s="2"/>
      <c r="BE5" s="185"/>
      <c r="BR5" s="77">
        <f t="shared" si="0"/>
        <v>2</v>
      </c>
    </row>
    <row r="6" spans="1:72" ht="11.25" customHeight="1" thickBot="1" x14ac:dyDescent="0.2">
      <c r="A6" s="85"/>
      <c r="B6" s="188" t="str">
        <f ca="1">INDIRECT(ADDRESS($D$6,COLUMN()-1))&amp;INDIRECT(ADDRESS($D$6,COLUMN()))</f>
        <v>Selling</v>
      </c>
      <c r="C6" s="10" t="s">
        <v>203</v>
      </c>
      <c r="D6" s="534">
        <v>59</v>
      </c>
      <c r="E6" s="306"/>
      <c r="F6" s="306"/>
      <c r="G6" s="306"/>
      <c r="H6" s="304"/>
      <c r="I6" s="305"/>
      <c r="J6" s="306"/>
      <c r="K6" s="306"/>
      <c r="L6" s="306"/>
      <c r="M6" s="344"/>
      <c r="N6" s="342"/>
      <c r="O6" s="342"/>
      <c r="P6" s="342"/>
      <c r="Q6" s="344">
        <f ca="1">INDIRECT("BD"&amp;$D6)</f>
        <v>1</v>
      </c>
      <c r="R6" s="342">
        <f ca="1">Q6*(1+INDIRECT("$BH"&amp;$D6))^0.25</f>
        <v>1</v>
      </c>
      <c r="S6" s="342">
        <f t="shared" ref="S6:T6" ca="1" si="1">R6*(1+INDIRECT("$BH"&amp;$D6))^0.25</f>
        <v>1</v>
      </c>
      <c r="T6" s="342">
        <f t="shared" ca="1" si="1"/>
        <v>1</v>
      </c>
      <c r="U6" s="344">
        <f ca="1">T6*(1+INDIRECT("$BI"&amp;$D6))^0.25</f>
        <v>1</v>
      </c>
      <c r="V6" s="342">
        <f t="shared" ref="V6:X6" ca="1" si="2">U6*(1+INDIRECT("$BI"&amp;$D6))^0.25</f>
        <v>1</v>
      </c>
      <c r="W6" s="342">
        <f t="shared" ca="1" si="2"/>
        <v>1</v>
      </c>
      <c r="X6" s="342">
        <f t="shared" ca="1" si="2"/>
        <v>1</v>
      </c>
      <c r="Y6" s="344">
        <f ca="1">X6*(1+INDIRECT("$BJ"&amp;$D6))^0.25</f>
        <v>1</v>
      </c>
      <c r="Z6" s="342">
        <f t="shared" ref="Z6:AB6" ca="1" si="3">Y6*(1+INDIRECT("$BJ"&amp;$D6))^0.25</f>
        <v>1</v>
      </c>
      <c r="AA6" s="342">
        <f t="shared" ca="1" si="3"/>
        <v>1</v>
      </c>
      <c r="AB6" s="342">
        <f t="shared" ca="1" si="3"/>
        <v>1</v>
      </c>
      <c r="AC6" s="344">
        <f ca="1">AB6*(1+INDIRECT("$BK"&amp;$D6))^0.25</f>
        <v>1.0573712634405641</v>
      </c>
      <c r="AD6" s="146">
        <f t="shared" ref="AD6:AF6" ca="1" si="4">AC6*(1+INDIRECT("$BK"&amp;$D6))^0.25</f>
        <v>1.1180339887498947</v>
      </c>
      <c r="AE6" s="146">
        <f t="shared" ca="1" si="4"/>
        <v>1.1821770112539696</v>
      </c>
      <c r="AF6" s="533">
        <f t="shared" ca="1" si="4"/>
        <v>1.2499999999999998</v>
      </c>
      <c r="AG6" s="146">
        <f ca="1">AF6*(1+INDIRECT("$BL"&amp;$D6))^0.25</f>
        <v>1.3170635932579369</v>
      </c>
      <c r="AH6" s="146">
        <f t="shared" ref="AH6:AJ6" ca="1" si="5">AG6*(1+INDIRECT("$BL"&amp;$D6))^0.25</f>
        <v>1.387725206948407</v>
      </c>
      <c r="AI6" s="146">
        <f t="shared" ca="1" si="5"/>
        <v>1.4621778780144667</v>
      </c>
      <c r="AJ6" s="533">
        <f t="shared" ca="1" si="5"/>
        <v>1.5406249999999995</v>
      </c>
      <c r="AK6" s="145">
        <f ca="1">AJ6*(1+INDIRECT("$BM"&amp;$D6))^0.25</f>
        <v>1.6178953340645457</v>
      </c>
      <c r="AL6" s="146">
        <f t="shared" ref="AL6:AN6" ca="1" si="6">AK6*(1+INDIRECT("$BM"&amp;$D6))^0.25</f>
        <v>1.6990411761381445</v>
      </c>
      <c r="AM6" s="146">
        <f t="shared" ca="1" si="6"/>
        <v>1.7842569030474276</v>
      </c>
      <c r="AN6" s="533">
        <f t="shared" ca="1" si="6"/>
        <v>1.8737466406250001</v>
      </c>
      <c r="AO6" s="145">
        <f ca="1">AN6*(1+INDIRECT("$BN"&amp;$D6))^0.25</f>
        <v>1.9615739582923801</v>
      </c>
      <c r="AP6" s="146">
        <f t="shared" ref="AP6:AR6" ca="1" si="7">AO6*(1+INDIRECT("$BN"&amp;$D6))^0.25</f>
        <v>2.0535179679187512</v>
      </c>
      <c r="AQ6" s="146">
        <f t="shared" ca="1" si="7"/>
        <v>2.1497716294297411</v>
      </c>
      <c r="AR6" s="533">
        <f t="shared" ca="1" si="7"/>
        <v>2.2505369472782997</v>
      </c>
      <c r="AS6" s="145">
        <f ca="1">AR6*(1+INDIRECT("$Bo"&amp;$D6))^0.25</f>
        <v>2.3490919480416572</v>
      </c>
      <c r="AT6" s="146">
        <f t="shared" ref="AT6:AV6" ca="1" si="8">AS6*(1+INDIRECT("$Bo"&amp;$D6))^0.25</f>
        <v>2.4519628469231112</v>
      </c>
      <c r="AU6" s="146">
        <f t="shared" ca="1" si="8"/>
        <v>2.5593386447488147</v>
      </c>
      <c r="AV6" s="533">
        <f t="shared" ca="1" si="8"/>
        <v>2.6714166190259987</v>
      </c>
      <c r="AW6" s="329"/>
      <c r="AX6" s="529">
        <v>1</v>
      </c>
      <c r="AY6" s="529">
        <v>2</v>
      </c>
      <c r="AZ6" s="529">
        <v>3</v>
      </c>
      <c r="BA6" s="529">
        <v>4</v>
      </c>
      <c r="BB6" s="414"/>
      <c r="BD6" s="85"/>
      <c r="BE6" s="188"/>
      <c r="BR6" s="77">
        <f t="shared" si="0"/>
        <v>3</v>
      </c>
    </row>
    <row r="7" spans="1:72" ht="11.25" customHeight="1" x14ac:dyDescent="0.15">
      <c r="A7" s="188"/>
      <c r="E7" s="305"/>
      <c r="F7" s="306"/>
      <c r="G7" s="306"/>
      <c r="H7" s="304"/>
      <c r="I7" s="305"/>
      <c r="J7" s="306"/>
      <c r="K7" s="306"/>
      <c r="L7" s="306"/>
      <c r="M7" s="305"/>
      <c r="N7" s="306"/>
      <c r="O7" s="306"/>
      <c r="P7" s="306"/>
      <c r="Q7" s="344">
        <f ca="1">INDIRECT(ADDRESS($D$6,COLUMN()))</f>
        <v>0</v>
      </c>
      <c r="R7" s="342">
        <f t="shared" ref="R7:AV7" ca="1" si="9">INDIRECT(ADDRESS($D$6,COLUMN()))</f>
        <v>0</v>
      </c>
      <c r="S7" s="342">
        <f t="shared" ca="1" si="9"/>
        <v>0</v>
      </c>
      <c r="T7" s="342">
        <f t="shared" ca="1" si="9"/>
        <v>0</v>
      </c>
      <c r="U7" s="344">
        <f t="shared" ca="1" si="9"/>
        <v>0</v>
      </c>
      <c r="V7" s="342">
        <f t="shared" ca="1" si="9"/>
        <v>0</v>
      </c>
      <c r="W7" s="342">
        <f t="shared" ca="1" si="9"/>
        <v>0</v>
      </c>
      <c r="X7" s="342">
        <f t="shared" ca="1" si="9"/>
        <v>0</v>
      </c>
      <c r="Y7" s="344">
        <f t="shared" ca="1" si="9"/>
        <v>0</v>
      </c>
      <c r="Z7" s="342">
        <f t="shared" ca="1" si="9"/>
        <v>0</v>
      </c>
      <c r="AA7" s="342">
        <f t="shared" ca="1" si="9"/>
        <v>0</v>
      </c>
      <c r="AB7" s="342">
        <f t="shared" ca="1" si="9"/>
        <v>0</v>
      </c>
      <c r="AC7" s="344">
        <f t="shared" ca="1" si="9"/>
        <v>0</v>
      </c>
      <c r="AD7" s="146">
        <f t="shared" ca="1" si="9"/>
        <v>0</v>
      </c>
      <c r="AE7" s="146">
        <f t="shared" ca="1" si="9"/>
        <v>0</v>
      </c>
      <c r="AF7" s="533">
        <f t="shared" ca="1" si="9"/>
        <v>0</v>
      </c>
      <c r="AG7" s="146">
        <f t="shared" ca="1" si="9"/>
        <v>0</v>
      </c>
      <c r="AH7" s="146">
        <f t="shared" ca="1" si="9"/>
        <v>0</v>
      </c>
      <c r="AI7" s="146">
        <f t="shared" ca="1" si="9"/>
        <v>0</v>
      </c>
      <c r="AJ7" s="533">
        <f t="shared" ca="1" si="9"/>
        <v>0</v>
      </c>
      <c r="AK7" s="145">
        <f t="shared" ca="1" si="9"/>
        <v>0</v>
      </c>
      <c r="AL7" s="146">
        <f t="shared" ca="1" si="9"/>
        <v>0</v>
      </c>
      <c r="AM7" s="146">
        <f t="shared" ca="1" si="9"/>
        <v>0</v>
      </c>
      <c r="AN7" s="533">
        <f t="shared" ca="1" si="9"/>
        <v>0</v>
      </c>
      <c r="AO7" s="145">
        <f t="shared" ca="1" si="9"/>
        <v>0</v>
      </c>
      <c r="AP7" s="146">
        <f t="shared" ca="1" si="9"/>
        <v>0</v>
      </c>
      <c r="AQ7" s="146">
        <f t="shared" ca="1" si="9"/>
        <v>0</v>
      </c>
      <c r="AR7" s="533">
        <f t="shared" ca="1" si="9"/>
        <v>0</v>
      </c>
      <c r="AS7" s="145">
        <f t="shared" ca="1" si="9"/>
        <v>0</v>
      </c>
      <c r="AT7" s="146">
        <f t="shared" ca="1" si="9"/>
        <v>0</v>
      </c>
      <c r="AU7" s="146">
        <f t="shared" ca="1" si="9"/>
        <v>0</v>
      </c>
      <c r="AV7" s="533">
        <f t="shared" ca="1" si="9"/>
        <v>0</v>
      </c>
      <c r="AW7" s="329"/>
      <c r="AX7" s="413"/>
      <c r="AY7" s="413"/>
      <c r="AZ7" s="413"/>
      <c r="BA7" s="413"/>
      <c r="BB7" s="414"/>
      <c r="BD7" s="85"/>
      <c r="BE7" s="188"/>
      <c r="BR7" s="77">
        <f t="shared" si="0"/>
        <v>4</v>
      </c>
    </row>
    <row r="8" spans="1:72" ht="11.25" customHeight="1" x14ac:dyDescent="0.15">
      <c r="B8" s="185"/>
      <c r="E8" s="112"/>
      <c r="F8" s="113"/>
      <c r="G8" s="113"/>
      <c r="H8" s="177"/>
      <c r="I8" s="112"/>
      <c r="J8" s="113"/>
      <c r="K8" s="113"/>
      <c r="L8" s="113"/>
      <c r="M8" s="112"/>
      <c r="N8" s="113"/>
      <c r="O8" s="113"/>
      <c r="P8" s="113"/>
      <c r="Q8" s="112"/>
      <c r="R8" s="113"/>
      <c r="S8" s="113"/>
      <c r="T8" s="113"/>
      <c r="U8" s="112"/>
      <c r="V8" s="113"/>
      <c r="W8" s="113"/>
      <c r="X8" s="113"/>
      <c r="Y8" s="112"/>
      <c r="Z8" s="113"/>
      <c r="AA8" s="113"/>
      <c r="AB8" s="113"/>
      <c r="AC8" s="112"/>
      <c r="AD8" s="66"/>
      <c r="AE8" s="66"/>
      <c r="AF8" s="68"/>
      <c r="AG8" s="66"/>
      <c r="AH8" s="66"/>
      <c r="AI8" s="66"/>
      <c r="AJ8" s="68"/>
      <c r="AK8" s="67"/>
      <c r="AL8" s="66"/>
      <c r="AM8" s="66"/>
      <c r="AN8" s="68"/>
      <c r="AO8" s="67"/>
      <c r="AP8" s="66"/>
      <c r="AQ8" s="66"/>
      <c r="AR8" s="68"/>
      <c r="AS8" s="67"/>
      <c r="AT8" s="66"/>
      <c r="AU8" s="66"/>
      <c r="AV8" s="68"/>
      <c r="AW8" s="60"/>
      <c r="AX8" s="389"/>
      <c r="AY8" s="389"/>
      <c r="AZ8" s="389"/>
      <c r="BA8" s="389"/>
      <c r="BB8" s="162"/>
      <c r="BD8" s="2" t="s">
        <v>157</v>
      </c>
      <c r="BE8" s="188"/>
      <c r="BR8" s="77">
        <f t="shared" si="0"/>
        <v>5</v>
      </c>
    </row>
    <row r="9" spans="1:72" ht="11.25" customHeight="1" collapsed="1" x14ac:dyDescent="0.15">
      <c r="A9" s="310" t="str">
        <f>Reported!A8&amp;" Revenue"</f>
        <v>Licensing Revenue</v>
      </c>
      <c r="B9" s="187"/>
      <c r="E9" s="105">
        <f>Reported!C8</f>
        <v>0</v>
      </c>
      <c r="F9" s="106">
        <f>Reported!D8</f>
        <v>0</v>
      </c>
      <c r="G9" s="106">
        <f>Reported!E8</f>
        <v>0</v>
      </c>
      <c r="H9" s="107">
        <f>Reported!F8</f>
        <v>0</v>
      </c>
      <c r="I9" s="105">
        <f>Reported!G8</f>
        <v>0</v>
      </c>
      <c r="J9" s="106">
        <f>Reported!H8</f>
        <v>0</v>
      </c>
      <c r="K9" s="106">
        <f>Reported!I8</f>
        <v>0</v>
      </c>
      <c r="L9" s="106">
        <f>Reported!J8</f>
        <v>0</v>
      </c>
      <c r="M9" s="105">
        <f>Reported!K8</f>
        <v>0</v>
      </c>
      <c r="N9" s="106">
        <f>Reported!L8</f>
        <v>0</v>
      </c>
      <c r="O9" s="106">
        <f>Reported!M8</f>
        <v>0</v>
      </c>
      <c r="P9" s="106">
        <f>Reported!N8</f>
        <v>0</v>
      </c>
      <c r="Q9" s="105">
        <f>Reported!O8</f>
        <v>0</v>
      </c>
      <c r="R9" s="106">
        <f>Reported!P8</f>
        <v>0</v>
      </c>
      <c r="S9" s="106">
        <f>Reported!Q8</f>
        <v>0</v>
      </c>
      <c r="T9" s="106">
        <f>Reported!R8</f>
        <v>0</v>
      </c>
      <c r="U9" s="105">
        <f>Reported!S8</f>
        <v>0</v>
      </c>
      <c r="V9" s="106">
        <f>Reported!T8</f>
        <v>0</v>
      </c>
      <c r="W9" s="106">
        <f>Reported!U8</f>
        <v>0</v>
      </c>
      <c r="X9" s="106">
        <f>Reported!V8</f>
        <v>0</v>
      </c>
      <c r="Y9" s="105">
        <f>Reported!W8</f>
        <v>0</v>
      </c>
      <c r="Z9" s="106">
        <f>Reported!X8</f>
        <v>0</v>
      </c>
      <c r="AA9" s="106">
        <f>Reported!Y8</f>
        <v>0</v>
      </c>
      <c r="AB9" s="106">
        <f>Reported!Z8</f>
        <v>0</v>
      </c>
      <c r="AC9" s="105">
        <f>Reported!AA8</f>
        <v>0</v>
      </c>
      <c r="AD9" s="72">
        <f>IFERROR((SUM(Z9:AC9)*(1+$BK9))*AY9/4,0)</f>
        <v>0</v>
      </c>
      <c r="AE9" s="72">
        <f>IFERROR((SUM(AA9:AD9)*(1+$BK9))*AZ9/4,0)</f>
        <v>0</v>
      </c>
      <c r="AF9" s="73">
        <f>IFERROR((SUM(AB9:AE9)*(1+$BK9))*BA9/4,0)</f>
        <v>0</v>
      </c>
      <c r="AG9" s="72">
        <f>IFERROR((SUM(AC9:AF9)*(1+$BL9))*AX9/4,0)</f>
        <v>0</v>
      </c>
      <c r="AH9" s="72">
        <f>IFERROR((SUM(AD9:AG9)*(1+$BL9))*AY9/4,0)</f>
        <v>0</v>
      </c>
      <c r="AI9" s="72">
        <f>IFERROR((SUM(AE9:AH9)*(1+$BL9))*AZ9/4,0)</f>
        <v>0</v>
      </c>
      <c r="AJ9" s="73">
        <f>IFERROR((SUM(AF9:AI9)*(1+$BL9))*BA9/4,0)</f>
        <v>0</v>
      </c>
      <c r="AK9" s="71">
        <f>IFERROR((SUM(AG9:AJ9)*(1+$BM9))*AX9/4,0)</f>
        <v>0</v>
      </c>
      <c r="AL9" s="72">
        <f>IFERROR((SUM(AH9:AK9)*(1+$BM9))*AY9/4,0)</f>
        <v>0</v>
      </c>
      <c r="AM9" s="72">
        <f>IFERROR((SUM(AI9:AL9)*(1+$BM9))*AZ9/4,0)</f>
        <v>0</v>
      </c>
      <c r="AN9" s="73">
        <f>IFERROR((SUM(AJ9:AM9)*(1+$BM9))*BA9/4,0)</f>
        <v>0</v>
      </c>
      <c r="AO9" s="71">
        <f t="shared" ref="AO9:AV9" si="10">IFERROR((SUM(AK9:AN9)*(1+$BN9))*AX9/4,0)</f>
        <v>0</v>
      </c>
      <c r="AP9" s="72">
        <f t="shared" si="10"/>
        <v>0</v>
      </c>
      <c r="AQ9" s="72">
        <f t="shared" si="10"/>
        <v>0</v>
      </c>
      <c r="AR9" s="73">
        <f t="shared" si="10"/>
        <v>0</v>
      </c>
      <c r="AS9" s="71">
        <f t="shared" si="10"/>
        <v>0</v>
      </c>
      <c r="AT9" s="72">
        <f t="shared" si="10"/>
        <v>0</v>
      </c>
      <c r="AU9" s="72">
        <f t="shared" si="10"/>
        <v>0</v>
      </c>
      <c r="AV9" s="73">
        <f t="shared" si="10"/>
        <v>0</v>
      </c>
      <c r="AW9" s="17"/>
      <c r="AX9" s="528">
        <f>AVERAGE(Q9/($BD9*(1+$BH9)^((AX$6-1)/4)),U9/($BD9*(1+$BH9)^(3/4)*(1+$BI9)^(AX$6/4)),Y9/($BD9*(1+$BH9)^(3/4)*(1+$BI9)*(1+$BJ9)^(AX$6/4)))</f>
        <v>0</v>
      </c>
      <c r="AY9" s="528">
        <f t="shared" ref="AY9" si="11">AVERAGE(R9/($BD9*(1+$BH9)^((AY$6-1)/4)),V9/($BD9*(1+$BH9)^(3/4)*(1+$BI9)^(AY$6/4)),Z9/($BD9*(1+$BH9)^(3/4)*(1+$BI9)*(1+$BJ9)^(AY$6/4)))</f>
        <v>0</v>
      </c>
      <c r="AZ9" s="528">
        <f t="shared" ref="AZ9:BA9" si="12">AVERAGE(S9/($BD9*(1+$BH9)^((AZ$6-1)/4)),W9/($BD9*(1+$BH9)^(3/4)*(1+$BI9)^(AZ$6/4)),AA9/($BD9*(1+$BH9)^(3/4)*(1+$BI9)*(1+$BJ9)^(AZ$6/4)))</f>
        <v>0</v>
      </c>
      <c r="BA9" s="528">
        <f t="shared" si="12"/>
        <v>0</v>
      </c>
      <c r="BB9" s="538">
        <f>+SUM(AX9:BA9)</f>
        <v>0</v>
      </c>
      <c r="BC9" s="2"/>
      <c r="BD9" s="3">
        <v>1</v>
      </c>
      <c r="BE9" s="185" t="str">
        <f>"Growth in "&amp;A9</f>
        <v>Growth in Licensing Revenue</v>
      </c>
      <c r="BF9" s="59">
        <f>IFERROR(SUM(I9:L9)/SUM(E9:H9)-1,0)</f>
        <v>0</v>
      </c>
      <c r="BG9" s="59">
        <f>IFERROR(SUM(M9:P9)/SUM(I9:L9)-1,0)</f>
        <v>0</v>
      </c>
      <c r="BH9" s="59">
        <f>IFERROR(SUM(Q9:T9)/SUM(M9:P9)-1,0)</f>
        <v>0</v>
      </c>
      <c r="BI9" s="59">
        <f>IFERROR(SUM(U9:X9)/SUM(Q9:T9)-1,0)</f>
        <v>0</v>
      </c>
      <c r="BJ9" s="59">
        <f>IFERROR(SUM(Y9:AB9)/SUM(U9:X9)-1,0)</f>
        <v>0</v>
      </c>
      <c r="BK9" s="207">
        <v>0</v>
      </c>
      <c r="BL9" s="207">
        <v>0</v>
      </c>
      <c r="BM9" s="207">
        <v>0</v>
      </c>
      <c r="BN9" s="207">
        <v>0</v>
      </c>
      <c r="BO9" s="207">
        <v>0</v>
      </c>
      <c r="BR9" s="77">
        <f t="shared" si="0"/>
        <v>6</v>
      </c>
    </row>
    <row r="10" spans="1:72" ht="11.25" hidden="1" customHeight="1" outlineLevel="1" x14ac:dyDescent="0.25">
      <c r="B10" s="188" t="str">
        <f>"Cost of "&amp;A9</f>
        <v>Cost of Licensing Revenue</v>
      </c>
      <c r="E10" s="108">
        <f>Reported!C17-Reported!C56</f>
        <v>0</v>
      </c>
      <c r="F10" s="109">
        <f>Reported!D17-Reported!D56</f>
        <v>0</v>
      </c>
      <c r="G10" s="109">
        <f>Reported!E17-Reported!E56</f>
        <v>0</v>
      </c>
      <c r="H10" s="175">
        <f>Reported!F17-Reported!F56</f>
        <v>0</v>
      </c>
      <c r="I10" s="108">
        <f>Reported!G17-Reported!G56</f>
        <v>0</v>
      </c>
      <c r="J10" s="109">
        <f>Reported!H17-Reported!H56</f>
        <v>0</v>
      </c>
      <c r="K10" s="109">
        <f>Reported!I17-Reported!I56</f>
        <v>0</v>
      </c>
      <c r="L10" s="109">
        <f>Reported!J17-Reported!J56</f>
        <v>0</v>
      </c>
      <c r="M10" s="108">
        <v>0</v>
      </c>
      <c r="N10" s="109">
        <v>0</v>
      </c>
      <c r="O10" s="109">
        <v>0</v>
      </c>
      <c r="P10" s="109">
        <v>0</v>
      </c>
      <c r="Q10" s="108">
        <v>0</v>
      </c>
      <c r="R10" s="109">
        <v>0</v>
      </c>
      <c r="S10" s="109">
        <v>0</v>
      </c>
      <c r="T10" s="109">
        <v>0</v>
      </c>
      <c r="U10" s="108">
        <v>0</v>
      </c>
      <c r="V10" s="109">
        <v>0</v>
      </c>
      <c r="W10" s="109">
        <v>0</v>
      </c>
      <c r="X10" s="109">
        <v>0</v>
      </c>
      <c r="Y10" s="108">
        <v>0</v>
      </c>
      <c r="Z10" s="109">
        <v>0</v>
      </c>
      <c r="AA10" s="109">
        <v>0</v>
      </c>
      <c r="AB10" s="109">
        <v>0</v>
      </c>
      <c r="AC10" s="108">
        <v>0</v>
      </c>
      <c r="AD10" s="75">
        <f t="shared" ref="AD10:AR10" si="13">AD9*AD12</f>
        <v>0</v>
      </c>
      <c r="AE10" s="75">
        <f t="shared" si="13"/>
        <v>0</v>
      </c>
      <c r="AF10" s="76">
        <f t="shared" si="13"/>
        <v>0</v>
      </c>
      <c r="AG10" s="75">
        <f t="shared" si="13"/>
        <v>0</v>
      </c>
      <c r="AH10" s="75">
        <f t="shared" si="13"/>
        <v>0</v>
      </c>
      <c r="AI10" s="75">
        <f t="shared" si="13"/>
        <v>0</v>
      </c>
      <c r="AJ10" s="76">
        <f t="shared" si="13"/>
        <v>0</v>
      </c>
      <c r="AK10" s="74">
        <f t="shared" si="13"/>
        <v>0</v>
      </c>
      <c r="AL10" s="75">
        <f t="shared" si="13"/>
        <v>0</v>
      </c>
      <c r="AM10" s="75">
        <f t="shared" si="13"/>
        <v>0</v>
      </c>
      <c r="AN10" s="76">
        <f t="shared" si="13"/>
        <v>0</v>
      </c>
      <c r="AO10" s="74">
        <f t="shared" si="13"/>
        <v>0</v>
      </c>
      <c r="AP10" s="75">
        <f t="shared" si="13"/>
        <v>0</v>
      </c>
      <c r="AQ10" s="75">
        <f t="shared" si="13"/>
        <v>0</v>
      </c>
      <c r="AR10" s="76">
        <f t="shared" si="13"/>
        <v>0</v>
      </c>
      <c r="AS10" s="74">
        <f t="shared" ref="AS10" si="14">AS9*AS12</f>
        <v>0</v>
      </c>
      <c r="AT10" s="75">
        <f t="shared" ref="AT10" si="15">AT9*AT12</f>
        <v>0</v>
      </c>
      <c r="AU10" s="75">
        <f t="shared" ref="AU10" si="16">AU9*AU12</f>
        <v>0</v>
      </c>
      <c r="AV10" s="76">
        <f t="shared" ref="AV10" si="17">AV9*AV12</f>
        <v>0</v>
      </c>
      <c r="AW10" s="61"/>
      <c r="AX10" s="160"/>
      <c r="AY10" s="161"/>
      <c r="AZ10" s="161"/>
      <c r="BA10" s="161"/>
      <c r="BB10" s="539"/>
      <c r="BD10" s="2"/>
      <c r="BE10" s="185" t="str">
        <f>"Growth in "&amp;B10</f>
        <v>Growth in Cost of Licensing Revenue</v>
      </c>
      <c r="BF10" s="59">
        <f>IFERROR(SUM(I10:L10)/SUM(E10:H10)-1,0)</f>
        <v>0</v>
      </c>
      <c r="BG10" s="59">
        <f>IFERROR(SUM(M10:P10)/SUM(I10:L10)-1,0)</f>
        <v>0</v>
      </c>
      <c r="BH10" s="59">
        <f>IFERROR(SUM(Q10:T10)/SUM(M10:P10)-1,0)</f>
        <v>0</v>
      </c>
      <c r="BI10" s="59">
        <f>IFERROR(SUM(U10:X10)/SUM(Q10:T10)-1,0)</f>
        <v>0</v>
      </c>
      <c r="BJ10" s="59">
        <f>IFERROR(SUM(Y10:AB10)/SUM(Y$9:AB$9),0)</f>
        <v>0</v>
      </c>
      <c r="BK10" s="59">
        <f>IFERROR(SUM(AC10:AF10)/SUM(Y10:AB10)-1,0)</f>
        <v>0</v>
      </c>
      <c r="BL10" s="59">
        <f>IFERROR(SUM(AG10:AJ10)/SUM(AC10:AF10)-1,0)</f>
        <v>0</v>
      </c>
      <c r="BM10" s="59">
        <f>IFERROR(SUM(AK10:AN10)/SUM(AG10:AJ10)-1,0)</f>
        <v>0</v>
      </c>
      <c r="BN10" s="59">
        <f>IFERROR(SUM(AO10:AR10)/SUM(AK10:AN10)-1,0)</f>
        <v>0</v>
      </c>
      <c r="BO10" s="59">
        <f>IFERROR(SUM(AP10:AS10)/SUM(AL10:AO10)-1,0)</f>
        <v>0</v>
      </c>
      <c r="BR10" s="77">
        <f t="shared" si="0"/>
        <v>7</v>
      </c>
    </row>
    <row r="11" spans="1:72" ht="11.25" hidden="1" customHeight="1" outlineLevel="1" x14ac:dyDescent="0.15">
      <c r="B11" s="188" t="str">
        <f>A9&amp;" Margin"</f>
        <v>Licensing Revenue Margin</v>
      </c>
      <c r="E11" s="317">
        <f>E9-E10</f>
        <v>0</v>
      </c>
      <c r="F11" s="318">
        <f t="shared" ref="F11:AR11" si="18">F9-F10</f>
        <v>0</v>
      </c>
      <c r="G11" s="318">
        <f t="shared" si="18"/>
        <v>0</v>
      </c>
      <c r="H11" s="319">
        <f t="shared" si="18"/>
        <v>0</v>
      </c>
      <c r="I11" s="317">
        <f t="shared" si="18"/>
        <v>0</v>
      </c>
      <c r="J11" s="318">
        <f t="shared" si="18"/>
        <v>0</v>
      </c>
      <c r="K11" s="318">
        <f t="shared" si="18"/>
        <v>0</v>
      </c>
      <c r="L11" s="318">
        <f t="shared" si="18"/>
        <v>0</v>
      </c>
      <c r="M11" s="317">
        <f t="shared" si="18"/>
        <v>0</v>
      </c>
      <c r="N11" s="318">
        <f t="shared" si="18"/>
        <v>0</v>
      </c>
      <c r="O11" s="318">
        <f t="shared" si="18"/>
        <v>0</v>
      </c>
      <c r="P11" s="318">
        <f t="shared" si="18"/>
        <v>0</v>
      </c>
      <c r="Q11" s="317">
        <f t="shared" si="18"/>
        <v>0</v>
      </c>
      <c r="R11" s="318">
        <f t="shared" si="18"/>
        <v>0</v>
      </c>
      <c r="S11" s="318">
        <f t="shared" si="18"/>
        <v>0</v>
      </c>
      <c r="T11" s="318">
        <f t="shared" si="18"/>
        <v>0</v>
      </c>
      <c r="U11" s="317">
        <f t="shared" si="18"/>
        <v>0</v>
      </c>
      <c r="V11" s="318">
        <f t="shared" si="18"/>
        <v>0</v>
      </c>
      <c r="W11" s="318">
        <f t="shared" si="18"/>
        <v>0</v>
      </c>
      <c r="X11" s="318">
        <f t="shared" si="18"/>
        <v>0</v>
      </c>
      <c r="Y11" s="317">
        <f t="shared" si="18"/>
        <v>0</v>
      </c>
      <c r="Z11" s="318">
        <f t="shared" si="18"/>
        <v>0</v>
      </c>
      <c r="AA11" s="318">
        <f t="shared" si="18"/>
        <v>0</v>
      </c>
      <c r="AB11" s="318">
        <f t="shared" si="18"/>
        <v>0</v>
      </c>
      <c r="AC11" s="317">
        <f t="shared" ref="AC11" si="19">AC9-AC10</f>
        <v>0</v>
      </c>
      <c r="AD11" s="49">
        <f t="shared" si="18"/>
        <v>0</v>
      </c>
      <c r="AE11" s="49">
        <f t="shared" si="18"/>
        <v>0</v>
      </c>
      <c r="AF11" s="50">
        <f t="shared" si="18"/>
        <v>0</v>
      </c>
      <c r="AG11" s="49">
        <f t="shared" si="18"/>
        <v>0</v>
      </c>
      <c r="AH11" s="49">
        <f t="shared" si="18"/>
        <v>0</v>
      </c>
      <c r="AI11" s="49">
        <f t="shared" si="18"/>
        <v>0</v>
      </c>
      <c r="AJ11" s="49">
        <f t="shared" si="18"/>
        <v>0</v>
      </c>
      <c r="AK11" s="24">
        <f t="shared" si="18"/>
        <v>0</v>
      </c>
      <c r="AL11" s="49">
        <f t="shared" si="18"/>
        <v>0</v>
      </c>
      <c r="AM11" s="49">
        <f t="shared" si="18"/>
        <v>0</v>
      </c>
      <c r="AN11" s="49">
        <f t="shared" si="18"/>
        <v>0</v>
      </c>
      <c r="AO11" s="24">
        <f t="shared" si="18"/>
        <v>0</v>
      </c>
      <c r="AP11" s="49">
        <f t="shared" si="18"/>
        <v>0</v>
      </c>
      <c r="AQ11" s="49">
        <f t="shared" si="18"/>
        <v>0</v>
      </c>
      <c r="AR11" s="50">
        <f t="shared" si="18"/>
        <v>0</v>
      </c>
      <c r="AS11" s="24">
        <f t="shared" ref="AS11:AV11" si="20">AS9-AS10</f>
        <v>0</v>
      </c>
      <c r="AT11" s="49">
        <f t="shared" si="20"/>
        <v>0</v>
      </c>
      <c r="AU11" s="49">
        <f t="shared" si="20"/>
        <v>0</v>
      </c>
      <c r="AV11" s="50">
        <f t="shared" si="20"/>
        <v>0</v>
      </c>
      <c r="AW11" s="61"/>
      <c r="AX11" s="161"/>
      <c r="AY11" s="161"/>
      <c r="AZ11" s="161"/>
      <c r="BA11" s="161"/>
      <c r="BB11" s="539"/>
      <c r="BD11" s="2"/>
      <c r="BE11" s="185"/>
      <c r="BF11" s="292"/>
      <c r="BG11" s="292"/>
      <c r="BH11" s="292"/>
      <c r="BI11" s="292"/>
      <c r="BJ11" s="292"/>
      <c r="BK11" s="292"/>
      <c r="BL11" s="292"/>
      <c r="BM11" s="292"/>
      <c r="BN11" s="292"/>
      <c r="BO11" s="292"/>
      <c r="BR11" s="77">
        <f t="shared" si="0"/>
        <v>8</v>
      </c>
    </row>
    <row r="12" spans="1:72" ht="11.25" hidden="1" customHeight="1" outlineLevel="1" x14ac:dyDescent="0.15">
      <c r="B12" s="188" t="str">
        <f>"% Cost of "&amp;A9</f>
        <v>% Cost of Licensing Revenue</v>
      </c>
      <c r="E12" s="112">
        <f t="shared" ref="E12:AB12" si="21">IFERROR(E10/E9,0)</f>
        <v>0</v>
      </c>
      <c r="F12" s="113">
        <f t="shared" si="21"/>
        <v>0</v>
      </c>
      <c r="G12" s="113">
        <f t="shared" si="21"/>
        <v>0</v>
      </c>
      <c r="H12" s="177">
        <f t="shared" si="21"/>
        <v>0</v>
      </c>
      <c r="I12" s="112">
        <f t="shared" si="21"/>
        <v>0</v>
      </c>
      <c r="J12" s="113">
        <f t="shared" si="21"/>
        <v>0</v>
      </c>
      <c r="K12" s="113">
        <f t="shared" si="21"/>
        <v>0</v>
      </c>
      <c r="L12" s="113">
        <f t="shared" si="21"/>
        <v>0</v>
      </c>
      <c r="M12" s="112">
        <f t="shared" si="21"/>
        <v>0</v>
      </c>
      <c r="N12" s="113">
        <f t="shared" si="21"/>
        <v>0</v>
      </c>
      <c r="O12" s="113">
        <f t="shared" si="21"/>
        <v>0</v>
      </c>
      <c r="P12" s="113">
        <f t="shared" si="21"/>
        <v>0</v>
      </c>
      <c r="Q12" s="112">
        <f t="shared" si="21"/>
        <v>0</v>
      </c>
      <c r="R12" s="113">
        <f t="shared" si="21"/>
        <v>0</v>
      </c>
      <c r="S12" s="113">
        <f t="shared" si="21"/>
        <v>0</v>
      </c>
      <c r="T12" s="113">
        <f t="shared" si="21"/>
        <v>0</v>
      </c>
      <c r="U12" s="112">
        <f t="shared" si="21"/>
        <v>0</v>
      </c>
      <c r="V12" s="113">
        <f t="shared" si="21"/>
        <v>0</v>
      </c>
      <c r="W12" s="113">
        <f t="shared" si="21"/>
        <v>0</v>
      </c>
      <c r="X12" s="113">
        <f t="shared" si="21"/>
        <v>0</v>
      </c>
      <c r="Y12" s="112">
        <f t="shared" si="21"/>
        <v>0</v>
      </c>
      <c r="Z12" s="113">
        <f t="shared" si="21"/>
        <v>0</v>
      </c>
      <c r="AA12" s="113">
        <f t="shared" si="21"/>
        <v>0</v>
      </c>
      <c r="AB12" s="113">
        <f t="shared" si="21"/>
        <v>0</v>
      </c>
      <c r="AC12" s="112">
        <f t="shared" ref="AC12" si="22">IFERROR(AC10/AC9,0)</f>
        <v>0</v>
      </c>
      <c r="AD12" s="78">
        <f>$BK12</f>
        <v>0</v>
      </c>
      <c r="AE12" s="78">
        <f>$BK12</f>
        <v>0</v>
      </c>
      <c r="AF12" s="80">
        <f>$BK12</f>
        <v>0</v>
      </c>
      <c r="AG12" s="78">
        <f>$BL12</f>
        <v>0</v>
      </c>
      <c r="AH12" s="78">
        <f>$BL12</f>
        <v>0</v>
      </c>
      <c r="AI12" s="78">
        <f>$BL12</f>
        <v>0</v>
      </c>
      <c r="AJ12" s="80">
        <f>$BL12</f>
        <v>0</v>
      </c>
      <c r="AK12" s="79">
        <f>$BM12</f>
        <v>0</v>
      </c>
      <c r="AL12" s="78">
        <f>$BM12</f>
        <v>0</v>
      </c>
      <c r="AM12" s="78">
        <f>$BM12</f>
        <v>0</v>
      </c>
      <c r="AN12" s="80">
        <f>$BM12</f>
        <v>0</v>
      </c>
      <c r="AO12" s="79">
        <f t="shared" ref="AO12:AV12" si="23">$BN12</f>
        <v>0</v>
      </c>
      <c r="AP12" s="78">
        <f t="shared" si="23"/>
        <v>0</v>
      </c>
      <c r="AQ12" s="78">
        <f t="shared" si="23"/>
        <v>0</v>
      </c>
      <c r="AR12" s="80">
        <f t="shared" si="23"/>
        <v>0</v>
      </c>
      <c r="AS12" s="79">
        <f t="shared" si="23"/>
        <v>0</v>
      </c>
      <c r="AT12" s="78">
        <f t="shared" si="23"/>
        <v>0</v>
      </c>
      <c r="AU12" s="78">
        <f t="shared" si="23"/>
        <v>0</v>
      </c>
      <c r="AV12" s="80">
        <f t="shared" si="23"/>
        <v>0</v>
      </c>
      <c r="AW12" s="60"/>
      <c r="AX12" s="388">
        <f>IFERROR(1-(1-$BB12)*(1-(SUMIFS($E12:$AR12,$E$3:$AR$3,#REF!,$E$5:$AR$5,"Actual"))/SUMIFS($E12:$AR12,$E$5:$AR$5,"Actual")*4),0)</f>
        <v>0</v>
      </c>
      <c r="AY12" s="388">
        <f>IFERROR(1-(1-$BB12)*(1-(SUMIFS($E12:$AR12,$E$3:$AR$3,#REF!,$E$5:$AR$5,"Actual"))/SUMIFS($E12:$AR12,$E$5:$AR$5,"Actual")*4),0)</f>
        <v>0</v>
      </c>
      <c r="AZ12" s="388">
        <f>IFERROR(1-(1-$BB12)*(1-(SUMIFS($E12:$AR12,$E$3:$AR$3,#REF!,$E$5:$AR$5,"Actual"))/SUMIFS($E12:$AR12,$E$5:$AR$5,"Actual")*4),0)</f>
        <v>0</v>
      </c>
      <c r="BA12" s="388">
        <f>IFERROR(1-(1-$BB12)*(1-(SUMIFS($E12:$AR12,$E$3:$AR$3,#REF!,$E$5:$AR$5,"Actual"))/SUMIFS($E12:$AR12,$E$5:$AR$5,"Actual")*4),0)</f>
        <v>0</v>
      </c>
      <c r="BB12" s="540">
        <v>0</v>
      </c>
      <c r="BD12" s="2"/>
      <c r="BE12" s="185" t="str">
        <f>B12</f>
        <v>% Cost of Licensing Revenue</v>
      </c>
      <c r="BF12" s="59">
        <f>IFERROR(SUM(I10:L10)/SUM(I9:L9),0)</f>
        <v>0</v>
      </c>
      <c r="BG12" s="59">
        <f>IFERROR(SUM(M10:P10)/SUM(M9:P9),0)</f>
        <v>0</v>
      </c>
      <c r="BH12" s="59">
        <f>IFERROR(SUM(Q10:T10)/SUM(Q9:T9),0)</f>
        <v>0</v>
      </c>
      <c r="BI12" s="207">
        <v>0</v>
      </c>
      <c r="BJ12" s="207">
        <v>0</v>
      </c>
      <c r="BK12" s="207">
        <v>0</v>
      </c>
      <c r="BL12" s="207">
        <v>0</v>
      </c>
      <c r="BM12" s="207">
        <v>0</v>
      </c>
      <c r="BN12" s="207">
        <v>0</v>
      </c>
      <c r="BO12" s="207">
        <v>1</v>
      </c>
      <c r="BR12" s="77">
        <f t="shared" si="0"/>
        <v>9</v>
      </c>
    </row>
    <row r="13" spans="1:72" ht="11.25" customHeight="1" x14ac:dyDescent="0.15">
      <c r="B13" s="185"/>
      <c r="E13" s="112"/>
      <c r="F13" s="113"/>
      <c r="G13" s="113"/>
      <c r="H13" s="177"/>
      <c r="I13" s="112"/>
      <c r="J13" s="113"/>
      <c r="K13" s="113"/>
      <c r="L13" s="113"/>
      <c r="M13" s="112"/>
      <c r="N13" s="113"/>
      <c r="O13" s="113"/>
      <c r="P13" s="113"/>
      <c r="Q13" s="112"/>
      <c r="R13" s="113"/>
      <c r="S13" s="113"/>
      <c r="T13" s="113"/>
      <c r="U13" s="112"/>
      <c r="V13" s="113"/>
      <c r="W13" s="113"/>
      <c r="X13" s="113"/>
      <c r="Y13" s="112"/>
      <c r="Z13" s="113"/>
      <c r="AA13" s="113"/>
      <c r="AB13" s="113"/>
      <c r="AC13" s="112"/>
      <c r="AD13" s="66"/>
      <c r="AE13" s="66"/>
      <c r="AF13" s="68"/>
      <c r="AG13" s="66"/>
      <c r="AH13" s="66"/>
      <c r="AI13" s="66"/>
      <c r="AJ13" s="68"/>
      <c r="AK13" s="67"/>
      <c r="AL13" s="66"/>
      <c r="AM13" s="66"/>
      <c r="AN13" s="68"/>
      <c r="AO13" s="67"/>
      <c r="AP13" s="66"/>
      <c r="AQ13" s="66"/>
      <c r="AR13" s="68"/>
      <c r="AS13" s="67"/>
      <c r="AT13" s="66"/>
      <c r="AU13" s="66"/>
      <c r="AV13" s="68"/>
      <c r="AW13" s="60"/>
      <c r="AX13" s="389"/>
      <c r="AY13" s="389"/>
      <c r="AZ13" s="389"/>
      <c r="BA13" s="389"/>
      <c r="BB13" s="539"/>
      <c r="BD13" s="2"/>
      <c r="BE13" s="185"/>
      <c r="BR13" s="77">
        <f t="shared" si="0"/>
        <v>10</v>
      </c>
    </row>
    <row r="14" spans="1:72" ht="11.25" customHeight="1" collapsed="1" x14ac:dyDescent="0.15">
      <c r="A14" s="310" t="str">
        <f>Reported!A10&amp;" Revenue"</f>
        <v>Merchant Solutions Revenue</v>
      </c>
      <c r="B14" s="187"/>
      <c r="E14" s="105">
        <f>Reported!C10</f>
        <v>0</v>
      </c>
      <c r="F14" s="106">
        <f>Reported!D10</f>
        <v>0</v>
      </c>
      <c r="G14" s="106">
        <f>Reported!E10</f>
        <v>0</v>
      </c>
      <c r="H14" s="107">
        <f>Reported!F10</f>
        <v>0</v>
      </c>
      <c r="I14" s="105">
        <f>Reported!G10</f>
        <v>0</v>
      </c>
      <c r="J14" s="106">
        <f>Reported!H10</f>
        <v>0</v>
      </c>
      <c r="K14" s="106">
        <f>Reported!I10</f>
        <v>0</v>
      </c>
      <c r="L14" s="106">
        <f>Reported!J10</f>
        <v>0</v>
      </c>
      <c r="M14" s="105">
        <f>Reported!K10</f>
        <v>0</v>
      </c>
      <c r="N14" s="106">
        <f>Reported!L10</f>
        <v>0</v>
      </c>
      <c r="O14" s="106">
        <f>Reported!M10</f>
        <v>0</v>
      </c>
      <c r="P14" s="106">
        <f>Reported!N10</f>
        <v>0</v>
      </c>
      <c r="Q14" s="105">
        <f>Reported!O10</f>
        <v>0</v>
      </c>
      <c r="R14" s="106">
        <f>Reported!P10</f>
        <v>0</v>
      </c>
      <c r="S14" s="106">
        <f>Reported!Q10</f>
        <v>0</v>
      </c>
      <c r="T14" s="106">
        <f>Reported!R10</f>
        <v>0</v>
      </c>
      <c r="U14" s="105">
        <f>Reported!S10</f>
        <v>0</v>
      </c>
      <c r="V14" s="106">
        <f>Reported!T10</f>
        <v>0</v>
      </c>
      <c r="W14" s="106">
        <f>Reported!U10</f>
        <v>0</v>
      </c>
      <c r="X14" s="106">
        <f>Reported!V10</f>
        <v>0</v>
      </c>
      <c r="Y14" s="105">
        <f>Reported!W10</f>
        <v>0</v>
      </c>
      <c r="Z14" s="106">
        <f>Reported!X10</f>
        <v>0</v>
      </c>
      <c r="AA14" s="106">
        <f>Reported!Y10</f>
        <v>0</v>
      </c>
      <c r="AB14" s="106">
        <f>Reported!Z10</f>
        <v>0</v>
      </c>
      <c r="AC14" s="105">
        <f>Reported!AA10</f>
        <v>0</v>
      </c>
      <c r="AD14" s="72">
        <v>0</v>
      </c>
      <c r="AE14" s="72">
        <v>0</v>
      </c>
      <c r="AF14" s="73">
        <v>0</v>
      </c>
      <c r="AG14" s="72">
        <v>0</v>
      </c>
      <c r="AH14" s="72">
        <v>0</v>
      </c>
      <c r="AI14" s="72">
        <v>0</v>
      </c>
      <c r="AJ14" s="73">
        <v>0</v>
      </c>
      <c r="AK14" s="71">
        <v>0</v>
      </c>
      <c r="AL14" s="72">
        <v>0</v>
      </c>
      <c r="AM14" s="72">
        <v>0</v>
      </c>
      <c r="AN14" s="73">
        <v>0</v>
      </c>
      <c r="AO14" s="71">
        <v>0</v>
      </c>
      <c r="AP14" s="72">
        <v>0</v>
      </c>
      <c r="AQ14" s="72">
        <v>0</v>
      </c>
      <c r="AR14" s="73">
        <v>0</v>
      </c>
      <c r="AS14" s="71">
        <v>0</v>
      </c>
      <c r="AT14" s="72">
        <v>0</v>
      </c>
      <c r="AU14" s="72">
        <v>0</v>
      </c>
      <c r="AV14" s="73">
        <v>0</v>
      </c>
      <c r="AW14" s="17"/>
      <c r="AX14" s="528">
        <f>AVERAGE(Q14/($BD14*(1+$BH14)^((AX$6-1)/4)),U14/($BD14*(1+$BH14)^(3/4)*(1+$BI14)^(AX$6/4)),Y14/($BD14*(1+$BH14)^(3/4)*(1+$BI14)*(1+$BJ14)^(AX$6/4)))</f>
        <v>0</v>
      </c>
      <c r="AY14" s="528">
        <f t="shared" ref="AY14" si="24">AVERAGE(R14/($BD14*(1+$BH14)^((AY$6-1)/4)),V14/($BD14*(1+$BH14)^(3/4)*(1+$BI14)^(AY$6/4)),Z14/($BD14*(1+$BH14)^(3/4)*(1+$BI14)*(1+$BJ14)^(AY$6/4)))</f>
        <v>0</v>
      </c>
      <c r="AZ14" s="528">
        <f t="shared" ref="AZ14" si="25">AVERAGE(S14/($BD14*(1+$BH14)^((AZ$6-1)/4)),W14/($BD14*(1+$BH14)^(3/4)*(1+$BI14)^(AZ$6/4)),AA14/($BD14*(1+$BH14)^(3/4)*(1+$BI14)*(1+$BJ14)^(AZ$6/4)))</f>
        <v>0</v>
      </c>
      <c r="BA14" s="528">
        <f t="shared" ref="BA14" si="26">AVERAGE(T14/($BD14*(1+$BH14)^((BA$6-1)/4)),X14/($BD14*(1+$BH14)^(3/4)*(1+$BI14)^(BA$6/4)),AB14/($BD14*(1+$BH14)^(3/4)*(1+$BI14)*(1+$BJ14)^(BA$6/4)))</f>
        <v>0</v>
      </c>
      <c r="BB14" s="538">
        <f>+SUM(AX14:BA14)</f>
        <v>0</v>
      </c>
      <c r="BC14" s="2"/>
      <c r="BD14" s="3">
        <v>1</v>
      </c>
      <c r="BE14" s="185" t="str">
        <f>"Growth in "&amp;A14</f>
        <v>Growth in Merchant Solutions Revenue</v>
      </c>
      <c r="BF14" s="59">
        <f>IFERROR(SUM(I14:L14)/SUM(E14:H14)-1,0)</f>
        <v>0</v>
      </c>
      <c r="BG14" s="59">
        <f>IFERROR(SUM(M14:P14)/SUM(I14:L14)-1,0)</f>
        <v>0</v>
      </c>
      <c r="BH14" s="59">
        <f>IFERROR(SUM(Q14:T14)/SUM(M14:P14)-1,0)</f>
        <v>0</v>
      </c>
      <c r="BI14" s="59">
        <f>IFERROR(SUM(U14:X14)/SUM(Q14:T14)-1,0)</f>
        <v>0</v>
      </c>
      <c r="BJ14" s="59">
        <f>IFERROR(SUM(Y14:AB14)/SUM(U14:X14)-1,0)</f>
        <v>0</v>
      </c>
      <c r="BK14" s="59">
        <f>IFERROR(SUM(AC14:AF14)/SUM(Y14:AB14)-1,0)</f>
        <v>0</v>
      </c>
      <c r="BL14" s="59">
        <f>IFERROR(SUM(AG14:AJ14)/SUM(AC14:AF14)-1,0)</f>
        <v>0</v>
      </c>
      <c r="BM14" s="59">
        <f>IFERROR(SUM(AK14:AN14)/SUM(AG14:AJ14)-1,0)</f>
        <v>0</v>
      </c>
      <c r="BN14" s="59">
        <f>IFERROR(SUM(AO14:AR14)/SUM(AK14:AN14)-1,0)</f>
        <v>0</v>
      </c>
      <c r="BO14" s="59">
        <f>IFERROR(SUM(AS14:AV14)/SUM(AO14:AR14)-1,0)</f>
        <v>0</v>
      </c>
      <c r="BR14" s="77">
        <f t="shared" si="0"/>
        <v>11</v>
      </c>
    </row>
    <row r="15" spans="1:72" ht="11.25" hidden="1" customHeight="1" outlineLevel="1" x14ac:dyDescent="0.25">
      <c r="B15" s="188" t="str">
        <f>"Cost of "&amp;A14</f>
        <v>Cost of Merchant Solutions Revenue</v>
      </c>
      <c r="E15" s="108">
        <f>Reported!C19</f>
        <v>0</v>
      </c>
      <c r="F15" s="109">
        <f>Reported!D19</f>
        <v>0</v>
      </c>
      <c r="G15" s="109">
        <f>Reported!E19</f>
        <v>0</v>
      </c>
      <c r="H15" s="175">
        <f>Reported!F19</f>
        <v>0</v>
      </c>
      <c r="I15" s="108">
        <f>Reported!G19</f>
        <v>0</v>
      </c>
      <c r="J15" s="109">
        <f>Reported!H19</f>
        <v>0</v>
      </c>
      <c r="K15" s="109">
        <f>Reported!I19</f>
        <v>0</v>
      </c>
      <c r="L15" s="109">
        <f>Reported!J19</f>
        <v>0</v>
      </c>
      <c r="M15" s="108">
        <f>Reported!K19</f>
        <v>0</v>
      </c>
      <c r="N15" s="109">
        <f>Reported!L19</f>
        <v>0</v>
      </c>
      <c r="O15" s="109">
        <f>Reported!M19</f>
        <v>0</v>
      </c>
      <c r="P15" s="109">
        <f>Reported!N19</f>
        <v>0</v>
      </c>
      <c r="Q15" s="108">
        <f>Reported!O19</f>
        <v>0</v>
      </c>
      <c r="R15" s="109">
        <f>Reported!P19</f>
        <v>0</v>
      </c>
      <c r="S15" s="109">
        <f>Reported!Q19</f>
        <v>0</v>
      </c>
      <c r="T15" s="109">
        <f>Reported!R19</f>
        <v>0</v>
      </c>
      <c r="U15" s="108">
        <f>Reported!S19</f>
        <v>0</v>
      </c>
      <c r="V15" s="109">
        <f>Reported!T19</f>
        <v>0</v>
      </c>
      <c r="W15" s="109">
        <f>Reported!U19</f>
        <v>0</v>
      </c>
      <c r="X15" s="109">
        <f>Reported!V19</f>
        <v>0</v>
      </c>
      <c r="Y15" s="108">
        <f>Reported!W19</f>
        <v>0</v>
      </c>
      <c r="Z15" s="109">
        <f>Reported!X19</f>
        <v>0</v>
      </c>
      <c r="AA15" s="109">
        <f>Reported!Y19</f>
        <v>0</v>
      </c>
      <c r="AB15" s="109">
        <f>Reported!Z19</f>
        <v>0</v>
      </c>
      <c r="AC15" s="108">
        <f>Reported!AA19</f>
        <v>0</v>
      </c>
      <c r="AD15" s="75">
        <v>0</v>
      </c>
      <c r="AE15" s="75">
        <v>0</v>
      </c>
      <c r="AF15" s="76">
        <v>0</v>
      </c>
      <c r="AG15" s="75">
        <v>0</v>
      </c>
      <c r="AH15" s="75">
        <v>0</v>
      </c>
      <c r="AI15" s="75">
        <v>0</v>
      </c>
      <c r="AJ15" s="76">
        <v>0</v>
      </c>
      <c r="AK15" s="74">
        <v>0</v>
      </c>
      <c r="AL15" s="75">
        <v>0</v>
      </c>
      <c r="AM15" s="75">
        <v>0</v>
      </c>
      <c r="AN15" s="76">
        <v>0</v>
      </c>
      <c r="AO15" s="74">
        <v>0</v>
      </c>
      <c r="AP15" s="75">
        <v>0</v>
      </c>
      <c r="AQ15" s="75">
        <v>0</v>
      </c>
      <c r="AR15" s="76">
        <v>0</v>
      </c>
      <c r="AS15" s="74">
        <v>0</v>
      </c>
      <c r="AT15" s="75">
        <v>0</v>
      </c>
      <c r="AU15" s="75">
        <v>0</v>
      </c>
      <c r="AV15" s="76">
        <v>0</v>
      </c>
      <c r="AW15" s="61"/>
      <c r="AX15" s="389"/>
      <c r="AY15" s="389"/>
      <c r="AZ15" s="389"/>
      <c r="BA15" s="389"/>
      <c r="BB15" s="539"/>
      <c r="BD15" s="2"/>
      <c r="BE15" s="185" t="str">
        <f>"Growth in "&amp;B15</f>
        <v>Growth in Cost of Merchant Solutions Revenue</v>
      </c>
      <c r="BF15" s="59">
        <f>IFERROR(SUM(I15:L15)/SUM(E15:H15)-1,0)</f>
        <v>0</v>
      </c>
      <c r="BG15" s="59">
        <f>IFERROR(SUM(M15:P15)/SUM(I15:L15)-1,0)</f>
        <v>0</v>
      </c>
      <c r="BH15" s="59">
        <f>IFERROR(SUM(Q15:T15)/SUM(M15:P15)-1,0)</f>
        <v>0</v>
      </c>
      <c r="BI15" s="59">
        <f>IFERROR(SUM(U15:X15)/SUM(Q15:T15)-1,0)</f>
        <v>0</v>
      </c>
      <c r="BJ15" s="59">
        <f>IFERROR(SUM(Y15:AB15)/SUM(U15:X15)-1,0)</f>
        <v>0</v>
      </c>
      <c r="BK15" s="59">
        <f>IFERROR(SUM(AC15:AF15)/SUM(Y15:AB15)-1,0)</f>
        <v>0</v>
      </c>
      <c r="BL15" s="59">
        <f>IFERROR(SUM(AG15:AJ15)/SUM(AC15:AF15)-1,0)</f>
        <v>0</v>
      </c>
      <c r="BM15" s="59">
        <f>IFERROR(SUM(AK15:AN15)/SUM(AG15:AJ15)-1,0)</f>
        <v>0</v>
      </c>
      <c r="BN15" s="59">
        <f>IFERROR(SUM(AO15:AR15)/SUM(AK15:AN15)-1,0)</f>
        <v>0</v>
      </c>
      <c r="BO15" s="59">
        <f>IFERROR(SUM(AP15:AS15)/SUM(AL15:AO15)-1,0)</f>
        <v>0</v>
      </c>
      <c r="BR15" s="77">
        <f t="shared" si="0"/>
        <v>12</v>
      </c>
    </row>
    <row r="16" spans="1:72" ht="11.25" hidden="1" customHeight="1" outlineLevel="1" x14ac:dyDescent="0.15">
      <c r="B16" s="188" t="str">
        <f>A14&amp;" Margin"</f>
        <v>Merchant Solutions Revenue Margin</v>
      </c>
      <c r="E16" s="317">
        <f>E14-E15</f>
        <v>0</v>
      </c>
      <c r="F16" s="318">
        <f t="shared" ref="F16:AR16" si="27">F14-F15</f>
        <v>0</v>
      </c>
      <c r="G16" s="318">
        <f t="shared" si="27"/>
        <v>0</v>
      </c>
      <c r="H16" s="319">
        <f t="shared" si="27"/>
        <v>0</v>
      </c>
      <c r="I16" s="317">
        <f t="shared" si="27"/>
        <v>0</v>
      </c>
      <c r="J16" s="318">
        <f t="shared" si="27"/>
        <v>0</v>
      </c>
      <c r="K16" s="318">
        <f t="shared" si="27"/>
        <v>0</v>
      </c>
      <c r="L16" s="318">
        <f t="shared" si="27"/>
        <v>0</v>
      </c>
      <c r="M16" s="317">
        <f t="shared" si="27"/>
        <v>0</v>
      </c>
      <c r="N16" s="318">
        <f t="shared" si="27"/>
        <v>0</v>
      </c>
      <c r="O16" s="318">
        <f t="shared" si="27"/>
        <v>0</v>
      </c>
      <c r="P16" s="318">
        <f t="shared" si="27"/>
        <v>0</v>
      </c>
      <c r="Q16" s="317">
        <f t="shared" si="27"/>
        <v>0</v>
      </c>
      <c r="R16" s="318">
        <f t="shared" si="27"/>
        <v>0</v>
      </c>
      <c r="S16" s="318">
        <f t="shared" si="27"/>
        <v>0</v>
      </c>
      <c r="T16" s="318">
        <f t="shared" si="27"/>
        <v>0</v>
      </c>
      <c r="U16" s="317">
        <f t="shared" si="27"/>
        <v>0</v>
      </c>
      <c r="V16" s="318">
        <f t="shared" si="27"/>
        <v>0</v>
      </c>
      <c r="W16" s="318">
        <f t="shared" si="27"/>
        <v>0</v>
      </c>
      <c r="X16" s="318">
        <f t="shared" si="27"/>
        <v>0</v>
      </c>
      <c r="Y16" s="317">
        <f t="shared" si="27"/>
        <v>0</v>
      </c>
      <c r="Z16" s="318">
        <f t="shared" si="27"/>
        <v>0</v>
      </c>
      <c r="AA16" s="318">
        <f t="shared" si="27"/>
        <v>0</v>
      </c>
      <c r="AB16" s="318">
        <f t="shared" si="27"/>
        <v>0</v>
      </c>
      <c r="AC16" s="317">
        <f t="shared" ref="AC16" si="28">AC14-AC15</f>
        <v>0</v>
      </c>
      <c r="AD16" s="49">
        <f t="shared" si="27"/>
        <v>0</v>
      </c>
      <c r="AE16" s="49">
        <f t="shared" si="27"/>
        <v>0</v>
      </c>
      <c r="AF16" s="50">
        <f t="shared" si="27"/>
        <v>0</v>
      </c>
      <c r="AG16" s="49">
        <f t="shared" si="27"/>
        <v>0</v>
      </c>
      <c r="AH16" s="49">
        <f t="shared" si="27"/>
        <v>0</v>
      </c>
      <c r="AI16" s="49">
        <f t="shared" si="27"/>
        <v>0</v>
      </c>
      <c r="AJ16" s="49">
        <f t="shared" si="27"/>
        <v>0</v>
      </c>
      <c r="AK16" s="24">
        <f t="shared" si="27"/>
        <v>0</v>
      </c>
      <c r="AL16" s="49">
        <f t="shared" si="27"/>
        <v>0</v>
      </c>
      <c r="AM16" s="49">
        <f t="shared" si="27"/>
        <v>0</v>
      </c>
      <c r="AN16" s="49">
        <f t="shared" si="27"/>
        <v>0</v>
      </c>
      <c r="AO16" s="24">
        <f t="shared" si="27"/>
        <v>0</v>
      </c>
      <c r="AP16" s="49">
        <f t="shared" si="27"/>
        <v>0</v>
      </c>
      <c r="AQ16" s="49">
        <f t="shared" si="27"/>
        <v>0</v>
      </c>
      <c r="AR16" s="50">
        <f t="shared" si="27"/>
        <v>0</v>
      </c>
      <c r="AS16" s="24">
        <f t="shared" ref="AS16:AV16" si="29">AS14-AS15</f>
        <v>0</v>
      </c>
      <c r="AT16" s="49">
        <f t="shared" si="29"/>
        <v>0</v>
      </c>
      <c r="AU16" s="49">
        <f t="shared" si="29"/>
        <v>0</v>
      </c>
      <c r="AV16" s="50">
        <f t="shared" si="29"/>
        <v>0</v>
      </c>
      <c r="AW16" s="61"/>
      <c r="AX16" s="389"/>
      <c r="AY16" s="389"/>
      <c r="AZ16" s="389"/>
      <c r="BA16" s="389"/>
      <c r="BB16" s="539"/>
      <c r="BD16" s="2"/>
      <c r="BE16" s="185"/>
      <c r="BF16" s="292"/>
      <c r="BG16" s="292"/>
      <c r="BH16" s="292"/>
      <c r="BI16" s="292"/>
      <c r="BJ16" s="292"/>
      <c r="BK16" s="292"/>
      <c r="BL16" s="292"/>
      <c r="BM16" s="292"/>
      <c r="BN16" s="292"/>
      <c r="BO16" s="292"/>
      <c r="BR16" s="77">
        <f t="shared" si="0"/>
        <v>13</v>
      </c>
    </row>
    <row r="17" spans="1:70" ht="11.25" hidden="1" customHeight="1" outlineLevel="1" x14ac:dyDescent="0.15">
      <c r="B17" s="188" t="str">
        <f>"% Cost of "&amp;A14</f>
        <v>% Cost of Merchant Solutions Revenue</v>
      </c>
      <c r="E17" s="112">
        <f t="shared" ref="E17:AB17" si="30">IFERROR(E15/E14,0)</f>
        <v>0</v>
      </c>
      <c r="F17" s="113">
        <f t="shared" si="30"/>
        <v>0</v>
      </c>
      <c r="G17" s="113">
        <f t="shared" si="30"/>
        <v>0</v>
      </c>
      <c r="H17" s="177">
        <f t="shared" si="30"/>
        <v>0</v>
      </c>
      <c r="I17" s="112">
        <f t="shared" si="30"/>
        <v>0</v>
      </c>
      <c r="J17" s="113">
        <f t="shared" si="30"/>
        <v>0</v>
      </c>
      <c r="K17" s="113">
        <f t="shared" si="30"/>
        <v>0</v>
      </c>
      <c r="L17" s="113">
        <f t="shared" si="30"/>
        <v>0</v>
      </c>
      <c r="M17" s="112">
        <f t="shared" si="30"/>
        <v>0</v>
      </c>
      <c r="N17" s="113">
        <f t="shared" si="30"/>
        <v>0</v>
      </c>
      <c r="O17" s="113">
        <f t="shared" si="30"/>
        <v>0</v>
      </c>
      <c r="P17" s="113">
        <f t="shared" si="30"/>
        <v>0</v>
      </c>
      <c r="Q17" s="114">
        <f t="shared" si="30"/>
        <v>0</v>
      </c>
      <c r="R17" s="115">
        <f t="shared" si="30"/>
        <v>0</v>
      </c>
      <c r="S17" s="115">
        <f t="shared" si="30"/>
        <v>0</v>
      </c>
      <c r="T17" s="115">
        <f t="shared" si="30"/>
        <v>0</v>
      </c>
      <c r="U17" s="114">
        <f t="shared" si="30"/>
        <v>0</v>
      </c>
      <c r="V17" s="115">
        <f t="shared" si="30"/>
        <v>0</v>
      </c>
      <c r="W17" s="115">
        <f t="shared" si="30"/>
        <v>0</v>
      </c>
      <c r="X17" s="115">
        <f t="shared" si="30"/>
        <v>0</v>
      </c>
      <c r="Y17" s="114">
        <f t="shared" si="30"/>
        <v>0</v>
      </c>
      <c r="Z17" s="115">
        <f t="shared" si="30"/>
        <v>0</v>
      </c>
      <c r="AA17" s="115">
        <f>IFERROR(AA15/AA14,0)</f>
        <v>0</v>
      </c>
      <c r="AB17" s="115">
        <f t="shared" si="30"/>
        <v>0</v>
      </c>
      <c r="AC17" s="114">
        <f t="shared" ref="AC17" si="31">IFERROR(AC15/AC14,0)</f>
        <v>0</v>
      </c>
      <c r="AD17" s="446">
        <f t="shared" ref="AD17" si="32">$BK17*AY17</f>
        <v>0</v>
      </c>
      <c r="AE17" s="446">
        <f t="shared" ref="AE17" si="33">$BK17*AZ17</f>
        <v>0</v>
      </c>
      <c r="AF17" s="447">
        <f t="shared" ref="AF17" si="34">$BK17*BA17</f>
        <v>0</v>
      </c>
      <c r="AG17" s="446">
        <f>$BL17*AX17</f>
        <v>0</v>
      </c>
      <c r="AH17" s="446">
        <f t="shared" ref="AH17" si="35">$BL17*AY17</f>
        <v>0</v>
      </c>
      <c r="AI17" s="446">
        <f t="shared" ref="AI17" si="36">$BL17*AZ17</f>
        <v>0</v>
      </c>
      <c r="AJ17" s="447">
        <f t="shared" ref="AJ17" si="37">$BL17*BA17</f>
        <v>0</v>
      </c>
      <c r="AK17" s="446">
        <f>$BM17*AX17</f>
        <v>0</v>
      </c>
      <c r="AL17" s="446">
        <f t="shared" ref="AL17" si="38">$BM17*AY17</f>
        <v>0</v>
      </c>
      <c r="AM17" s="446">
        <f t="shared" ref="AM17" si="39">$BM17*AZ17</f>
        <v>0</v>
      </c>
      <c r="AN17" s="447">
        <f t="shared" ref="AN17" si="40">$BM17*BA17</f>
        <v>0</v>
      </c>
      <c r="AO17" s="446">
        <f>$BN17*AX17</f>
        <v>0</v>
      </c>
      <c r="AP17" s="446">
        <f t="shared" ref="AP17" si="41">$BN17*AY17</f>
        <v>0</v>
      </c>
      <c r="AQ17" s="446">
        <f t="shared" ref="AQ17" si="42">$BN17*AZ17</f>
        <v>0</v>
      </c>
      <c r="AR17" s="447">
        <f t="shared" ref="AR17" si="43">$BN17*BA17</f>
        <v>0</v>
      </c>
      <c r="AS17" s="446">
        <f>$BO17*AX17</f>
        <v>0</v>
      </c>
      <c r="AT17" s="446">
        <f t="shared" ref="AT17" si="44">$BO17*AY17</f>
        <v>0</v>
      </c>
      <c r="AU17" s="446">
        <f t="shared" ref="AU17" si="45">$BO17*AZ17</f>
        <v>0</v>
      </c>
      <c r="AV17" s="447">
        <f t="shared" ref="AV17" si="46">$BO17*BA17</f>
        <v>0</v>
      </c>
      <c r="AW17" s="60"/>
      <c r="AX17" s="388">
        <f>IFERROR(1-(1-$BB17)*(1-(SUMIFS($E17:$AR17,$E$3:$AR$3,#REF!,$E$5:$AR$5,"Actual"))/SUMIFS($E17:$AR17,$E$5:$AR$5,"Actual")*4),0)</f>
        <v>0</v>
      </c>
      <c r="AY17" s="388">
        <f>IFERROR(1-(1-$BB17)*(1-(SUMIFS($E17:$AR17,$E$3:$AR$3,#REF!,$E$5:$AR$5,"Actual"))/SUMIFS($E17:$AR17,$E$5:$AR$5,"Actual")*4),0)</f>
        <v>0</v>
      </c>
      <c r="AZ17" s="388">
        <f>IFERROR(1-(1-$BB17)*(1-(SUMIFS($E17:$AR17,$E$3:$AR$3,#REF!,$E$5:$AR$5,"Actual"))/SUMIFS($E17:$AR17,$E$5:$AR$5,"Actual")*4),0)</f>
        <v>0</v>
      </c>
      <c r="BA17" s="388">
        <f>IFERROR(1-(1-$BB17)*(1-(SUMIFS($E17:$AR17,$E$3:$AR$3,#REF!,$E$5:$AR$5,"Actual"))/SUMIFS($E17:$AR17,$E$5:$AR$5,"Actual")*4),0)</f>
        <v>0</v>
      </c>
      <c r="BB17" s="538">
        <v>0</v>
      </c>
      <c r="BD17" s="2"/>
      <c r="BE17" s="185" t="str">
        <f>B17</f>
        <v>% Cost of Merchant Solutions Revenue</v>
      </c>
      <c r="BF17" s="59">
        <f>IFERROR(SUM(I15:L15)/SUM(I14:L14),0)</f>
        <v>0</v>
      </c>
      <c r="BG17" s="59">
        <f>IFERROR(SUM(M15:P15)/SUM(M14:P14),0)</f>
        <v>0</v>
      </c>
      <c r="BH17" s="59">
        <f>IFERROR(SUM(Q15:T15)/SUM(Q14:T14),0)</f>
        <v>0</v>
      </c>
      <c r="BI17" s="59">
        <f>IFERROR(SUM(U15:X15)/SUM(U14:X14),0)</f>
        <v>0</v>
      </c>
      <c r="BJ17" s="59">
        <f>IFERROR(SUM(Y15:AB15)/SUM(Y14:AB14),0)</f>
        <v>0</v>
      </c>
      <c r="BK17" s="207">
        <v>0.69</v>
      </c>
      <c r="BL17" s="207">
        <f t="shared" ref="BL17:BO18" si="47">BK17*(1-$BP17)</f>
        <v>0.621</v>
      </c>
      <c r="BM17" s="207">
        <f t="shared" si="47"/>
        <v>0.55890000000000006</v>
      </c>
      <c r="BN17" s="207">
        <f t="shared" si="47"/>
        <v>0.50301000000000007</v>
      </c>
      <c r="BO17" s="207">
        <f t="shared" si="47"/>
        <v>0.45270900000000008</v>
      </c>
      <c r="BP17" s="207">
        <v>0.1</v>
      </c>
      <c r="BR17" s="77">
        <f t="shared" si="0"/>
        <v>14</v>
      </c>
    </row>
    <row r="18" spans="1:70" ht="11.25" hidden="1" customHeight="1" outlineLevel="1" x14ac:dyDescent="0.15">
      <c r="A18" s="85"/>
      <c r="B18" s="188" t="s">
        <v>139</v>
      </c>
      <c r="E18" s="305"/>
      <c r="F18" s="306"/>
      <c r="G18" s="306"/>
      <c r="H18" s="304"/>
      <c r="I18" s="165"/>
      <c r="J18" s="197"/>
      <c r="K18" s="197"/>
      <c r="L18" s="197"/>
      <c r="M18" s="365" t="e">
        <f t="shared" ref="M18:AB18" si="48">M14/M20</f>
        <v>#DIV/0!</v>
      </c>
      <c r="N18" s="366" t="e">
        <f t="shared" si="48"/>
        <v>#DIV/0!</v>
      </c>
      <c r="O18" s="366" t="e">
        <f t="shared" si="48"/>
        <v>#DIV/0!</v>
      </c>
      <c r="P18" s="366" t="e">
        <f t="shared" si="48"/>
        <v>#DIV/0!</v>
      </c>
      <c r="Q18" s="365" t="e">
        <f t="shared" si="48"/>
        <v>#DIV/0!</v>
      </c>
      <c r="R18" s="366" t="e">
        <f t="shared" si="48"/>
        <v>#DIV/0!</v>
      </c>
      <c r="S18" s="366" t="e">
        <f t="shared" si="48"/>
        <v>#DIV/0!</v>
      </c>
      <c r="T18" s="366" t="e">
        <f t="shared" si="48"/>
        <v>#DIV/0!</v>
      </c>
      <c r="U18" s="365" t="e">
        <f t="shared" si="48"/>
        <v>#DIV/0!</v>
      </c>
      <c r="V18" s="366" t="e">
        <f t="shared" si="48"/>
        <v>#DIV/0!</v>
      </c>
      <c r="W18" s="366" t="e">
        <f t="shared" si="48"/>
        <v>#DIV/0!</v>
      </c>
      <c r="X18" s="366" t="e">
        <f t="shared" si="48"/>
        <v>#DIV/0!</v>
      </c>
      <c r="Y18" s="365" t="e">
        <f t="shared" si="48"/>
        <v>#DIV/0!</v>
      </c>
      <c r="Z18" s="366" t="e">
        <f>Z14/Z20</f>
        <v>#DIV/0!</v>
      </c>
      <c r="AA18" s="366" t="e">
        <f t="shared" si="48"/>
        <v>#DIV/0!</v>
      </c>
      <c r="AB18" s="366" t="e">
        <f t="shared" si="48"/>
        <v>#DIV/0!</v>
      </c>
      <c r="AC18" s="365" t="e">
        <f t="shared" ref="AC18" si="49">AC14/AC20</f>
        <v>#DIV/0!</v>
      </c>
      <c r="AD18" s="419" t="e">
        <f t="shared" ref="AD18:AE18" si="50">+AY18*$BK$18</f>
        <v>#DIV/0!</v>
      </c>
      <c r="AE18" s="419" t="e">
        <f t="shared" si="50"/>
        <v>#DIV/0!</v>
      </c>
      <c r="AF18" s="420" t="e">
        <f>+BA18*$BK$18</f>
        <v>#DIV/0!</v>
      </c>
      <c r="AG18" s="419" t="e">
        <f>+AX18*$BL$18</f>
        <v>#DIV/0!</v>
      </c>
      <c r="AH18" s="419" t="e">
        <f t="shared" ref="AH18:AI18" si="51">+AY18*$BL$18</f>
        <v>#DIV/0!</v>
      </c>
      <c r="AI18" s="419" t="e">
        <f t="shared" si="51"/>
        <v>#DIV/0!</v>
      </c>
      <c r="AJ18" s="420" t="e">
        <f>+BA18*$BL$18</f>
        <v>#DIV/0!</v>
      </c>
      <c r="AK18" s="419" t="e">
        <f>+AX18*$BM$18</f>
        <v>#DIV/0!</v>
      </c>
      <c r="AL18" s="419" t="e">
        <f t="shared" ref="AL18:AM18" si="52">+AY18*$BM$18</f>
        <v>#DIV/0!</v>
      </c>
      <c r="AM18" s="419" t="e">
        <f t="shared" si="52"/>
        <v>#DIV/0!</v>
      </c>
      <c r="AN18" s="420" t="e">
        <f>+BA18*$BM$18</f>
        <v>#DIV/0!</v>
      </c>
      <c r="AO18" s="419" t="e">
        <f>+AX18*$BN$18</f>
        <v>#DIV/0!</v>
      </c>
      <c r="AP18" s="419" t="e">
        <f t="shared" ref="AP18:AQ18" si="53">+AY18*$BN$18</f>
        <v>#DIV/0!</v>
      </c>
      <c r="AQ18" s="419" t="e">
        <f t="shared" si="53"/>
        <v>#DIV/0!</v>
      </c>
      <c r="AR18" s="420" t="e">
        <f>+BA18*$BN$18</f>
        <v>#DIV/0!</v>
      </c>
      <c r="AS18" s="419" t="e">
        <f>+AX18*$BO$18</f>
        <v>#DIV/0!</v>
      </c>
      <c r="AT18" s="419" t="e">
        <f t="shared" ref="AT18:AV18" si="54">+AY18*$BO$18</f>
        <v>#DIV/0!</v>
      </c>
      <c r="AU18" s="419" t="e">
        <f t="shared" si="54"/>
        <v>#DIV/0!</v>
      </c>
      <c r="AV18" s="420" t="e">
        <f t="shared" si="54"/>
        <v>#DIV/0!</v>
      </c>
      <c r="AW18" s="329"/>
      <c r="AX18" s="388">
        <f>IFERROR(1-(1-$BB18)*(1-(SUMIFS($E18:$AR18,$E$3:$AR$3,#REF!,$E$5:$AR$5,"Actual"))/SUMIFS($E18:$AR18,$E$5:$AR$5,"Actual")*4),0)</f>
        <v>0</v>
      </c>
      <c r="AY18" s="388">
        <f>IFERROR(1-(1-$BB18)*(1-(SUMIFS($E18:$AR18,$E$3:$AR$3,#REF!,$E$5:$AR$5,"Actual"))/SUMIFS($E18:$AR18,$E$5:$AR$5,"Actual")*4),0)</f>
        <v>0</v>
      </c>
      <c r="AZ18" s="388">
        <f>IFERROR(1-(1-$BB18)*(1-(SUMIFS($E18:$AR18,$E$3:$AR$3,#REF!,$E$5:$AR$5,"Actual"))/SUMIFS($E18:$AR18,$E$5:$AR$5,"Actual")*4),0)</f>
        <v>0</v>
      </c>
      <c r="BA18" s="388">
        <f>IFERROR(1-(1-$BB18)*(1-(SUMIFS($E18:$AR18,$E$3:$AR$3,#REF!,$E$5:$AR$5,"Actual"))/SUMIFS($E18:$AR18,$E$5:$AR$5,"Actual")*4),0)</f>
        <v>0</v>
      </c>
      <c r="BB18" s="538">
        <v>0</v>
      </c>
      <c r="BC18" s="85"/>
      <c r="BD18" s="99">
        <v>0.23910000000000001</v>
      </c>
      <c r="BE18" s="188" t="str">
        <f>B18</f>
        <v>Merch as % of Subscription</v>
      </c>
      <c r="BF18" s="330" t="e">
        <f>AVERAGE(I18:L18)</f>
        <v>#DIV/0!</v>
      </c>
      <c r="BG18" s="330" t="e">
        <f>AVERAGE(M18:P18)</f>
        <v>#DIV/0!</v>
      </c>
      <c r="BH18" s="330" t="e">
        <f>AVERAGE(Q18:T18)</f>
        <v>#DIV/0!</v>
      </c>
      <c r="BI18" s="330" t="e">
        <f>AVERAGE(U18:X18)</f>
        <v>#DIV/0!</v>
      </c>
      <c r="BJ18" s="330" t="e">
        <f>AVERAGE(Y18:AB18)</f>
        <v>#DIV/0!</v>
      </c>
      <c r="BK18" s="207" t="e">
        <f>BJ18*(1-$BP18)</f>
        <v>#DIV/0!</v>
      </c>
      <c r="BL18" s="207" t="e">
        <f t="shared" si="47"/>
        <v>#DIV/0!</v>
      </c>
      <c r="BM18" s="207" t="e">
        <f t="shared" si="47"/>
        <v>#DIV/0!</v>
      </c>
      <c r="BN18" s="207" t="e">
        <f t="shared" si="47"/>
        <v>#DIV/0!</v>
      </c>
      <c r="BO18" s="207" t="e">
        <f t="shared" si="47"/>
        <v>#DIV/0!</v>
      </c>
      <c r="BP18" s="500">
        <v>-0.24</v>
      </c>
      <c r="BR18" s="77">
        <f t="shared" si="0"/>
        <v>15</v>
      </c>
    </row>
    <row r="19" spans="1:70" ht="11.25" customHeight="1" x14ac:dyDescent="0.15">
      <c r="B19" s="187"/>
      <c r="E19" s="112"/>
      <c r="F19" s="113"/>
      <c r="G19" s="113"/>
      <c r="H19" s="177"/>
      <c r="I19" s="112"/>
      <c r="J19" s="113"/>
      <c r="K19" s="113"/>
      <c r="L19" s="113"/>
      <c r="M19" s="112"/>
      <c r="N19" s="113"/>
      <c r="O19" s="113"/>
      <c r="P19" s="113"/>
      <c r="Q19" s="112"/>
      <c r="R19" s="113"/>
      <c r="S19" s="113"/>
      <c r="T19" s="113"/>
      <c r="U19" s="112"/>
      <c r="V19" s="113"/>
      <c r="W19" s="113"/>
      <c r="X19" s="197" t="e">
        <f>+X20/T20-1</f>
        <v>#DIV/0!</v>
      </c>
      <c r="Y19" s="112"/>
      <c r="Z19" s="113"/>
      <c r="AA19" s="113"/>
      <c r="AB19" s="197" t="e">
        <f>+AB20/X20-1</f>
        <v>#DIV/0!</v>
      </c>
      <c r="AC19" s="112"/>
      <c r="AD19" s="66"/>
      <c r="AE19" s="66"/>
      <c r="AF19" s="68" t="e">
        <f>+AF20/AB20-1</f>
        <v>#DIV/0!</v>
      </c>
      <c r="AG19" s="66"/>
      <c r="AH19" s="66"/>
      <c r="AI19" s="66"/>
      <c r="AJ19" s="68"/>
      <c r="AK19" s="67"/>
      <c r="AL19" s="66"/>
      <c r="AM19" s="66"/>
      <c r="AN19" s="68"/>
      <c r="AO19" s="67"/>
      <c r="AP19" s="66"/>
      <c r="AQ19" s="66"/>
      <c r="AR19" s="68"/>
      <c r="AS19" s="67"/>
      <c r="AT19" s="66"/>
      <c r="AU19" s="66"/>
      <c r="AV19" s="68"/>
      <c r="AW19" s="60"/>
      <c r="AX19" s="389"/>
      <c r="AY19" s="389"/>
      <c r="AZ19" s="389"/>
      <c r="BA19" s="389"/>
      <c r="BB19" s="539"/>
      <c r="BD19" s="385"/>
      <c r="BE19" s="185"/>
      <c r="BG19" s="99"/>
      <c r="BH19" s="99" t="e">
        <f t="shared" ref="BH19:BI19" si="55">BH18/BG18-1</f>
        <v>#DIV/0!</v>
      </c>
      <c r="BI19" s="99" t="e">
        <f t="shared" si="55"/>
        <v>#DIV/0!</v>
      </c>
      <c r="BJ19" s="99" t="e">
        <f>BJ18/BI18-1</f>
        <v>#DIV/0!</v>
      </c>
      <c r="BK19" s="99" t="e">
        <f t="shared" ref="BK19:BL19" si="56">BK18/BJ18-1</f>
        <v>#DIV/0!</v>
      </c>
      <c r="BL19" s="99" t="e">
        <f t="shared" si="56"/>
        <v>#DIV/0!</v>
      </c>
      <c r="BM19" s="99" t="e">
        <f t="shared" ref="BM19" si="57">BM18/BL18-1</f>
        <v>#DIV/0!</v>
      </c>
      <c r="BN19" s="99" t="e">
        <f t="shared" ref="BN19" si="58">BN18/BM18-1</f>
        <v>#DIV/0!</v>
      </c>
      <c r="BO19" s="99" t="e">
        <f t="shared" ref="BO19" si="59">BO18/BN18-1</f>
        <v>#DIV/0!</v>
      </c>
      <c r="BR19" s="77">
        <f t="shared" si="0"/>
        <v>16</v>
      </c>
    </row>
    <row r="20" spans="1:70" ht="11.25" customHeight="1" x14ac:dyDescent="0.15">
      <c r="A20" s="310" t="str">
        <f>Reported!A9&amp;" Revenue"</f>
        <v>Subscription Revenue</v>
      </c>
      <c r="B20" s="187"/>
      <c r="E20" s="105">
        <f>Reported!C9</f>
        <v>0</v>
      </c>
      <c r="F20" s="106">
        <f>Reported!D9</f>
        <v>0</v>
      </c>
      <c r="G20" s="106">
        <f>Reported!E9</f>
        <v>0</v>
      </c>
      <c r="H20" s="107">
        <f>Reported!F9</f>
        <v>0</v>
      </c>
      <c r="I20" s="105">
        <f>Reported!G9</f>
        <v>0</v>
      </c>
      <c r="J20" s="106">
        <f>Reported!H9</f>
        <v>0</v>
      </c>
      <c r="K20" s="106">
        <f>Reported!I9</f>
        <v>0</v>
      </c>
      <c r="L20" s="106">
        <f>Reported!J9</f>
        <v>0</v>
      </c>
      <c r="M20" s="105">
        <f>Reported!K9</f>
        <v>0</v>
      </c>
      <c r="N20" s="106">
        <f>Reported!L9</f>
        <v>0</v>
      </c>
      <c r="O20" s="106">
        <f>Reported!M9</f>
        <v>0</v>
      </c>
      <c r="P20" s="106">
        <f>Reported!N9</f>
        <v>0</v>
      </c>
      <c r="Q20" s="105">
        <f>Reported!O9</f>
        <v>0</v>
      </c>
      <c r="R20" s="106">
        <f>Reported!P9</f>
        <v>0</v>
      </c>
      <c r="S20" s="106">
        <f>Reported!Q9</f>
        <v>0</v>
      </c>
      <c r="T20" s="106">
        <f>Reported!R9</f>
        <v>0</v>
      </c>
      <c r="U20" s="105">
        <f>Reported!S9</f>
        <v>0</v>
      </c>
      <c r="V20" s="106">
        <f>Reported!T9</f>
        <v>0</v>
      </c>
      <c r="W20" s="106">
        <f>Reported!U9</f>
        <v>0</v>
      </c>
      <c r="X20" s="106">
        <f>Reported!V9</f>
        <v>0</v>
      </c>
      <c r="Y20" s="105">
        <f>Reported!W9</f>
        <v>0</v>
      </c>
      <c r="Z20" s="106">
        <f>Reported!X9</f>
        <v>0</v>
      </c>
      <c r="AA20" s="106">
        <f>Reported!Y9</f>
        <v>0</v>
      </c>
      <c r="AB20" s="106">
        <f>Reported!Z9</f>
        <v>0</v>
      </c>
      <c r="AC20" s="105">
        <f>Reported!AA9</f>
        <v>0</v>
      </c>
      <c r="AD20" s="72">
        <f t="shared" ref="AD20:AR20" si="60">AD25+AC20</f>
        <v>0</v>
      </c>
      <c r="AE20" s="72">
        <f t="shared" si="60"/>
        <v>0</v>
      </c>
      <c r="AF20" s="73">
        <f t="shared" si="60"/>
        <v>0</v>
      </c>
      <c r="AG20" s="72">
        <f t="shared" si="60"/>
        <v>0</v>
      </c>
      <c r="AH20" s="72">
        <f t="shared" si="60"/>
        <v>0</v>
      </c>
      <c r="AI20" s="72">
        <f t="shared" si="60"/>
        <v>0</v>
      </c>
      <c r="AJ20" s="73">
        <f t="shared" si="60"/>
        <v>0</v>
      </c>
      <c r="AK20" s="71">
        <f t="shared" si="60"/>
        <v>0</v>
      </c>
      <c r="AL20" s="72">
        <f t="shared" si="60"/>
        <v>0</v>
      </c>
      <c r="AM20" s="72">
        <f t="shared" si="60"/>
        <v>0</v>
      </c>
      <c r="AN20" s="73">
        <f t="shared" si="60"/>
        <v>0</v>
      </c>
      <c r="AO20" s="71">
        <f t="shared" si="60"/>
        <v>0</v>
      </c>
      <c r="AP20" s="72">
        <f t="shared" si="60"/>
        <v>0</v>
      </c>
      <c r="AQ20" s="72">
        <f t="shared" si="60"/>
        <v>0</v>
      </c>
      <c r="AR20" s="73">
        <f t="shared" si="60"/>
        <v>0</v>
      </c>
      <c r="AS20" s="71">
        <f t="shared" ref="AS20:AV20" si="61">AS25+AR20</f>
        <v>0</v>
      </c>
      <c r="AT20" s="72">
        <f t="shared" si="61"/>
        <v>0</v>
      </c>
      <c r="AU20" s="72">
        <f t="shared" si="61"/>
        <v>0</v>
      </c>
      <c r="AV20" s="73">
        <f t="shared" si="61"/>
        <v>0</v>
      </c>
      <c r="AW20" s="17"/>
      <c r="AX20" s="528">
        <f>AVERAGE(Q20/($BD20*(1+$BH20)^((AX$6-1)/4)),U20/($BD20*(1+$BH20)^(3/4)*(1+$BI20)^(AX$6/4)),Y20/($BD20*(1+$BH20)^(3/4)*(1+$BI20)*(1+$BJ20)^(AX$6/4)))</f>
        <v>0</v>
      </c>
      <c r="AY20" s="528">
        <f t="shared" ref="AY20" si="62">AVERAGE(R20/($BD20*(1+$BH20)^((AY$6-1)/4)),V20/($BD20*(1+$BH20)^(3/4)*(1+$BI20)^(AY$6/4)),Z20/($BD20*(1+$BH20)^(3/4)*(1+$BI20)*(1+$BJ20)^(AY$6/4)))</f>
        <v>0</v>
      </c>
      <c r="AZ20" s="528">
        <f t="shared" ref="AZ20" si="63">AVERAGE(S20/($BD20*(1+$BH20)^((AZ$6-1)/4)),W20/($BD20*(1+$BH20)^(3/4)*(1+$BI20)^(AZ$6/4)),AA20/($BD20*(1+$BH20)^(3/4)*(1+$BI20)*(1+$BJ20)^(AZ$6/4)))</f>
        <v>0</v>
      </c>
      <c r="BA20" s="528">
        <f t="shared" ref="BA20" si="64">AVERAGE(T20/($BD20*(1+$BH20)^((BA$6-1)/4)),X20/($BD20*(1+$BH20)^(3/4)*(1+$BI20)^(BA$6/4)),AB20/($BD20*(1+$BH20)^(3/4)*(1+$BI20)*(1+$BJ20)^(BA$6/4)))</f>
        <v>0</v>
      </c>
      <c r="BB20" s="538">
        <f>+SUM(AX20:BA20)</f>
        <v>0</v>
      </c>
      <c r="BC20" s="2"/>
      <c r="BD20" s="3">
        <v>1</v>
      </c>
      <c r="BE20" s="185" t="str">
        <f>"Growth in "&amp;A20</f>
        <v>Growth in Subscription Revenue</v>
      </c>
      <c r="BF20" s="59">
        <f>IFERROR(SUM(I20:L20)/SUM(E20:H20)-1,0)</f>
        <v>0</v>
      </c>
      <c r="BG20" s="59">
        <f>IFERROR(SUM(M20:P20)/SUM(I20:L20)-1,0)</f>
        <v>0</v>
      </c>
      <c r="BH20" s="59">
        <f>IFERROR(SUM(Q20:T20)/SUM(M20:P20)-1,0)</f>
        <v>0</v>
      </c>
      <c r="BI20" s="59">
        <f>IFERROR(SUM(U20:X20)/SUM(Q20:T20)-1,0)</f>
        <v>0</v>
      </c>
      <c r="BJ20" s="59">
        <f>IFERROR(SUM(Y20:AB20)/SUM(U20:X20)-1,0)</f>
        <v>0</v>
      </c>
      <c r="BK20" s="59">
        <f>IFERROR(SUM(AC20:AF20)/SUM(Y20:AB20)-1,0)</f>
        <v>0</v>
      </c>
      <c r="BL20" s="59">
        <f>IFERROR(SUM(AG20:AJ20)/SUM(AC20:AF20)-1,0)</f>
        <v>0</v>
      </c>
      <c r="BM20" s="59">
        <f>IFERROR(SUM(AK20:AN20)/SUM(AG20:AJ20)-1,0)</f>
        <v>0</v>
      </c>
      <c r="BN20" s="59">
        <f>IFERROR(SUM(AO20:AR20)/SUM(AK20:AN20)-1,0)</f>
        <v>0</v>
      </c>
      <c r="BO20" s="59">
        <f>IFERROR(SUM(AP20:AS20)/SUM(AL20:AO20)-1,0)</f>
        <v>0</v>
      </c>
      <c r="BR20" s="77">
        <f t="shared" si="0"/>
        <v>17</v>
      </c>
    </row>
    <row r="21" spans="1:70" ht="11.25" customHeight="1" outlineLevel="1" x14ac:dyDescent="0.25">
      <c r="B21" s="188" t="str">
        <f>"Cost of "&amp;A20</f>
        <v>Cost of Subscription Revenue</v>
      </c>
      <c r="E21" s="108">
        <f>Reported!C18-Reported!C56-Reported!C61-Reported!C66</f>
        <v>0</v>
      </c>
      <c r="F21" s="109">
        <f>Reported!D18-Reported!D56-Reported!D61-Reported!D66</f>
        <v>0</v>
      </c>
      <c r="G21" s="109">
        <f>Reported!E18-Reported!E56-Reported!E61-Reported!E66</f>
        <v>0</v>
      </c>
      <c r="H21" s="175">
        <f>Reported!F18-Reported!F56-Reported!F61-Reported!F66</f>
        <v>0</v>
      </c>
      <c r="I21" s="108">
        <f>Reported!G18-Reported!G56-Reported!G61-Reported!G66</f>
        <v>0</v>
      </c>
      <c r="J21" s="109">
        <f>Reported!H18-Reported!H56-Reported!H61-Reported!H66</f>
        <v>0</v>
      </c>
      <c r="K21" s="109">
        <f>Reported!I18-Reported!I56-Reported!I61-Reported!I66</f>
        <v>0</v>
      </c>
      <c r="L21" s="109">
        <f>Reported!J18-Reported!J56-Reported!J61-Reported!J66</f>
        <v>0</v>
      </c>
      <c r="M21" s="108">
        <f>Reported!K18-Reported!K56-Reported!K61-Reported!K66</f>
        <v>0</v>
      </c>
      <c r="N21" s="109">
        <f>Reported!L18-Reported!L56-Reported!L61-Reported!L66</f>
        <v>0</v>
      </c>
      <c r="O21" s="109">
        <f>Reported!M18-Reported!M56-Reported!M61-Reported!M66</f>
        <v>0</v>
      </c>
      <c r="P21" s="109">
        <f>Reported!N18-Reported!N56-Reported!N61-Reported!N66</f>
        <v>0</v>
      </c>
      <c r="Q21" s="108">
        <f>Reported!O18-Reported!O56-Reported!O61-Reported!O66</f>
        <v>0</v>
      </c>
      <c r="R21" s="109">
        <f>Reported!P18-Reported!P56-Reported!P61-Reported!P66</f>
        <v>0</v>
      </c>
      <c r="S21" s="109">
        <f>Reported!Q18-Reported!Q56-Reported!Q61-Reported!Q66</f>
        <v>0</v>
      </c>
      <c r="T21" s="109">
        <f>Reported!R18-Reported!R56-Reported!R61-Reported!R66</f>
        <v>0</v>
      </c>
      <c r="U21" s="108">
        <f>Reported!S18-Reported!S56-Reported!S61-Reported!S66</f>
        <v>0</v>
      </c>
      <c r="V21" s="109">
        <f>Reported!T18-Reported!T56-Reported!T61-Reported!T66</f>
        <v>0</v>
      </c>
      <c r="W21" s="109">
        <f>Reported!U18-Reported!U56-Reported!U61-Reported!U66</f>
        <v>0</v>
      </c>
      <c r="X21" s="109">
        <f>Reported!V18-Reported!V56-Reported!V61-Reported!V66</f>
        <v>0</v>
      </c>
      <c r="Y21" s="108">
        <f>Reported!W18-Reported!W56-Reported!W61-Reported!W66</f>
        <v>0</v>
      </c>
      <c r="Z21" s="109">
        <f>Reported!X18-Reported!X56-Reported!X61-Reported!X66</f>
        <v>0</v>
      </c>
      <c r="AA21" s="109">
        <f>Reported!Y18-Reported!Y56-Reported!Y61-Reported!Y66</f>
        <v>0</v>
      </c>
      <c r="AB21" s="109">
        <f>Reported!Z18-Reported!Z56-Reported!Z61-Reported!Z66</f>
        <v>0</v>
      </c>
      <c r="AC21" s="108">
        <f>Reported!AA18-Reported!AA56-Reported!AA61-Reported!AA66</f>
        <v>0</v>
      </c>
      <c r="AD21" s="75">
        <f t="shared" ref="AD21:AR21" si="65">AD20*AD23</f>
        <v>0</v>
      </c>
      <c r="AE21" s="75">
        <f t="shared" si="65"/>
        <v>0</v>
      </c>
      <c r="AF21" s="76">
        <f t="shared" si="65"/>
        <v>0</v>
      </c>
      <c r="AG21" s="75">
        <f t="shared" si="65"/>
        <v>0</v>
      </c>
      <c r="AH21" s="75">
        <f t="shared" si="65"/>
        <v>0</v>
      </c>
      <c r="AI21" s="75">
        <f t="shared" si="65"/>
        <v>0</v>
      </c>
      <c r="AJ21" s="76">
        <f t="shared" si="65"/>
        <v>0</v>
      </c>
      <c r="AK21" s="74">
        <f t="shared" si="65"/>
        <v>0</v>
      </c>
      <c r="AL21" s="75">
        <f t="shared" si="65"/>
        <v>0</v>
      </c>
      <c r="AM21" s="75">
        <f t="shared" si="65"/>
        <v>0</v>
      </c>
      <c r="AN21" s="76">
        <f t="shared" si="65"/>
        <v>0</v>
      </c>
      <c r="AO21" s="74">
        <f t="shared" si="65"/>
        <v>0</v>
      </c>
      <c r="AP21" s="75">
        <f t="shared" si="65"/>
        <v>0</v>
      </c>
      <c r="AQ21" s="75">
        <f t="shared" si="65"/>
        <v>0</v>
      </c>
      <c r="AR21" s="76">
        <f t="shared" si="65"/>
        <v>0</v>
      </c>
      <c r="AS21" s="74">
        <f t="shared" ref="AS21" si="66">AS20*AS23</f>
        <v>0</v>
      </c>
      <c r="AT21" s="75">
        <f t="shared" ref="AT21" si="67">AT20*AT23</f>
        <v>0</v>
      </c>
      <c r="AU21" s="75">
        <f t="shared" ref="AU21" si="68">AU20*AU23</f>
        <v>0</v>
      </c>
      <c r="AV21" s="76">
        <f t="shared" ref="AV21" si="69">AV20*AV23</f>
        <v>0</v>
      </c>
      <c r="AW21" s="61"/>
      <c r="AX21" s="389"/>
      <c r="AY21" s="389"/>
      <c r="AZ21" s="389"/>
      <c r="BA21" s="389"/>
      <c r="BB21" s="539"/>
      <c r="BD21" s="2"/>
      <c r="BE21" s="185" t="str">
        <f>"Growth in "&amp;B21</f>
        <v>Growth in Cost of Subscription Revenue</v>
      </c>
      <c r="BF21" s="59">
        <f>IFERROR(SUM(I21:L21)/SUM(E21:H21)-1,0)</f>
        <v>0</v>
      </c>
      <c r="BG21" s="59">
        <f>IFERROR(SUM(M21:P21)/SUM(I21:L21)-1,0)</f>
        <v>0</v>
      </c>
      <c r="BH21" s="59">
        <f>IFERROR(SUM(Q21:T21)/SUM(M21:P21)-1,0)</f>
        <v>0</v>
      </c>
      <c r="BI21" s="59">
        <f>IFERROR(SUM(U21:X21)/SUM(Q21:T21)-1,0)</f>
        <v>0</v>
      </c>
      <c r="BJ21" s="59">
        <f>IFERROR(SUM(Y21:AB21)/SUM(U21:X21)-1,0)</f>
        <v>0</v>
      </c>
      <c r="BK21" s="59">
        <f>IFERROR(SUM(AC21:AF21)/SUM(Y21:AB21)-1,0)</f>
        <v>0</v>
      </c>
      <c r="BL21" s="59">
        <f>IFERROR(SUM(AG21:AJ21)/SUM(AC21:AF21)-1,0)</f>
        <v>0</v>
      </c>
      <c r="BM21" s="59">
        <f>IFERROR(SUM(AK21:AN21)/SUM(AG21:AJ21)-1,0)</f>
        <v>0</v>
      </c>
      <c r="BN21" s="59">
        <f>IFERROR(SUM(AO21:AR21)/SUM(AK21:AN21)-1,0)</f>
        <v>0</v>
      </c>
      <c r="BO21" s="59">
        <f>IFERROR(SUM(AP21:AS21)/SUM(AL21:AO21)-1,0)</f>
        <v>0</v>
      </c>
      <c r="BR21" s="77">
        <f t="shared" si="0"/>
        <v>18</v>
      </c>
    </row>
    <row r="22" spans="1:70" ht="11.25" customHeight="1" outlineLevel="1" x14ac:dyDescent="0.15">
      <c r="B22" s="188" t="str">
        <f>A20&amp;" Margin"</f>
        <v>Subscription Revenue Margin</v>
      </c>
      <c r="E22" s="317">
        <f t="shared" ref="E22:AR22" si="70">E20-E21</f>
        <v>0</v>
      </c>
      <c r="F22" s="318">
        <f t="shared" si="70"/>
        <v>0</v>
      </c>
      <c r="G22" s="318">
        <f t="shared" si="70"/>
        <v>0</v>
      </c>
      <c r="H22" s="319">
        <f t="shared" si="70"/>
        <v>0</v>
      </c>
      <c r="I22" s="317">
        <f t="shared" si="70"/>
        <v>0</v>
      </c>
      <c r="J22" s="318">
        <f t="shared" si="70"/>
        <v>0</v>
      </c>
      <c r="K22" s="318">
        <f t="shared" si="70"/>
        <v>0</v>
      </c>
      <c r="L22" s="318">
        <f t="shared" si="70"/>
        <v>0</v>
      </c>
      <c r="M22" s="317">
        <f t="shared" si="70"/>
        <v>0</v>
      </c>
      <c r="N22" s="318">
        <f t="shared" si="70"/>
        <v>0</v>
      </c>
      <c r="O22" s="318">
        <f t="shared" si="70"/>
        <v>0</v>
      </c>
      <c r="P22" s="318">
        <f t="shared" si="70"/>
        <v>0</v>
      </c>
      <c r="Q22" s="317">
        <f t="shared" si="70"/>
        <v>0</v>
      </c>
      <c r="R22" s="318">
        <f t="shared" si="70"/>
        <v>0</v>
      </c>
      <c r="S22" s="318">
        <f t="shared" si="70"/>
        <v>0</v>
      </c>
      <c r="T22" s="318">
        <f t="shared" si="70"/>
        <v>0</v>
      </c>
      <c r="U22" s="317">
        <f t="shared" si="70"/>
        <v>0</v>
      </c>
      <c r="V22" s="318">
        <f t="shared" si="70"/>
        <v>0</v>
      </c>
      <c r="W22" s="318">
        <f t="shared" si="70"/>
        <v>0</v>
      </c>
      <c r="X22" s="318">
        <f t="shared" si="70"/>
        <v>0</v>
      </c>
      <c r="Y22" s="317">
        <f t="shared" si="70"/>
        <v>0</v>
      </c>
      <c r="Z22" s="318">
        <f t="shared" si="70"/>
        <v>0</v>
      </c>
      <c r="AA22" s="318">
        <f t="shared" si="70"/>
        <v>0</v>
      </c>
      <c r="AB22" s="318">
        <f t="shared" si="70"/>
        <v>0</v>
      </c>
      <c r="AC22" s="317">
        <f t="shared" ref="AC22" si="71">AC20-AC21</f>
        <v>0</v>
      </c>
      <c r="AD22" s="49">
        <f t="shared" si="70"/>
        <v>0</v>
      </c>
      <c r="AE22" s="49">
        <f t="shared" si="70"/>
        <v>0</v>
      </c>
      <c r="AF22" s="50">
        <f t="shared" si="70"/>
        <v>0</v>
      </c>
      <c r="AG22" s="49">
        <f t="shared" si="70"/>
        <v>0</v>
      </c>
      <c r="AH22" s="49">
        <f t="shared" si="70"/>
        <v>0</v>
      </c>
      <c r="AI22" s="49">
        <f t="shared" si="70"/>
        <v>0</v>
      </c>
      <c r="AJ22" s="49">
        <f t="shared" si="70"/>
        <v>0</v>
      </c>
      <c r="AK22" s="24">
        <f t="shared" si="70"/>
        <v>0</v>
      </c>
      <c r="AL22" s="49">
        <f t="shared" si="70"/>
        <v>0</v>
      </c>
      <c r="AM22" s="49">
        <f t="shared" si="70"/>
        <v>0</v>
      </c>
      <c r="AN22" s="49">
        <f t="shared" si="70"/>
        <v>0</v>
      </c>
      <c r="AO22" s="24">
        <f t="shared" si="70"/>
        <v>0</v>
      </c>
      <c r="AP22" s="49">
        <f t="shared" si="70"/>
        <v>0</v>
      </c>
      <c r="AQ22" s="49">
        <f t="shared" si="70"/>
        <v>0</v>
      </c>
      <c r="AR22" s="50">
        <f t="shared" si="70"/>
        <v>0</v>
      </c>
      <c r="AS22" s="24">
        <f t="shared" ref="AS22" si="72">AS20-AS21</f>
        <v>0</v>
      </c>
      <c r="AT22" s="49">
        <f t="shared" ref="AT22" si="73">AT20-AT21</f>
        <v>0</v>
      </c>
      <c r="AU22" s="49">
        <f t="shared" ref="AU22" si="74">AU20-AU21</f>
        <v>0</v>
      </c>
      <c r="AV22" s="50">
        <f t="shared" ref="AV22" si="75">AV20-AV21</f>
        <v>0</v>
      </c>
      <c r="AW22" s="61"/>
      <c r="AX22" s="389"/>
      <c r="AY22" s="389"/>
      <c r="AZ22" s="389"/>
      <c r="BA22" s="389"/>
      <c r="BB22" s="539"/>
      <c r="BD22" s="391"/>
      <c r="BE22" s="185"/>
      <c r="BF22" s="292"/>
      <c r="BG22" s="292"/>
      <c r="BH22" s="292"/>
      <c r="BI22" s="292"/>
      <c r="BJ22" s="292"/>
      <c r="BK22" s="292"/>
      <c r="BL22" s="292"/>
      <c r="BM22" s="292"/>
      <c r="BN22" s="292"/>
      <c r="BO22" s="292"/>
      <c r="BR22" s="77">
        <f t="shared" si="0"/>
        <v>19</v>
      </c>
    </row>
    <row r="23" spans="1:70" ht="11.25" customHeight="1" outlineLevel="1" x14ac:dyDescent="0.15">
      <c r="B23" s="188" t="str">
        <f>"% Cost of "&amp;A20</f>
        <v>% Cost of Subscription Revenue</v>
      </c>
      <c r="E23" s="114">
        <f t="shared" ref="E23:AB23" si="76">IFERROR(E21/E20,0)</f>
        <v>0</v>
      </c>
      <c r="F23" s="115">
        <f t="shared" si="76"/>
        <v>0</v>
      </c>
      <c r="G23" s="115">
        <f t="shared" si="76"/>
        <v>0</v>
      </c>
      <c r="H23" s="181">
        <f t="shared" si="76"/>
        <v>0</v>
      </c>
      <c r="I23" s="114">
        <f t="shared" si="76"/>
        <v>0</v>
      </c>
      <c r="J23" s="115">
        <f t="shared" si="76"/>
        <v>0</v>
      </c>
      <c r="K23" s="115">
        <f t="shared" si="76"/>
        <v>0</v>
      </c>
      <c r="L23" s="115">
        <f t="shared" si="76"/>
        <v>0</v>
      </c>
      <c r="M23" s="114">
        <f t="shared" si="76"/>
        <v>0</v>
      </c>
      <c r="N23" s="115">
        <f t="shared" si="76"/>
        <v>0</v>
      </c>
      <c r="O23" s="115">
        <f t="shared" si="76"/>
        <v>0</v>
      </c>
      <c r="P23" s="115">
        <f t="shared" si="76"/>
        <v>0</v>
      </c>
      <c r="Q23" s="114">
        <f t="shared" si="76"/>
        <v>0</v>
      </c>
      <c r="R23" s="115">
        <f t="shared" si="76"/>
        <v>0</v>
      </c>
      <c r="S23" s="115">
        <f t="shared" si="76"/>
        <v>0</v>
      </c>
      <c r="T23" s="115">
        <f t="shared" si="76"/>
        <v>0</v>
      </c>
      <c r="U23" s="114">
        <f t="shared" si="76"/>
        <v>0</v>
      </c>
      <c r="V23" s="115">
        <f t="shared" si="76"/>
        <v>0</v>
      </c>
      <c r="W23" s="115">
        <f t="shared" si="76"/>
        <v>0</v>
      </c>
      <c r="X23" s="115">
        <f t="shared" si="76"/>
        <v>0</v>
      </c>
      <c r="Y23" s="114">
        <f t="shared" si="76"/>
        <v>0</v>
      </c>
      <c r="Z23" s="115">
        <f t="shared" si="76"/>
        <v>0</v>
      </c>
      <c r="AA23" s="115">
        <f t="shared" si="76"/>
        <v>0</v>
      </c>
      <c r="AB23" s="115">
        <f t="shared" si="76"/>
        <v>0</v>
      </c>
      <c r="AC23" s="114">
        <f t="shared" ref="AC23" si="77">IFERROR(AC21/AC20,0)</f>
        <v>0</v>
      </c>
      <c r="AD23" s="446">
        <f t="shared" ref="AD23:AF23" si="78">$BK23*AY23</f>
        <v>0</v>
      </c>
      <c r="AE23" s="446">
        <f t="shared" si="78"/>
        <v>0</v>
      </c>
      <c r="AF23" s="447">
        <f t="shared" si="78"/>
        <v>0</v>
      </c>
      <c r="AG23" s="446">
        <f>$BL23*AX23</f>
        <v>0</v>
      </c>
      <c r="AH23" s="446">
        <f t="shared" ref="AH23:AJ23" si="79">$BL23*AY23</f>
        <v>0</v>
      </c>
      <c r="AI23" s="446">
        <f t="shared" si="79"/>
        <v>0</v>
      </c>
      <c r="AJ23" s="447">
        <f t="shared" si="79"/>
        <v>0</v>
      </c>
      <c r="AK23" s="446">
        <f>$BM23*AX23</f>
        <v>0</v>
      </c>
      <c r="AL23" s="446">
        <f t="shared" ref="AL23:AN23" si="80">$BM23*AY23</f>
        <v>0</v>
      </c>
      <c r="AM23" s="446">
        <f t="shared" si="80"/>
        <v>0</v>
      </c>
      <c r="AN23" s="447">
        <f t="shared" si="80"/>
        <v>0</v>
      </c>
      <c r="AO23" s="446">
        <f>$BN23*AX23</f>
        <v>0</v>
      </c>
      <c r="AP23" s="446">
        <f t="shared" ref="AP23:AR23" si="81">$BN23*AY23</f>
        <v>0</v>
      </c>
      <c r="AQ23" s="446">
        <f t="shared" si="81"/>
        <v>0</v>
      </c>
      <c r="AR23" s="447">
        <f t="shared" si="81"/>
        <v>0</v>
      </c>
      <c r="AS23" s="446">
        <f>$BO23*AX23</f>
        <v>0</v>
      </c>
      <c r="AT23" s="446">
        <f t="shared" ref="AT23:AV23" si="82">$BO23*AY23</f>
        <v>0</v>
      </c>
      <c r="AU23" s="446">
        <f t="shared" si="82"/>
        <v>0</v>
      </c>
      <c r="AV23" s="447">
        <f t="shared" si="82"/>
        <v>0</v>
      </c>
      <c r="AW23" s="60"/>
      <c r="AX23" s="528">
        <f>AVERAGE(Q23/($BD23*(1+$BH23)^((AX$6-1)/4)),U23/($BD23*(1+$BH23)^(3/4)*(1+$BI23)^(AX$6/4)),Y23/($BD23*(1+$BH23)^(3/4)*(1+$BI23)*(1+$BJ23)^(AX$6/4)))</f>
        <v>0</v>
      </c>
      <c r="AY23" s="528">
        <f t="shared" ref="AY23" si="83">AVERAGE(R23/($BD23*(1+$BH23)^((AY$6-1)/4)),V23/($BD23*(1+$BH23)^(3/4)*(1+$BI23)^(AY$6/4)),Z23/($BD23*(1+$BH23)^(3/4)*(1+$BI23)*(1+$BJ23)^(AY$6/4)))</f>
        <v>0</v>
      </c>
      <c r="AZ23" s="528">
        <f t="shared" ref="AZ23" si="84">AVERAGE(S23/($BD23*(1+$BH23)^((AZ$6-1)/4)),W23/($BD23*(1+$BH23)^(3/4)*(1+$BI23)^(AZ$6/4)),AA23/($BD23*(1+$BH23)^(3/4)*(1+$BI23)*(1+$BJ23)^(AZ$6/4)))</f>
        <v>0</v>
      </c>
      <c r="BA23" s="528">
        <f t="shared" ref="BA23" si="85">AVERAGE(T23/($BD23*(1+$BH23)^((BA$6-1)/4)),X23/($BD23*(1+$BH23)^(3/4)*(1+$BI23)^(BA$6/4)),AB23/($BD23*(1+$BH23)^(3/4)*(1+$BI23)*(1+$BJ23)^(BA$6/4)))</f>
        <v>0</v>
      </c>
      <c r="BB23" s="538">
        <f>+SUM(AX23:BA23)</f>
        <v>0</v>
      </c>
      <c r="BD23" s="3">
        <v>1</v>
      </c>
      <c r="BE23" s="185" t="str">
        <f>B23</f>
        <v>% Cost of Subscription Revenue</v>
      </c>
      <c r="BF23" s="59">
        <f>IFERROR(SUM(I21:L21)/SUM(I20:L20),0)</f>
        <v>0</v>
      </c>
      <c r="BG23" s="59">
        <f>IFERROR(SUM(M21:P21)/SUM(M20:P20),0)</f>
        <v>0</v>
      </c>
      <c r="BH23" s="59">
        <f>IFERROR(SUM(Q21:T21)/SUM(Q20:T20),0)</f>
        <v>0</v>
      </c>
      <c r="BI23" s="59">
        <f>IFERROR(SUM(U21:X21)/SUM(U20:X20),0)</f>
        <v>0</v>
      </c>
      <c r="BJ23" s="59">
        <f>IFERROR(SUM(Y21:AB21)/SUM(Y20:AB20),0)</f>
        <v>0</v>
      </c>
      <c r="BK23" s="417">
        <f>BJ23</f>
        <v>0</v>
      </c>
      <c r="BL23" s="417">
        <f t="shared" ref="BL23:BO23" si="86">BK23*(1-$BP23)</f>
        <v>0</v>
      </c>
      <c r="BM23" s="417">
        <f t="shared" si="86"/>
        <v>0</v>
      </c>
      <c r="BN23" s="417">
        <f t="shared" si="86"/>
        <v>0</v>
      </c>
      <c r="BO23" s="417">
        <f t="shared" si="86"/>
        <v>0</v>
      </c>
      <c r="BP23" s="417">
        <v>0.05</v>
      </c>
      <c r="BR23" s="77">
        <f t="shared" si="0"/>
        <v>20</v>
      </c>
    </row>
    <row r="24" spans="1:70" ht="11.25" customHeight="1" outlineLevel="1" x14ac:dyDescent="0.15">
      <c r="B24" s="187"/>
      <c r="E24" s="112"/>
      <c r="F24" s="113"/>
      <c r="G24" s="113"/>
      <c r="H24" s="177"/>
      <c r="I24" s="112"/>
      <c r="J24" s="113"/>
      <c r="K24" s="113"/>
      <c r="L24" s="113"/>
      <c r="M24" s="112"/>
      <c r="N24" s="113"/>
      <c r="O24" s="113"/>
      <c r="P24" s="113"/>
      <c r="Q24" s="112"/>
      <c r="R24" s="113"/>
      <c r="S24" s="113"/>
      <c r="T24" s="113"/>
      <c r="U24" s="112"/>
      <c r="V24" s="113"/>
      <c r="W24" s="113"/>
      <c r="X24" s="113"/>
      <c r="Y24" s="112"/>
      <c r="Z24" s="113"/>
      <c r="AA24" s="113"/>
      <c r="AB24" s="113"/>
      <c r="AC24" s="112"/>
      <c r="AD24" s="66"/>
      <c r="AE24" s="66"/>
      <c r="AF24" s="68"/>
      <c r="AG24" s="66"/>
      <c r="AH24" s="66"/>
      <c r="AI24" s="66"/>
      <c r="AJ24" s="68"/>
      <c r="AK24" s="67"/>
      <c r="AL24" s="66"/>
      <c r="AM24" s="66"/>
      <c r="AN24" s="68"/>
      <c r="AO24" s="67"/>
      <c r="AP24" s="66"/>
      <c r="AQ24" s="66"/>
      <c r="AR24" s="68"/>
      <c r="AS24" s="67"/>
      <c r="AT24" s="66"/>
      <c r="AU24" s="66"/>
      <c r="AV24" s="68"/>
      <c r="AW24" s="60"/>
      <c r="AX24" s="389"/>
      <c r="AY24" s="389"/>
      <c r="AZ24" s="389"/>
      <c r="BA24" s="389"/>
      <c r="BB24" s="539"/>
      <c r="BD24" s="2"/>
      <c r="BE24" s="185"/>
      <c r="BR24" s="77"/>
    </row>
    <row r="25" spans="1:70" ht="11.25" customHeight="1" outlineLevel="1" x14ac:dyDescent="0.15">
      <c r="B25" s="188" t="s">
        <v>167</v>
      </c>
      <c r="E25" s="112"/>
      <c r="F25" s="113"/>
      <c r="G25" s="113"/>
      <c r="H25" s="177"/>
      <c r="I25" s="279"/>
      <c r="J25" s="280">
        <f t="shared" ref="J25:AC25" si="87">+J20-I20</f>
        <v>0</v>
      </c>
      <c r="K25" s="280">
        <f t="shared" si="87"/>
        <v>0</v>
      </c>
      <c r="L25" s="280">
        <f t="shared" si="87"/>
        <v>0</v>
      </c>
      <c r="M25" s="334">
        <f t="shared" si="87"/>
        <v>0</v>
      </c>
      <c r="N25" s="280">
        <f t="shared" si="87"/>
        <v>0</v>
      </c>
      <c r="O25" s="280">
        <f t="shared" si="87"/>
        <v>0</v>
      </c>
      <c r="P25" s="280">
        <f t="shared" si="87"/>
        <v>0</v>
      </c>
      <c r="Q25" s="279">
        <f t="shared" si="87"/>
        <v>0</v>
      </c>
      <c r="R25" s="280">
        <f t="shared" si="87"/>
        <v>0</v>
      </c>
      <c r="S25" s="280">
        <f t="shared" si="87"/>
        <v>0</v>
      </c>
      <c r="T25" s="280">
        <f t="shared" si="87"/>
        <v>0</v>
      </c>
      <c r="U25" s="279">
        <f t="shared" si="87"/>
        <v>0</v>
      </c>
      <c r="V25" s="280">
        <f t="shared" si="87"/>
        <v>0</v>
      </c>
      <c r="W25" s="280">
        <f t="shared" si="87"/>
        <v>0</v>
      </c>
      <c r="X25" s="280">
        <f t="shared" si="87"/>
        <v>0</v>
      </c>
      <c r="Y25" s="279">
        <f t="shared" si="87"/>
        <v>0</v>
      </c>
      <c r="Z25" s="280">
        <f t="shared" si="87"/>
        <v>0</v>
      </c>
      <c r="AA25" s="280">
        <f t="shared" si="87"/>
        <v>0</v>
      </c>
      <c r="AB25" s="280">
        <f>+AB20-AA20</f>
        <v>0</v>
      </c>
      <c r="AC25" s="279">
        <f t="shared" si="87"/>
        <v>0</v>
      </c>
      <c r="AD25" s="384">
        <f>($BD25*(1+$BH25)^(3/4))*(1+$BI25)*(1+$BJ25)*(1+$BK25)^(AD$3/4)*AY25</f>
        <v>0</v>
      </c>
      <c r="AE25" s="384">
        <f>($BD25*(1+$BH25)^(3/4))*(1+$BI25)*(1+$BJ25)*(1+$BK25)^(AE$3/4)*AZ25</f>
        <v>0</v>
      </c>
      <c r="AF25" s="383">
        <f>($BD25*(1+$BH25)^(3/4))*(1+$BI25)*(1+$BJ25)*(1+$BK25)^(AF$3/4)*BA25</f>
        <v>0</v>
      </c>
      <c r="AG25" s="384">
        <f>($BD25*(1+$BH25)^(3/4))*(1+$BI25)*(1+$BJ25)*(1+$BK25)*(1+$BL25)^(AG$3/4)*AX25</f>
        <v>0</v>
      </c>
      <c r="AH25" s="384">
        <f>($BD25*(1+$BH25)^(3/4))*(1+$BI25)*(1+$BJ25)*(1+$BK25)*(1+$BL25)^(AH$3/4)*AY25</f>
        <v>0</v>
      </c>
      <c r="AI25" s="384">
        <f>($BD25*(1+$BH25)^(3/4))*(1+$BI25)*(1+$BJ25)*(1+$BK25)*(1+$BL25)^(AI$3/4)*AZ25</f>
        <v>0</v>
      </c>
      <c r="AJ25" s="383">
        <f>($BD25*(1+$BH25)^(3/4))*(1+$BI25)*(1+$BJ25)*(1+$BK25)*(1+$BL25)^(AJ$3/4)*BA25</f>
        <v>0</v>
      </c>
      <c r="AK25" s="384">
        <f>($BD25*(1+$BH25)^(3/4))*(1+$BI25)*(1+$BJ25)*(1+$BK25)*(1+$BL25)*(1+$BM25)^(AK$3/4)*AX25</f>
        <v>0</v>
      </c>
      <c r="AL25" s="384">
        <f>($BD25*(1+$BH25)^(3/4))*(1+$BI25)*(1+$BJ25)*(1+$BK25)*(1+$BL25)*(1+$BM25)^(AL$3/4)*AY25</f>
        <v>0</v>
      </c>
      <c r="AM25" s="384">
        <f>($BD25*(1+$BH25)^(3/4))*(1+$BI25)*(1+$BJ25)*(1+$BK25)*(1+$BL25)*(1+$BM25)^(AM$3/4)*AZ25</f>
        <v>0</v>
      </c>
      <c r="AN25" s="383">
        <f>($BD25*(1+$BH25)^(3/4))*(1+$BI25)*(1+$BJ25)*(1+$BK25)*(1+$BL25)*(1+$BM25)^(AN$3/4)*BA25</f>
        <v>0</v>
      </c>
      <c r="AO25" s="71">
        <f>($BD25*(1+$BH25)^(3/4))*(1+$BI25)*(1+$BJ25)*(1+$BK25)*(1+$BL25)*(1+$BM25)*(1+$BN25)^(AO$3/4)*AX25</f>
        <v>0</v>
      </c>
      <c r="AP25" s="72">
        <f>($BD25*(1+$BH25)^(3/4))*(1+$BI25)*(1+$BJ25)*(1+$BK25)*(1+$BL25)*(1+$BM25)*(1+$BN25)^(AP$3/4)*AY25</f>
        <v>0</v>
      </c>
      <c r="AQ25" s="72">
        <f>($BD25*(1+$BH25)^(3/4))*(1+$BI25)*(1+$BJ25)*(1+$BK25)*(1+$BL25)*(1+$BM25)*(1+$BN25)^(AQ$3/4)*AZ25</f>
        <v>0</v>
      </c>
      <c r="AR25" s="73">
        <f>($BD25*(1+$BH25)^(3/4))*(1+$BI25)*(1+$BJ25)*(1+$BK25)*(1+$BL25)*(1+$BM25)*(1+$BN25)^(AR$3/4)*BA25</f>
        <v>0</v>
      </c>
      <c r="AS25" s="71">
        <f>($BD25*(1+$BH25)^(3/4))*(1+$BI25)*(1+$BJ25)*(1+$BK25)*(1+$BL25)*(1+$BM25)*(1+$BN25)*(1+$BO25)^(AS$3/4)*AX25</f>
        <v>0</v>
      </c>
      <c r="AT25" s="72">
        <f t="shared" ref="AT25:AV25" si="88">($BD25*(1+$BH25)^(3/4))*(1+$BI25)*(1+$BJ25)*(1+$BK25)*(1+$BL25)*(1+$BM25)*(1+$BN25)*(1+$BO25)^(AT$3/4)*AY25</f>
        <v>0</v>
      </c>
      <c r="AU25" s="72">
        <f t="shared" si="88"/>
        <v>0</v>
      </c>
      <c r="AV25" s="73">
        <f t="shared" si="88"/>
        <v>0</v>
      </c>
      <c r="AW25" s="17"/>
      <c r="AX25" s="528">
        <f>AVERAGE(Q25/($BD25*(1+$BH25)^((AX$6-1)/4)),U25/($BD25*(1+$BH25)^(3/4)*(1+$BI25)^(AX$6/4)),Y25/($BD25*(1+$BH25)^(3/4)*(1+$BI25)*(1+$BJ25)^(AX$6/4)))</f>
        <v>0</v>
      </c>
      <c r="AY25" s="528">
        <f t="shared" ref="AY25:BA25" si="89">AVERAGE(R25/($BD25*(1+$BH25)^((AY$6-1)/4)),V25/($BD25*(1+$BH25)^(3/4)*(1+$BI25)^(AY$6/4)),Z25/($BD25*(1+$BH25)^(3/4)*(1+$BI25)*(1+$BJ25)^(AY$6/4)))</f>
        <v>0</v>
      </c>
      <c r="AZ25" s="528">
        <f t="shared" si="89"/>
        <v>0</v>
      </c>
      <c r="BA25" s="528">
        <f t="shared" si="89"/>
        <v>0</v>
      </c>
      <c r="BB25" s="538">
        <f>+SUM(AX25:BA25)</f>
        <v>0</v>
      </c>
      <c r="BC25" s="2"/>
      <c r="BD25" s="3">
        <v>1</v>
      </c>
      <c r="BE25" s="185" t="str">
        <f>"Growth in "&amp;B25</f>
        <v>Growth in Sequential Sub. Rev. Increase</v>
      </c>
      <c r="BF25" s="292"/>
      <c r="BG25" s="59"/>
      <c r="BH25" s="59">
        <f>IFERROR(SUM(Q25:T25)/SUM(M25:P25)-1,0)</f>
        <v>0</v>
      </c>
      <c r="BI25" s="59">
        <f>IFERROR(SUM(U25:X25)/SUM(Q25:T25)-1,0)</f>
        <v>0</v>
      </c>
      <c r="BJ25" s="59">
        <f>IFERROR(SUM(Y25:AB25)/SUM(U25:X25)-1,0)</f>
        <v>0</v>
      </c>
      <c r="BK25" s="207">
        <f>BJ25</f>
        <v>0</v>
      </c>
      <c r="BL25" s="207">
        <f t="shared" ref="BL25:BO25" si="90">BK25*(1-$BP25)</f>
        <v>0</v>
      </c>
      <c r="BM25" s="207">
        <f t="shared" si="90"/>
        <v>0</v>
      </c>
      <c r="BN25" s="207">
        <f t="shared" si="90"/>
        <v>0</v>
      </c>
      <c r="BO25" s="207">
        <f t="shared" si="90"/>
        <v>0</v>
      </c>
      <c r="BP25" s="207">
        <v>0.09</v>
      </c>
      <c r="BR25" s="77">
        <f t="shared" si="0"/>
        <v>22</v>
      </c>
    </row>
    <row r="26" spans="1:70" ht="11.25" customHeight="1" outlineLevel="1" x14ac:dyDescent="0.15">
      <c r="B26" s="188" t="s">
        <v>166</v>
      </c>
      <c r="E26" s="112"/>
      <c r="F26" s="113"/>
      <c r="G26" s="113"/>
      <c r="H26" s="177"/>
      <c r="I26" s="112"/>
      <c r="J26" s="113"/>
      <c r="K26" s="113"/>
      <c r="L26" s="113"/>
      <c r="M26" s="418" t="e">
        <f t="shared" ref="M26:T26" si="91">SUM(J59:M59)/SUM(J25:M25)</f>
        <v>#DIV/0!</v>
      </c>
      <c r="N26" s="338" t="e">
        <f t="shared" si="91"/>
        <v>#DIV/0!</v>
      </c>
      <c r="O26" s="338" t="e">
        <f t="shared" si="91"/>
        <v>#DIV/0!</v>
      </c>
      <c r="P26" s="338" t="e">
        <f t="shared" si="91"/>
        <v>#DIV/0!</v>
      </c>
      <c r="Q26" s="418" t="e">
        <f t="shared" si="91"/>
        <v>#DIV/0!</v>
      </c>
      <c r="R26" s="338" t="e">
        <f t="shared" si="91"/>
        <v>#DIV/0!</v>
      </c>
      <c r="S26" s="338" t="e">
        <f t="shared" si="91"/>
        <v>#DIV/0!</v>
      </c>
      <c r="T26" s="338" t="e">
        <f t="shared" si="91"/>
        <v>#DIV/0!</v>
      </c>
      <c r="U26" s="418" t="e">
        <f>SUM(R59:U59)/SUM(R25:U25)</f>
        <v>#DIV/0!</v>
      </c>
      <c r="V26" s="338" t="e">
        <f t="shared" ref="V26:AV26" si="92">SUM(S59:V59)/SUM(S25:V25)</f>
        <v>#DIV/0!</v>
      </c>
      <c r="W26" s="338" t="e">
        <f t="shared" si="92"/>
        <v>#DIV/0!</v>
      </c>
      <c r="X26" s="338" t="e">
        <f t="shared" si="92"/>
        <v>#DIV/0!</v>
      </c>
      <c r="Y26" s="418" t="e">
        <f t="shared" si="92"/>
        <v>#DIV/0!</v>
      </c>
      <c r="Z26" s="338" t="e">
        <f t="shared" si="92"/>
        <v>#DIV/0!</v>
      </c>
      <c r="AA26" s="338" t="e">
        <f t="shared" si="92"/>
        <v>#DIV/0!</v>
      </c>
      <c r="AB26" s="338" t="e">
        <f t="shared" si="92"/>
        <v>#DIV/0!</v>
      </c>
      <c r="AC26" s="418" t="e">
        <f t="shared" si="92"/>
        <v>#DIV/0!</v>
      </c>
      <c r="AD26" s="421" t="e">
        <f t="shared" si="92"/>
        <v>#DIV/0!</v>
      </c>
      <c r="AE26" s="421" t="e">
        <f t="shared" si="92"/>
        <v>#DIV/0!</v>
      </c>
      <c r="AF26" s="422" t="e">
        <f t="shared" si="92"/>
        <v>#DIV/0!</v>
      </c>
      <c r="AG26" s="421" t="e">
        <f t="shared" si="92"/>
        <v>#DIV/0!</v>
      </c>
      <c r="AH26" s="421" t="e">
        <f t="shared" si="92"/>
        <v>#DIV/0!</v>
      </c>
      <c r="AI26" s="421" t="e">
        <f t="shared" si="92"/>
        <v>#DIV/0!</v>
      </c>
      <c r="AJ26" s="422" t="e">
        <f t="shared" si="92"/>
        <v>#DIV/0!</v>
      </c>
      <c r="AK26" s="421" t="e">
        <f t="shared" si="92"/>
        <v>#DIV/0!</v>
      </c>
      <c r="AL26" s="421" t="e">
        <f t="shared" si="92"/>
        <v>#DIV/0!</v>
      </c>
      <c r="AM26" s="421" t="e">
        <f t="shared" si="92"/>
        <v>#DIV/0!</v>
      </c>
      <c r="AN26" s="422" t="e">
        <f t="shared" si="92"/>
        <v>#DIV/0!</v>
      </c>
      <c r="AO26" s="421" t="e">
        <f t="shared" si="92"/>
        <v>#DIV/0!</v>
      </c>
      <c r="AP26" s="421" t="e">
        <f t="shared" si="92"/>
        <v>#DIV/0!</v>
      </c>
      <c r="AQ26" s="421" t="e">
        <f t="shared" si="92"/>
        <v>#DIV/0!</v>
      </c>
      <c r="AR26" s="422" t="e">
        <f t="shared" si="92"/>
        <v>#DIV/0!</v>
      </c>
      <c r="AS26" s="421" t="e">
        <f t="shared" si="92"/>
        <v>#DIV/0!</v>
      </c>
      <c r="AT26" s="421" t="e">
        <f t="shared" si="92"/>
        <v>#DIV/0!</v>
      </c>
      <c r="AU26" s="421" t="e">
        <f t="shared" si="92"/>
        <v>#DIV/0!</v>
      </c>
      <c r="AV26" s="422" t="e">
        <f t="shared" si="92"/>
        <v>#DIV/0!</v>
      </c>
      <c r="AW26" s="60"/>
      <c r="AX26" s="528" t="e">
        <f>AVERAGE(Q26/($BD26*(1+$BH26)^((AX$6-1)/4)),U26/($BD26*(1+$BH26)^(3/4)*(1+$BI26)^(AX$6/4)),Y26/($BD26*(1+$BH26)^(3/4)*(1+$BI26)*(1+$BJ26)^(AX$6/4)))</f>
        <v>#DIV/0!</v>
      </c>
      <c r="AY26" s="528" t="e">
        <f t="shared" ref="AY26" si="93">AVERAGE(R26/($BD26*(1+$BH26)^((AY$6-1)/4)),V26/($BD26*(1+$BH26)^(3/4)*(1+$BI26)^(AY$6/4)),Z26/($BD26*(1+$BH26)^(3/4)*(1+$BI26)*(1+$BJ26)^(AY$6/4)))</f>
        <v>#DIV/0!</v>
      </c>
      <c r="AZ26" s="528" t="e">
        <f t="shared" ref="AZ26" si="94">AVERAGE(S26/($BD26*(1+$BH26)^((AZ$6-1)/4)),W26/($BD26*(1+$BH26)^(3/4)*(1+$BI26)^(AZ$6/4)),AA26/($BD26*(1+$BH26)^(3/4)*(1+$BI26)*(1+$BJ26)^(AZ$6/4)))</f>
        <v>#DIV/0!</v>
      </c>
      <c r="BA26" s="528" t="e">
        <f t="shared" ref="BA26" si="95">AVERAGE(T26/($BD26*(1+$BH26)^((BA$6-1)/4)),X26/($BD26*(1+$BH26)^(3/4)*(1+$BI26)^(BA$6/4)),AB26/($BD26*(1+$BH26)^(3/4)*(1+$BI26)*(1+$BJ26)^(BA$6/4)))</f>
        <v>#DIV/0!</v>
      </c>
      <c r="BB26" s="538" t="e">
        <f>+SUM(AX26:BA26)</f>
        <v>#DIV/0!</v>
      </c>
      <c r="BC26" s="2"/>
      <c r="BD26" s="3">
        <v>1</v>
      </c>
      <c r="BE26" s="185" t="str">
        <f>"Growth in "&amp;B26</f>
        <v>Growth in Customer Acquistion Cost</v>
      </c>
      <c r="BF26" s="292"/>
      <c r="BG26" s="59"/>
      <c r="BH26" s="59">
        <f>IFERROR(SUM(Q26:T26)/SUM(M26:P26)-1,0)</f>
        <v>0</v>
      </c>
      <c r="BI26" s="59">
        <f>IFERROR(SUM(U26:X26)/SUM(Q26:T26)-1,0)</f>
        <v>0</v>
      </c>
      <c r="BJ26" s="59">
        <f>IFERROR(SUM(Y26:AB26)/SUM(U26:X26)-1,0)</f>
        <v>0</v>
      </c>
      <c r="BK26" s="59">
        <f>IFERROR(SUM(AC26:AF26)/SUM(Y26:AB26)-1,0)</f>
        <v>0</v>
      </c>
      <c r="BL26" s="59">
        <f>IFERROR(SUM(AG26:AJ26)/SUM(AC26:AF26)-1,0)</f>
        <v>0</v>
      </c>
      <c r="BM26" s="59">
        <f>IFERROR(SUM(AK26:AN26)/SUM(AG26:AJ26)-1,0)</f>
        <v>0</v>
      </c>
      <c r="BN26" s="59">
        <f>IFERROR(SUM(AO26:AR26)/SUM(AK26:AN26)-1,0)</f>
        <v>0</v>
      </c>
      <c r="BO26" s="59">
        <f>IFERROR(SUM(AS26:AV26)/SUM(AO26:AR26)-1,0)</f>
        <v>0</v>
      </c>
      <c r="BR26" s="77">
        <f t="shared" si="0"/>
        <v>23</v>
      </c>
    </row>
    <row r="27" spans="1:70" ht="11.25" customHeight="1" outlineLevel="1" x14ac:dyDescent="0.15">
      <c r="B27" s="188" t="s">
        <v>168</v>
      </c>
      <c r="E27" s="112"/>
      <c r="F27" s="113"/>
      <c r="G27" s="113"/>
      <c r="H27" s="177"/>
      <c r="I27" s="112"/>
      <c r="J27" s="113"/>
      <c r="K27" s="113"/>
      <c r="L27" s="113"/>
      <c r="M27" s="112"/>
      <c r="N27" s="113"/>
      <c r="O27" s="113"/>
      <c r="P27" s="113"/>
      <c r="Q27" s="112" t="e">
        <f t="shared" ref="Q27:AR27" si="96">+SUM(N25:Q25)/SUM(J25:M25)-1</f>
        <v>#DIV/0!</v>
      </c>
      <c r="R27" s="113" t="e">
        <f t="shared" si="96"/>
        <v>#DIV/0!</v>
      </c>
      <c r="S27" s="113" t="e">
        <f t="shared" si="96"/>
        <v>#DIV/0!</v>
      </c>
      <c r="T27" s="113" t="e">
        <f t="shared" si="96"/>
        <v>#DIV/0!</v>
      </c>
      <c r="U27" s="112" t="e">
        <f t="shared" si="96"/>
        <v>#DIV/0!</v>
      </c>
      <c r="V27" s="113" t="e">
        <f t="shared" si="96"/>
        <v>#DIV/0!</v>
      </c>
      <c r="W27" s="113" t="e">
        <f t="shared" si="96"/>
        <v>#DIV/0!</v>
      </c>
      <c r="X27" s="113" t="e">
        <f t="shared" si="96"/>
        <v>#DIV/0!</v>
      </c>
      <c r="Y27" s="112" t="e">
        <f t="shared" si="96"/>
        <v>#DIV/0!</v>
      </c>
      <c r="Z27" s="113" t="e">
        <f t="shared" si="96"/>
        <v>#DIV/0!</v>
      </c>
      <c r="AA27" s="113" t="e">
        <f t="shared" si="96"/>
        <v>#DIV/0!</v>
      </c>
      <c r="AB27" s="113" t="e">
        <f t="shared" si="96"/>
        <v>#DIV/0!</v>
      </c>
      <c r="AC27" s="112" t="e">
        <f t="shared" si="96"/>
        <v>#DIV/0!</v>
      </c>
      <c r="AD27" s="66" t="e">
        <f t="shared" si="96"/>
        <v>#DIV/0!</v>
      </c>
      <c r="AE27" s="66" t="e">
        <f t="shared" si="96"/>
        <v>#DIV/0!</v>
      </c>
      <c r="AF27" s="68" t="e">
        <f t="shared" si="96"/>
        <v>#DIV/0!</v>
      </c>
      <c r="AG27" s="66" t="e">
        <f t="shared" si="96"/>
        <v>#DIV/0!</v>
      </c>
      <c r="AH27" s="66" t="e">
        <f t="shared" si="96"/>
        <v>#DIV/0!</v>
      </c>
      <c r="AI27" s="66" t="e">
        <f t="shared" si="96"/>
        <v>#DIV/0!</v>
      </c>
      <c r="AJ27" s="68" t="e">
        <f t="shared" si="96"/>
        <v>#DIV/0!</v>
      </c>
      <c r="AK27" s="67" t="e">
        <f t="shared" si="96"/>
        <v>#DIV/0!</v>
      </c>
      <c r="AL27" s="66" t="e">
        <f t="shared" si="96"/>
        <v>#DIV/0!</v>
      </c>
      <c r="AM27" s="66" t="e">
        <f t="shared" si="96"/>
        <v>#DIV/0!</v>
      </c>
      <c r="AN27" s="68" t="e">
        <f t="shared" si="96"/>
        <v>#DIV/0!</v>
      </c>
      <c r="AO27" s="67" t="e">
        <f t="shared" si="96"/>
        <v>#DIV/0!</v>
      </c>
      <c r="AP27" s="66" t="e">
        <f t="shared" si="96"/>
        <v>#DIV/0!</v>
      </c>
      <c r="AQ27" s="66" t="e">
        <f t="shared" si="96"/>
        <v>#DIV/0!</v>
      </c>
      <c r="AR27" s="68" t="e">
        <f t="shared" si="96"/>
        <v>#DIV/0!</v>
      </c>
      <c r="AS27" s="67" t="e">
        <f t="shared" ref="AS27" si="97">+SUM(AP25:AS25)/SUM(AL25:AO25)-1</f>
        <v>#DIV/0!</v>
      </c>
      <c r="AT27" s="66" t="e">
        <f t="shared" ref="AT27" si="98">+SUM(AQ25:AT25)/SUM(AM25:AP25)-1</f>
        <v>#DIV/0!</v>
      </c>
      <c r="AU27" s="66" t="e">
        <f t="shared" ref="AU27" si="99">+SUM(AR25:AU25)/SUM(AN25:AQ25)-1</f>
        <v>#DIV/0!</v>
      </c>
      <c r="AV27" s="68" t="e">
        <f t="shared" ref="AV27" si="100">+SUM(AS25:AV25)/SUM(AO25:AR25)-1</f>
        <v>#DIV/0!</v>
      </c>
      <c r="AW27" s="60"/>
      <c r="AX27" s="389"/>
      <c r="AY27" s="389"/>
      <c r="AZ27" s="389"/>
      <c r="BA27" s="389"/>
      <c r="BB27" s="539"/>
      <c r="BD27" s="3"/>
      <c r="BE27" s="185"/>
      <c r="BR27" s="77">
        <f t="shared" si="0"/>
        <v>24</v>
      </c>
    </row>
    <row r="28" spans="1:70" ht="11.25" customHeight="1" outlineLevel="1" x14ac:dyDescent="0.15">
      <c r="B28" s="188"/>
      <c r="E28" s="112"/>
      <c r="F28" s="113"/>
      <c r="G28" s="113"/>
      <c r="H28" s="177"/>
      <c r="I28" s="112"/>
      <c r="J28" s="113"/>
      <c r="K28" s="113"/>
      <c r="L28" s="113"/>
      <c r="M28" s="112"/>
      <c r="N28" s="113"/>
      <c r="O28" s="113"/>
      <c r="P28" s="113"/>
      <c r="Q28" s="112"/>
      <c r="R28" s="113"/>
      <c r="S28" s="113"/>
      <c r="T28" s="113"/>
      <c r="U28" s="112"/>
      <c r="V28" s="113"/>
      <c r="W28" s="113"/>
      <c r="X28" s="113"/>
      <c r="Y28" s="112"/>
      <c r="Z28" s="113"/>
      <c r="AA28" s="113"/>
      <c r="AB28" s="113"/>
      <c r="AC28" s="112"/>
      <c r="AD28" s="66"/>
      <c r="AE28" s="66"/>
      <c r="AF28" s="68"/>
      <c r="AG28" s="66"/>
      <c r="AH28" s="66"/>
      <c r="AI28" s="66"/>
      <c r="AJ28" s="68"/>
      <c r="AK28" s="67"/>
      <c r="AL28" s="66"/>
      <c r="AM28" s="66"/>
      <c r="AN28" s="68"/>
      <c r="AO28" s="67"/>
      <c r="AP28" s="66"/>
      <c r="AQ28" s="66"/>
      <c r="AR28" s="68"/>
      <c r="AS28" s="67"/>
      <c r="AT28" s="66"/>
      <c r="AU28" s="66"/>
      <c r="AV28" s="68"/>
      <c r="AW28" s="60"/>
      <c r="AX28" s="389"/>
      <c r="AY28" s="389"/>
      <c r="AZ28" s="389"/>
      <c r="BA28" s="389"/>
      <c r="BB28" s="539"/>
      <c r="BC28" s="2"/>
      <c r="BD28" s="3"/>
      <c r="BE28" s="185"/>
      <c r="BF28" s="292"/>
      <c r="BG28" s="292"/>
      <c r="BH28" s="292"/>
      <c r="BI28" s="292"/>
      <c r="BJ28" s="292"/>
      <c r="BK28" s="292"/>
      <c r="BL28" s="292"/>
      <c r="BM28" s="292"/>
      <c r="BN28" s="292"/>
      <c r="BO28" s="292"/>
      <c r="BR28" s="77">
        <f t="shared" si="0"/>
        <v>25</v>
      </c>
    </row>
    <row r="29" spans="1:70" ht="11.25" customHeight="1" collapsed="1" x14ac:dyDescent="0.15">
      <c r="A29" s="310" t="str">
        <f>Reported!A11&amp;" Revenue"</f>
        <v>Services Revenue</v>
      </c>
      <c r="B29" s="187"/>
      <c r="E29" s="105">
        <f>Reported!C11</f>
        <v>0</v>
      </c>
      <c r="F29" s="106">
        <f>Reported!D11</f>
        <v>0</v>
      </c>
      <c r="G29" s="106">
        <f>Reported!E11</f>
        <v>0</v>
      </c>
      <c r="H29" s="107">
        <f>Reported!F11</f>
        <v>0</v>
      </c>
      <c r="I29" s="105">
        <f>Reported!G11</f>
        <v>0</v>
      </c>
      <c r="J29" s="106">
        <f>Reported!H11</f>
        <v>0</v>
      </c>
      <c r="K29" s="106">
        <f>Reported!I11</f>
        <v>0</v>
      </c>
      <c r="L29" s="106">
        <f>Reported!J11</f>
        <v>0</v>
      </c>
      <c r="M29" s="105">
        <f>Reported!K11</f>
        <v>0</v>
      </c>
      <c r="N29" s="106">
        <f>Reported!L11</f>
        <v>0</v>
      </c>
      <c r="O29" s="106">
        <f>Reported!M11</f>
        <v>0</v>
      </c>
      <c r="P29" s="106">
        <f>Reported!N11</f>
        <v>0</v>
      </c>
      <c r="Q29" s="105">
        <f>Reported!O11</f>
        <v>0</v>
      </c>
      <c r="R29" s="106">
        <f>Reported!P11</f>
        <v>0</v>
      </c>
      <c r="S29" s="106">
        <f>Reported!Q11</f>
        <v>0</v>
      </c>
      <c r="T29" s="106">
        <f>Reported!R11</f>
        <v>0</v>
      </c>
      <c r="U29" s="105">
        <f>Reported!S11</f>
        <v>0</v>
      </c>
      <c r="V29" s="106">
        <f>Reported!T11</f>
        <v>0</v>
      </c>
      <c r="W29" s="106">
        <f>Reported!U11</f>
        <v>0</v>
      </c>
      <c r="X29" s="106">
        <f>Reported!V11</f>
        <v>0</v>
      </c>
      <c r="Y29" s="105">
        <f>Reported!W11</f>
        <v>0</v>
      </c>
      <c r="Z29" s="106">
        <f>Reported!X11</f>
        <v>0</v>
      </c>
      <c r="AA29" s="106">
        <f>Reported!Y11</f>
        <v>0</v>
      </c>
      <c r="AB29" s="106">
        <f>Reported!Z11</f>
        <v>0</v>
      </c>
      <c r="AC29" s="105">
        <f>Reported!AA11</f>
        <v>0</v>
      </c>
      <c r="AD29" s="72">
        <f>IFERROR((SUM(Z29:AC29)*(1+$BK29))*AY29/4,0)</f>
        <v>0</v>
      </c>
      <c r="AE29" s="72">
        <f>IFERROR((SUM(AA29:AD29)*(1+$BK29))*AZ29/4,0)</f>
        <v>0</v>
      </c>
      <c r="AF29" s="73">
        <f>IFERROR((SUM(AB29:AE29)*(1+$BK29))*BA29/4,0)</f>
        <v>0</v>
      </c>
      <c r="AG29" s="72">
        <f>IFERROR((SUM(AC29:AF29)*(1+$BL29))*AX29/4,0)</f>
        <v>0</v>
      </c>
      <c r="AH29" s="72">
        <f>IFERROR((SUM(AD29:AG29)*(1+$BL29))*AY29/4,0)</f>
        <v>0</v>
      </c>
      <c r="AI29" s="72">
        <f>IFERROR((SUM(AE29:AH29)*(1+$BL29))*AZ29/4,0)</f>
        <v>0</v>
      </c>
      <c r="AJ29" s="73">
        <f>IFERROR((SUM(AF29:AI29)*(1+$BL29))*BA29/4,0)</f>
        <v>0</v>
      </c>
      <c r="AK29" s="71">
        <f>IFERROR((SUM(AG29:AJ29)*(1+$BM29))*AX29/4,0)</f>
        <v>0</v>
      </c>
      <c r="AL29" s="72">
        <f>IFERROR((SUM(AH29:AK29)*(1+$BM29))*AY29/4,0)</f>
        <v>0</v>
      </c>
      <c r="AM29" s="72">
        <f>IFERROR((SUM(AI29:AL29)*(1+$BM29))*AZ29/4,0)</f>
        <v>0</v>
      </c>
      <c r="AN29" s="73">
        <f>IFERROR((SUM(AJ29:AM29)*(1+$BM29))*BA29/4,0)</f>
        <v>0</v>
      </c>
      <c r="AO29" s="71">
        <f t="shared" ref="AO29:AV29" si="101">IFERROR((SUM(AK29:AN29)*(1+$BN29))*AX29/4,0)</f>
        <v>0</v>
      </c>
      <c r="AP29" s="72">
        <f t="shared" si="101"/>
        <v>0</v>
      </c>
      <c r="AQ29" s="72">
        <f t="shared" si="101"/>
        <v>0</v>
      </c>
      <c r="AR29" s="73">
        <f t="shared" si="101"/>
        <v>0</v>
      </c>
      <c r="AS29" s="71">
        <f t="shared" si="101"/>
        <v>0</v>
      </c>
      <c r="AT29" s="72">
        <f t="shared" si="101"/>
        <v>0</v>
      </c>
      <c r="AU29" s="72">
        <f t="shared" si="101"/>
        <v>0</v>
      </c>
      <c r="AV29" s="73">
        <f t="shared" si="101"/>
        <v>0</v>
      </c>
      <c r="AW29" s="17"/>
      <c r="AX29" s="528">
        <f>AVERAGE(Q29/($BD29*(1+$BH29)^((AX$6-1)/4)),U29/($BD29*(1+$BH29)^(3/4)*(1+$BI29)^(AX$6/4)),Y29/($BD29*(1+$BH29)^(3/4)*(1+$BI29)*(1+$BJ29)^(AX$6/4)))</f>
        <v>0</v>
      </c>
      <c r="AY29" s="528">
        <f t="shared" ref="AY29" si="102">AVERAGE(R29/($BD29*(1+$BH29)^((AY$6-1)/4)),V29/($BD29*(1+$BH29)^(3/4)*(1+$BI29)^(AY$6/4)),Z29/($BD29*(1+$BH29)^(3/4)*(1+$BI29)*(1+$BJ29)^(AY$6/4)))</f>
        <v>0</v>
      </c>
      <c r="AZ29" s="528">
        <f t="shared" ref="AZ29" si="103">AVERAGE(S29/($BD29*(1+$BH29)^((AZ$6-1)/4)),W29/($BD29*(1+$BH29)^(3/4)*(1+$BI29)^(AZ$6/4)),AA29/($BD29*(1+$BH29)^(3/4)*(1+$BI29)*(1+$BJ29)^(AZ$6/4)))</f>
        <v>0</v>
      </c>
      <c r="BA29" s="528">
        <f t="shared" ref="BA29" si="104">AVERAGE(T29/($BD29*(1+$BH29)^((BA$6-1)/4)),X29/($BD29*(1+$BH29)^(3/4)*(1+$BI29)^(BA$6/4)),AB29/($BD29*(1+$BH29)^(3/4)*(1+$BI29)*(1+$BJ29)^(BA$6/4)))</f>
        <v>0</v>
      </c>
      <c r="BB29" s="538">
        <f>+SUM(AX29:BA29)</f>
        <v>0</v>
      </c>
      <c r="BC29" s="2"/>
      <c r="BD29" s="3">
        <v>1</v>
      </c>
      <c r="BE29" s="185" t="str">
        <f>"Growth in "&amp;A29</f>
        <v>Growth in Services Revenue</v>
      </c>
      <c r="BF29" s="59">
        <f>IFERROR(SUM(I29:L29)/SUM(E29:H29)-1,0)</f>
        <v>0</v>
      </c>
      <c r="BG29" s="59">
        <f>IFERROR(SUM(M29:P29)/SUM(I29:L29)-1,0)</f>
        <v>0</v>
      </c>
      <c r="BH29" s="59">
        <f>IFERROR(SUM(Q29:T29)/SUM(M29:P29)-1,0)</f>
        <v>0</v>
      </c>
      <c r="BI29" s="330">
        <f>IFERROR(SUM(U29:X29)/SUM(Q29:T29)-1,0)</f>
        <v>0</v>
      </c>
      <c r="BJ29" s="330">
        <f>IFERROR(SUM(Y29:AB29)/SUM(U29:X29)-1,0)</f>
        <v>0</v>
      </c>
      <c r="BK29" s="207">
        <v>0</v>
      </c>
      <c r="BL29" s="207">
        <v>0</v>
      </c>
      <c r="BM29" s="207">
        <v>0</v>
      </c>
      <c r="BN29" s="207">
        <v>0</v>
      </c>
      <c r="BO29" s="207">
        <v>0</v>
      </c>
      <c r="BR29" s="77">
        <f t="shared" si="0"/>
        <v>26</v>
      </c>
    </row>
    <row r="30" spans="1:70" ht="11.25" hidden="1" customHeight="1" outlineLevel="1" x14ac:dyDescent="0.25">
      <c r="B30" s="188" t="str">
        <f>"Cost of "&amp;A29</f>
        <v>Cost of Services Revenue</v>
      </c>
      <c r="E30" s="108">
        <f>Reported!C20</f>
        <v>0</v>
      </c>
      <c r="F30" s="109">
        <f>Reported!D20</f>
        <v>0</v>
      </c>
      <c r="G30" s="109">
        <f>Reported!E20</f>
        <v>0</v>
      </c>
      <c r="H30" s="175">
        <f>Reported!F20</f>
        <v>0</v>
      </c>
      <c r="I30" s="108">
        <f>Reported!G20</f>
        <v>0</v>
      </c>
      <c r="J30" s="109">
        <f>Reported!H20</f>
        <v>0</v>
      </c>
      <c r="K30" s="109">
        <f>Reported!I20</f>
        <v>0</v>
      </c>
      <c r="L30" s="109">
        <f>Reported!J20</f>
        <v>0</v>
      </c>
      <c r="M30" s="108">
        <f>Reported!K20</f>
        <v>0</v>
      </c>
      <c r="N30" s="109">
        <f>Reported!L20</f>
        <v>0</v>
      </c>
      <c r="O30" s="109">
        <f>Reported!M20</f>
        <v>0</v>
      </c>
      <c r="P30" s="109">
        <f>Reported!N20</f>
        <v>0</v>
      </c>
      <c r="Q30" s="108">
        <f>Reported!O20</f>
        <v>0</v>
      </c>
      <c r="R30" s="109">
        <f>Reported!P20</f>
        <v>0</v>
      </c>
      <c r="S30" s="109">
        <f>Reported!Q20</f>
        <v>0</v>
      </c>
      <c r="T30" s="109">
        <f>Reported!R20</f>
        <v>0</v>
      </c>
      <c r="U30" s="108">
        <f>Reported!S20</f>
        <v>0</v>
      </c>
      <c r="V30" s="109">
        <f>Reported!T20</f>
        <v>0</v>
      </c>
      <c r="W30" s="109">
        <f>Reported!U20</f>
        <v>0</v>
      </c>
      <c r="X30" s="109">
        <f>Reported!V20</f>
        <v>0</v>
      </c>
      <c r="Y30" s="108">
        <f>Reported!W20</f>
        <v>0</v>
      </c>
      <c r="Z30" s="109">
        <f>Reported!X20</f>
        <v>0</v>
      </c>
      <c r="AA30" s="109">
        <f>Reported!Y20</f>
        <v>0</v>
      </c>
      <c r="AB30" s="109">
        <f>Reported!Z20</f>
        <v>0</v>
      </c>
      <c r="AC30" s="108">
        <f>Reported!AA20</f>
        <v>0</v>
      </c>
      <c r="AD30" s="75">
        <f t="shared" ref="AD30:AR30" si="105">AD29*AD32</f>
        <v>0</v>
      </c>
      <c r="AE30" s="75">
        <f t="shared" si="105"/>
        <v>0</v>
      </c>
      <c r="AF30" s="76">
        <f t="shared" si="105"/>
        <v>0</v>
      </c>
      <c r="AG30" s="75">
        <f t="shared" si="105"/>
        <v>0</v>
      </c>
      <c r="AH30" s="75">
        <f t="shared" si="105"/>
        <v>0</v>
      </c>
      <c r="AI30" s="75">
        <f t="shared" si="105"/>
        <v>0</v>
      </c>
      <c r="AJ30" s="76">
        <f t="shared" si="105"/>
        <v>0</v>
      </c>
      <c r="AK30" s="74">
        <f t="shared" si="105"/>
        <v>0</v>
      </c>
      <c r="AL30" s="75">
        <f t="shared" si="105"/>
        <v>0</v>
      </c>
      <c r="AM30" s="75">
        <f t="shared" si="105"/>
        <v>0</v>
      </c>
      <c r="AN30" s="76">
        <f t="shared" si="105"/>
        <v>0</v>
      </c>
      <c r="AO30" s="74">
        <f t="shared" si="105"/>
        <v>0</v>
      </c>
      <c r="AP30" s="75">
        <f t="shared" si="105"/>
        <v>0</v>
      </c>
      <c r="AQ30" s="75">
        <f t="shared" si="105"/>
        <v>0</v>
      </c>
      <c r="AR30" s="76">
        <f t="shared" si="105"/>
        <v>0</v>
      </c>
      <c r="AS30" s="74">
        <f t="shared" ref="AS30" si="106">AS29*AS32</f>
        <v>0</v>
      </c>
      <c r="AT30" s="75">
        <f t="shared" ref="AT30" si="107">AT29*AT32</f>
        <v>0</v>
      </c>
      <c r="AU30" s="75">
        <f t="shared" ref="AU30" si="108">AU29*AU32</f>
        <v>0</v>
      </c>
      <c r="AV30" s="76">
        <f t="shared" ref="AV30" si="109">AV29*AV32</f>
        <v>0</v>
      </c>
      <c r="AW30" s="61"/>
      <c r="AX30" s="389"/>
      <c r="AY30" s="389"/>
      <c r="AZ30" s="389"/>
      <c r="BA30" s="389"/>
      <c r="BB30" s="539"/>
      <c r="BD30" s="3"/>
      <c r="BE30" s="185" t="str">
        <f>"Growth in "&amp;B30</f>
        <v>Growth in Cost of Services Revenue</v>
      </c>
      <c r="BF30" s="59">
        <f>IFERROR(SUM(I30:L30)/SUM(E30:H30)-1,0)</f>
        <v>0</v>
      </c>
      <c r="BG30" s="59">
        <f>IFERROR(SUM(M30:P30)/SUM(I30:L30)-1,0)</f>
        <v>0</v>
      </c>
      <c r="BH30" s="59">
        <f>IFERROR(SUM(Q30:T30)/SUM(M30:P30)-1,0)</f>
        <v>0</v>
      </c>
      <c r="BI30" s="59">
        <f>IFERROR(SUM(U30:X30)/SUM(Q30:T30)-1,0)</f>
        <v>0</v>
      </c>
      <c r="BJ30" s="59">
        <f>IFERROR(SUM(Y30:AB30)/SUM(U30:X30)-1,0)</f>
        <v>0</v>
      </c>
      <c r="BK30" s="59">
        <f>IFERROR(SUM(AC30:AF30)/SUM(Y30:AB30)-1,0)</f>
        <v>0</v>
      </c>
      <c r="BL30" s="59">
        <f>IFERROR(SUM(AG30:AJ30)/SUM(AC30:AF30)-1,0)</f>
        <v>0</v>
      </c>
      <c r="BM30" s="59">
        <f>IFERROR(SUM(AK30:AN30)/SUM(AG30:AJ30)-1,0)</f>
        <v>0</v>
      </c>
      <c r="BN30" s="59">
        <f>IFERROR(SUM(AO30:AR30)/SUM(AK30:AN30)-1,0)</f>
        <v>0</v>
      </c>
      <c r="BO30" s="59">
        <f>IFERROR(SUM(AP30:AS30)/SUM(AL30:AO30)-1,0)</f>
        <v>0</v>
      </c>
      <c r="BR30" s="77">
        <f t="shared" si="0"/>
        <v>27</v>
      </c>
    </row>
    <row r="31" spans="1:70" ht="11.25" hidden="1" customHeight="1" outlineLevel="1" x14ac:dyDescent="0.15">
      <c r="B31" s="188" t="str">
        <f>A29&amp;" Margin"</f>
        <v>Services Revenue Margin</v>
      </c>
      <c r="E31" s="317">
        <f>E29-E30</f>
        <v>0</v>
      </c>
      <c r="F31" s="318">
        <f t="shared" ref="F31" si="110">F29-F30</f>
        <v>0</v>
      </c>
      <c r="G31" s="318">
        <f t="shared" ref="G31" si="111">G29-G30</f>
        <v>0</v>
      </c>
      <c r="H31" s="319">
        <f t="shared" ref="H31" si="112">H29-H30</f>
        <v>0</v>
      </c>
      <c r="I31" s="317">
        <f t="shared" ref="I31" si="113">I29-I30</f>
        <v>0</v>
      </c>
      <c r="J31" s="318">
        <f t="shared" ref="J31" si="114">J29-J30</f>
        <v>0</v>
      </c>
      <c r="K31" s="318">
        <f t="shared" ref="K31" si="115">K29-K30</f>
        <v>0</v>
      </c>
      <c r="L31" s="318">
        <f t="shared" ref="L31" si="116">L29-L30</f>
        <v>0</v>
      </c>
      <c r="M31" s="317">
        <f t="shared" ref="M31" si="117">M29-M30</f>
        <v>0</v>
      </c>
      <c r="N31" s="318">
        <f t="shared" ref="N31" si="118">N29-N30</f>
        <v>0</v>
      </c>
      <c r="O31" s="318">
        <f t="shared" ref="O31" si="119">O29-O30</f>
        <v>0</v>
      </c>
      <c r="P31" s="318">
        <f t="shared" ref="P31" si="120">P29-P30</f>
        <v>0</v>
      </c>
      <c r="Q31" s="317">
        <f t="shared" ref="Q31" si="121">Q29-Q30</f>
        <v>0</v>
      </c>
      <c r="R31" s="318">
        <f t="shared" ref="R31" si="122">R29-R30</f>
        <v>0</v>
      </c>
      <c r="S31" s="318">
        <f t="shared" ref="S31" si="123">S29-S30</f>
        <v>0</v>
      </c>
      <c r="T31" s="318">
        <f t="shared" ref="T31" si="124">T29-T30</f>
        <v>0</v>
      </c>
      <c r="U31" s="317">
        <f t="shared" ref="U31" si="125">U29-U30</f>
        <v>0</v>
      </c>
      <c r="V31" s="318">
        <f t="shared" ref="V31" si="126">V29-V30</f>
        <v>0</v>
      </c>
      <c r="W31" s="318">
        <f t="shared" ref="W31" si="127">W29-W30</f>
        <v>0</v>
      </c>
      <c r="X31" s="318">
        <f t="shared" ref="X31" si="128">X29-X30</f>
        <v>0</v>
      </c>
      <c r="Y31" s="317">
        <f t="shared" ref="Y31" si="129">Y29-Y30</f>
        <v>0</v>
      </c>
      <c r="Z31" s="318">
        <f t="shared" ref="Z31" si="130">Z29-Z30</f>
        <v>0</v>
      </c>
      <c r="AA31" s="318">
        <f t="shared" ref="AA31" si="131">AA29-AA30</f>
        <v>0</v>
      </c>
      <c r="AB31" s="318">
        <f t="shared" ref="AB31:AC31" si="132">AB29-AB30</f>
        <v>0</v>
      </c>
      <c r="AC31" s="317">
        <f t="shared" si="132"/>
        <v>0</v>
      </c>
      <c r="AD31" s="49">
        <f t="shared" ref="AD31" si="133">AD29-AD30</f>
        <v>0</v>
      </c>
      <c r="AE31" s="49">
        <f t="shared" ref="AE31" si="134">AE29-AE30</f>
        <v>0</v>
      </c>
      <c r="AF31" s="50">
        <f t="shared" ref="AF31" si="135">AF29-AF30</f>
        <v>0</v>
      </c>
      <c r="AG31" s="49">
        <f t="shared" ref="AG31" si="136">AG29-AG30</f>
        <v>0</v>
      </c>
      <c r="AH31" s="49">
        <f t="shared" ref="AH31" si="137">AH29-AH30</f>
        <v>0</v>
      </c>
      <c r="AI31" s="49">
        <f t="shared" ref="AI31" si="138">AI29-AI30</f>
        <v>0</v>
      </c>
      <c r="AJ31" s="49">
        <f t="shared" ref="AJ31" si="139">AJ29-AJ30</f>
        <v>0</v>
      </c>
      <c r="AK31" s="24">
        <f t="shared" ref="AK31" si="140">AK29-AK30</f>
        <v>0</v>
      </c>
      <c r="AL31" s="49">
        <f t="shared" ref="AL31" si="141">AL29-AL30</f>
        <v>0</v>
      </c>
      <c r="AM31" s="49">
        <f t="shared" ref="AM31" si="142">AM29-AM30</f>
        <v>0</v>
      </c>
      <c r="AN31" s="49">
        <f t="shared" ref="AN31" si="143">AN29-AN30</f>
        <v>0</v>
      </c>
      <c r="AO31" s="24">
        <f t="shared" ref="AO31" si="144">AO29-AO30</f>
        <v>0</v>
      </c>
      <c r="AP31" s="49">
        <f t="shared" ref="AP31" si="145">AP29-AP30</f>
        <v>0</v>
      </c>
      <c r="AQ31" s="49">
        <f t="shared" ref="AQ31" si="146">AQ29-AQ30</f>
        <v>0</v>
      </c>
      <c r="AR31" s="50">
        <f t="shared" ref="AR31:AU31" si="147">AR29-AR30</f>
        <v>0</v>
      </c>
      <c r="AS31" s="24">
        <f t="shared" si="147"/>
        <v>0</v>
      </c>
      <c r="AT31" s="49">
        <f t="shared" si="147"/>
        <v>0</v>
      </c>
      <c r="AU31" s="49">
        <f t="shared" si="147"/>
        <v>0</v>
      </c>
      <c r="AV31" s="50">
        <f t="shared" ref="AV31" si="148">AV29-AV30</f>
        <v>0</v>
      </c>
      <c r="AW31" s="61"/>
      <c r="AX31" s="389"/>
      <c r="AY31" s="389"/>
      <c r="AZ31" s="389"/>
      <c r="BA31" s="389"/>
      <c r="BB31" s="539"/>
      <c r="BD31" s="3"/>
      <c r="BE31" s="185"/>
      <c r="BF31" s="292"/>
      <c r="BG31" s="292"/>
      <c r="BH31" s="292"/>
      <c r="BI31" s="292"/>
      <c r="BJ31" s="292"/>
      <c r="BK31" s="292"/>
      <c r="BL31" s="292"/>
      <c r="BM31" s="292"/>
      <c r="BN31" s="292"/>
      <c r="BO31" s="292"/>
      <c r="BR31" s="77">
        <f t="shared" si="0"/>
        <v>28</v>
      </c>
    </row>
    <row r="32" spans="1:70" ht="11.25" hidden="1" customHeight="1" outlineLevel="1" x14ac:dyDescent="0.15">
      <c r="B32" s="188" t="str">
        <f>"% Cost of "&amp;A29</f>
        <v>% Cost of Services Revenue</v>
      </c>
      <c r="E32" s="112">
        <f t="shared" ref="E32:AB32" si="149">IFERROR(E30/E29,0)</f>
        <v>0</v>
      </c>
      <c r="F32" s="113">
        <f t="shared" si="149"/>
        <v>0</v>
      </c>
      <c r="G32" s="113">
        <f t="shared" si="149"/>
        <v>0</v>
      </c>
      <c r="H32" s="177">
        <f t="shared" si="149"/>
        <v>0</v>
      </c>
      <c r="I32" s="112">
        <f t="shared" si="149"/>
        <v>0</v>
      </c>
      <c r="J32" s="113">
        <f t="shared" si="149"/>
        <v>0</v>
      </c>
      <c r="K32" s="113">
        <f t="shared" si="149"/>
        <v>0</v>
      </c>
      <c r="L32" s="113">
        <f t="shared" si="149"/>
        <v>0</v>
      </c>
      <c r="M32" s="112">
        <f t="shared" si="149"/>
        <v>0</v>
      </c>
      <c r="N32" s="113">
        <f t="shared" si="149"/>
        <v>0</v>
      </c>
      <c r="O32" s="113">
        <f t="shared" si="149"/>
        <v>0</v>
      </c>
      <c r="P32" s="113">
        <f t="shared" si="149"/>
        <v>0</v>
      </c>
      <c r="Q32" s="112">
        <f t="shared" si="149"/>
        <v>0</v>
      </c>
      <c r="R32" s="113">
        <f t="shared" si="149"/>
        <v>0</v>
      </c>
      <c r="S32" s="113">
        <f t="shared" si="149"/>
        <v>0</v>
      </c>
      <c r="T32" s="113">
        <f t="shared" si="149"/>
        <v>0</v>
      </c>
      <c r="U32" s="112">
        <f t="shared" si="149"/>
        <v>0</v>
      </c>
      <c r="V32" s="113">
        <f t="shared" si="149"/>
        <v>0</v>
      </c>
      <c r="W32" s="113">
        <f t="shared" si="149"/>
        <v>0</v>
      </c>
      <c r="X32" s="113">
        <f t="shared" si="149"/>
        <v>0</v>
      </c>
      <c r="Y32" s="112">
        <f t="shared" si="149"/>
        <v>0</v>
      </c>
      <c r="Z32" s="113">
        <f t="shared" si="149"/>
        <v>0</v>
      </c>
      <c r="AA32" s="113">
        <f t="shared" si="149"/>
        <v>0</v>
      </c>
      <c r="AB32" s="113">
        <f t="shared" si="149"/>
        <v>0</v>
      </c>
      <c r="AC32" s="112">
        <f t="shared" ref="AC32" si="150">IFERROR(AC30/AC29,0)</f>
        <v>0</v>
      </c>
      <c r="AD32" s="78">
        <f>$BK32</f>
        <v>0</v>
      </c>
      <c r="AE32" s="78">
        <f>$BK32</f>
        <v>0</v>
      </c>
      <c r="AF32" s="80">
        <f>$BK32</f>
        <v>0</v>
      </c>
      <c r="AG32" s="78">
        <f>$BL32</f>
        <v>0</v>
      </c>
      <c r="AH32" s="78">
        <f>$BL32</f>
        <v>0</v>
      </c>
      <c r="AI32" s="78">
        <f>$BL32</f>
        <v>0</v>
      </c>
      <c r="AJ32" s="80">
        <f>$BL32</f>
        <v>0</v>
      </c>
      <c r="AK32" s="79">
        <f>$BM32</f>
        <v>0</v>
      </c>
      <c r="AL32" s="78">
        <f>$BM32</f>
        <v>0</v>
      </c>
      <c r="AM32" s="78">
        <f>$BM32</f>
        <v>0</v>
      </c>
      <c r="AN32" s="80">
        <f>$BM32</f>
        <v>0</v>
      </c>
      <c r="AO32" s="79">
        <f t="shared" ref="AO32:AV32" si="151">$BN32</f>
        <v>0</v>
      </c>
      <c r="AP32" s="78">
        <f t="shared" si="151"/>
        <v>0</v>
      </c>
      <c r="AQ32" s="78">
        <f t="shared" si="151"/>
        <v>0</v>
      </c>
      <c r="AR32" s="80">
        <f t="shared" si="151"/>
        <v>0</v>
      </c>
      <c r="AS32" s="79">
        <f t="shared" si="151"/>
        <v>0</v>
      </c>
      <c r="AT32" s="78">
        <f t="shared" si="151"/>
        <v>0</v>
      </c>
      <c r="AU32" s="78">
        <f t="shared" si="151"/>
        <v>0</v>
      </c>
      <c r="AV32" s="80">
        <f t="shared" si="151"/>
        <v>0</v>
      </c>
      <c r="AW32" s="60"/>
      <c r="AX32" s="388">
        <f>IFERROR(1-(1-$BB32)*(1-(SUMIFS($E32:$AR32,$E$3:$AR$3,#REF!,$E$5:$AR$5,"Actual"))/SUMIFS($E32:$AR32,$E$5:$AR$5,"Actual")*4),0)</f>
        <v>0</v>
      </c>
      <c r="AY32" s="388">
        <f>IFERROR(1-(1-$BB32)*(1-(SUMIFS($E32:$AR32,$E$3:$AR$3,#REF!,$E$5:$AR$5,"Actual"))/SUMIFS($E32:$AR32,$E$5:$AR$5,"Actual")*4),0)</f>
        <v>0</v>
      </c>
      <c r="AZ32" s="388">
        <f>IFERROR(1-(1-$BB32)*(1-(SUMIFS($E32:$AR32,$E$3:$AR$3,#REF!,$E$5:$AR$5,"Actual"))/SUMIFS($E32:$AR32,$E$5:$AR$5,"Actual")*4),0)</f>
        <v>0</v>
      </c>
      <c r="BA32" s="388">
        <f>IFERROR(1-(1-$BB32)*(1-(SUMIFS($E32:$AR32,$E$3:$AR$3,#REF!,$E$5:$AR$5,"Actual"))/SUMIFS($E32:$AR32,$E$5:$AR$5,"Actual")*4),0)</f>
        <v>0</v>
      </c>
      <c r="BB32" s="540">
        <v>0</v>
      </c>
      <c r="BD32" s="3"/>
      <c r="BE32" s="185" t="str">
        <f>B32</f>
        <v>% Cost of Services Revenue</v>
      </c>
      <c r="BF32" s="59">
        <f>IFERROR(SUM(I30:L30)/SUM(I29:L29),0)</f>
        <v>0</v>
      </c>
      <c r="BG32" s="59">
        <f>IFERROR(SUM(M30:P30)/SUM(M29:P29),0)</f>
        <v>0</v>
      </c>
      <c r="BH32" s="59">
        <f>IFERROR(SUM(Q30:T30)/SUM(Q29:T29),0)</f>
        <v>0</v>
      </c>
      <c r="BI32" s="207">
        <v>0</v>
      </c>
      <c r="BJ32" s="207">
        <v>0</v>
      </c>
      <c r="BK32" s="207">
        <v>0</v>
      </c>
      <c r="BL32" s="207">
        <v>0</v>
      </c>
      <c r="BM32" s="207">
        <v>0</v>
      </c>
      <c r="BN32" s="207">
        <v>0</v>
      </c>
      <c r="BO32" s="207">
        <v>0</v>
      </c>
      <c r="BR32" s="77">
        <f t="shared" si="0"/>
        <v>29</v>
      </c>
    </row>
    <row r="33" spans="1:70" ht="11.25" customHeight="1" x14ac:dyDescent="0.15">
      <c r="B33" s="185"/>
      <c r="E33" s="112"/>
      <c r="F33" s="113"/>
      <c r="G33" s="113"/>
      <c r="H33" s="177"/>
      <c r="I33" s="112"/>
      <c r="J33" s="113"/>
      <c r="K33" s="113"/>
      <c r="L33" s="113"/>
      <c r="M33" s="112"/>
      <c r="N33" s="113"/>
      <c r="O33" s="113"/>
      <c r="P33" s="113"/>
      <c r="Q33" s="112"/>
      <c r="R33" s="113"/>
      <c r="S33" s="113"/>
      <c r="T33" s="113"/>
      <c r="U33" s="112"/>
      <c r="V33" s="113"/>
      <c r="W33" s="113"/>
      <c r="X33" s="113"/>
      <c r="Y33" s="112"/>
      <c r="Z33" s="113"/>
      <c r="AA33" s="113"/>
      <c r="AB33" s="113"/>
      <c r="AC33" s="112"/>
      <c r="AD33" s="66"/>
      <c r="AE33" s="66"/>
      <c r="AF33" s="68"/>
      <c r="AG33" s="66"/>
      <c r="AH33" s="66"/>
      <c r="AI33" s="66"/>
      <c r="AJ33" s="68"/>
      <c r="AK33" s="67"/>
      <c r="AL33" s="66"/>
      <c r="AM33" s="66"/>
      <c r="AN33" s="68"/>
      <c r="AO33" s="67"/>
      <c r="AP33" s="66"/>
      <c r="AQ33" s="66"/>
      <c r="AR33" s="68"/>
      <c r="AS33" s="67"/>
      <c r="AT33" s="66"/>
      <c r="AU33" s="66"/>
      <c r="AV33" s="68"/>
      <c r="AW33" s="60"/>
      <c r="AX33" s="389"/>
      <c r="AY33" s="389"/>
      <c r="AZ33" s="389"/>
      <c r="BA33" s="389"/>
      <c r="BB33" s="539"/>
      <c r="BD33" s="3"/>
      <c r="BE33" s="185"/>
      <c r="BR33" s="77">
        <f t="shared" si="0"/>
        <v>30</v>
      </c>
    </row>
    <row r="34" spans="1:70" ht="11.25" customHeight="1" collapsed="1" x14ac:dyDescent="0.15">
      <c r="A34" s="310" t="str">
        <f>Reported!A12&amp;" Revenue"</f>
        <v>Product Revenue</v>
      </c>
      <c r="B34" s="187"/>
      <c r="E34" s="105">
        <f>Reported!C12</f>
        <v>0</v>
      </c>
      <c r="F34" s="106">
        <f>Reported!D12</f>
        <v>0</v>
      </c>
      <c r="G34" s="106">
        <f>Reported!E12</f>
        <v>0</v>
      </c>
      <c r="H34" s="107">
        <f>Reported!F12</f>
        <v>0</v>
      </c>
      <c r="I34" s="105">
        <f>Reported!G12</f>
        <v>0</v>
      </c>
      <c r="J34" s="106">
        <f>Reported!H12</f>
        <v>0</v>
      </c>
      <c r="K34" s="106">
        <f>Reported!I12</f>
        <v>0</v>
      </c>
      <c r="L34" s="106">
        <f>Reported!J12</f>
        <v>0</v>
      </c>
      <c r="M34" s="105">
        <f>Reported!K12</f>
        <v>0</v>
      </c>
      <c r="N34" s="106">
        <f>Reported!L12</f>
        <v>0</v>
      </c>
      <c r="O34" s="106">
        <f>Reported!M12</f>
        <v>0</v>
      </c>
      <c r="P34" s="106">
        <f>Reported!N12</f>
        <v>0</v>
      </c>
      <c r="Q34" s="105">
        <f>Reported!O12</f>
        <v>0</v>
      </c>
      <c r="R34" s="106">
        <f>Reported!P12</f>
        <v>0</v>
      </c>
      <c r="S34" s="106">
        <f>Reported!Q12</f>
        <v>0</v>
      </c>
      <c r="T34" s="106">
        <f>Reported!R12</f>
        <v>0</v>
      </c>
      <c r="U34" s="105">
        <f>Reported!S12</f>
        <v>0</v>
      </c>
      <c r="V34" s="106">
        <f>Reported!T12</f>
        <v>0</v>
      </c>
      <c r="W34" s="106">
        <f>Reported!U12</f>
        <v>0</v>
      </c>
      <c r="X34" s="106">
        <f>Reported!V12</f>
        <v>0</v>
      </c>
      <c r="Y34" s="105">
        <f>Reported!W12</f>
        <v>0</v>
      </c>
      <c r="Z34" s="106">
        <f>Reported!X12</f>
        <v>0</v>
      </c>
      <c r="AA34" s="106">
        <f>Reported!Y12</f>
        <v>0</v>
      </c>
      <c r="AB34" s="106">
        <f>Reported!Z12</f>
        <v>0</v>
      </c>
      <c r="AC34" s="105">
        <f>Reported!AA12</f>
        <v>0</v>
      </c>
      <c r="AD34" s="72">
        <f>IFERROR((SUM(Z34:AC34)*(1+$BK34))*AY34/4,0)</f>
        <v>0</v>
      </c>
      <c r="AE34" s="72">
        <f>IFERROR((SUM(AA34:AD34)*(1+$BK34))*AZ34/4,0)</f>
        <v>0</v>
      </c>
      <c r="AF34" s="73">
        <f>IFERROR((SUM(AB34:AE34)*(1+$BK34))*BA34/4,0)</f>
        <v>0</v>
      </c>
      <c r="AG34" s="72">
        <f>IFERROR((SUM(AC34:AF34)*(1+$BL34))*AX34/4,0)</f>
        <v>0</v>
      </c>
      <c r="AH34" s="72">
        <f>IFERROR((SUM(AD34:AG34)*(1+$BL34))*AY34/4,0)</f>
        <v>0</v>
      </c>
      <c r="AI34" s="72">
        <f>IFERROR((SUM(AE34:AH34)*(1+$BL34))*AZ34/4,0)</f>
        <v>0</v>
      </c>
      <c r="AJ34" s="73">
        <f>IFERROR((SUM(AF34:AI34)*(1+$BL34))*BA34/4,0)</f>
        <v>0</v>
      </c>
      <c r="AK34" s="71">
        <f>IFERROR((SUM(AG34:AJ34)*(1+$BM34))*AX34/4,0)</f>
        <v>0</v>
      </c>
      <c r="AL34" s="72">
        <f>IFERROR((SUM(AH34:AK34)*(1+$BM34))*AY34/4,0)</f>
        <v>0</v>
      </c>
      <c r="AM34" s="72">
        <f>IFERROR((SUM(AI34:AL34)*(1+$BM34))*AZ34/4,0)</f>
        <v>0</v>
      </c>
      <c r="AN34" s="73">
        <f>IFERROR((SUM(AJ34:AM34)*(1+$BM34))*BA34/4,0)</f>
        <v>0</v>
      </c>
      <c r="AO34" s="71">
        <f t="shared" ref="AO34:AV34" si="152">IFERROR((SUM(AK34:AN34)*(1+$BN34))*AX34/4,0)</f>
        <v>0</v>
      </c>
      <c r="AP34" s="72">
        <f t="shared" si="152"/>
        <v>0</v>
      </c>
      <c r="AQ34" s="72">
        <f t="shared" si="152"/>
        <v>0</v>
      </c>
      <c r="AR34" s="73">
        <f t="shared" si="152"/>
        <v>0</v>
      </c>
      <c r="AS34" s="71">
        <f t="shared" si="152"/>
        <v>0</v>
      </c>
      <c r="AT34" s="72">
        <f t="shared" si="152"/>
        <v>0</v>
      </c>
      <c r="AU34" s="72">
        <f t="shared" si="152"/>
        <v>0</v>
      </c>
      <c r="AV34" s="73">
        <f t="shared" si="152"/>
        <v>0</v>
      </c>
      <c r="AW34" s="17"/>
      <c r="AX34" s="528">
        <f>AVERAGE(Q34/($BD34*(1+$BH34)^((AX$6-1)/4)),U34/($BD34*(1+$BH34)^(3/4)*(1+$BI34)^(AX$6/4)),Y34/($BD34*(1+$BH34)^(3/4)*(1+$BI34)*(1+$BJ34)^(AX$6/4)))</f>
        <v>0</v>
      </c>
      <c r="AY34" s="528">
        <f t="shared" ref="AY34" si="153">AVERAGE(R34/($BD34*(1+$BH34)^((AY$6-1)/4)),V34/($BD34*(1+$BH34)^(3/4)*(1+$BI34)^(AY$6/4)),Z34/($BD34*(1+$BH34)^(3/4)*(1+$BI34)*(1+$BJ34)^(AY$6/4)))</f>
        <v>0</v>
      </c>
      <c r="AZ34" s="528">
        <f t="shared" ref="AZ34" si="154">AVERAGE(S34/($BD34*(1+$BH34)^((AZ$6-1)/4)),W34/($BD34*(1+$BH34)^(3/4)*(1+$BI34)^(AZ$6/4)),AA34/($BD34*(1+$BH34)^(3/4)*(1+$BI34)*(1+$BJ34)^(AZ$6/4)))</f>
        <v>0</v>
      </c>
      <c r="BA34" s="528">
        <f t="shared" ref="BA34" si="155">AVERAGE(T34/($BD34*(1+$BH34)^((BA$6-1)/4)),X34/($BD34*(1+$BH34)^(3/4)*(1+$BI34)^(BA$6/4)),AB34/($BD34*(1+$BH34)^(3/4)*(1+$BI34)*(1+$BJ34)^(BA$6/4)))</f>
        <v>0</v>
      </c>
      <c r="BB34" s="538">
        <f>+SUM(AX34:BA34)</f>
        <v>0</v>
      </c>
      <c r="BC34" s="2"/>
      <c r="BD34" s="3">
        <v>1</v>
      </c>
      <c r="BE34" s="185" t="str">
        <f>"Growth in "&amp;A34</f>
        <v>Growth in Product Revenue</v>
      </c>
      <c r="BF34" s="59">
        <f>IFERROR(SUM(I34:L34)/SUM(E34:H34)-1,0)</f>
        <v>0</v>
      </c>
      <c r="BG34" s="59">
        <f>IFERROR(SUM(M34:P34)/SUM(I34:L34)-1,0)</f>
        <v>0</v>
      </c>
      <c r="BH34" s="59">
        <f>IFERROR(SUM(Q34:T34)/SUM(M34:P34)-1,0)</f>
        <v>0</v>
      </c>
      <c r="BI34" s="330">
        <f>IFERROR(SUM(U34:X34)/SUM(Q34:T34)-1,0)</f>
        <v>0</v>
      </c>
      <c r="BJ34" s="330">
        <f>IFERROR(SUM(Y34:AB34)/SUM(U34:X34)-1,0)</f>
        <v>0</v>
      </c>
      <c r="BK34" s="207">
        <v>0</v>
      </c>
      <c r="BL34" s="207">
        <v>0</v>
      </c>
      <c r="BM34" s="207">
        <v>0</v>
      </c>
      <c r="BN34" s="207">
        <v>0</v>
      </c>
      <c r="BO34" s="207">
        <v>0</v>
      </c>
      <c r="BR34" s="77">
        <f t="shared" si="0"/>
        <v>31</v>
      </c>
    </row>
    <row r="35" spans="1:70" ht="11.25" hidden="1" customHeight="1" outlineLevel="1" x14ac:dyDescent="0.25">
      <c r="B35" s="188" t="str">
        <f>"Cost of "&amp;A34</f>
        <v>Cost of Product Revenue</v>
      </c>
      <c r="E35" s="108">
        <f>Reported!C21</f>
        <v>0</v>
      </c>
      <c r="F35" s="109">
        <f>Reported!D21</f>
        <v>0</v>
      </c>
      <c r="G35" s="109">
        <f>Reported!E21</f>
        <v>0</v>
      </c>
      <c r="H35" s="175">
        <f>Reported!F21</f>
        <v>0</v>
      </c>
      <c r="I35" s="108">
        <f>Reported!G21</f>
        <v>0</v>
      </c>
      <c r="J35" s="109">
        <f>Reported!H21</f>
        <v>0</v>
      </c>
      <c r="K35" s="109">
        <f>Reported!I21</f>
        <v>0</v>
      </c>
      <c r="L35" s="109">
        <f>Reported!J21</f>
        <v>0</v>
      </c>
      <c r="M35" s="108">
        <f>Reported!K21</f>
        <v>0</v>
      </c>
      <c r="N35" s="109">
        <f>Reported!L21</f>
        <v>0</v>
      </c>
      <c r="O35" s="109">
        <f>Reported!M21</f>
        <v>0</v>
      </c>
      <c r="P35" s="109">
        <f>Reported!N21</f>
        <v>0</v>
      </c>
      <c r="Q35" s="108">
        <f>Reported!O21</f>
        <v>0</v>
      </c>
      <c r="R35" s="109">
        <f>Reported!P21</f>
        <v>0</v>
      </c>
      <c r="S35" s="109">
        <f>Reported!Q21</f>
        <v>0</v>
      </c>
      <c r="T35" s="109">
        <f>Reported!R21</f>
        <v>0</v>
      </c>
      <c r="U35" s="108">
        <f>Reported!S21</f>
        <v>0</v>
      </c>
      <c r="V35" s="109">
        <f>Reported!T21</f>
        <v>0</v>
      </c>
      <c r="W35" s="109">
        <f>Reported!U21</f>
        <v>0</v>
      </c>
      <c r="X35" s="109">
        <f>Reported!V21</f>
        <v>0</v>
      </c>
      <c r="Y35" s="108">
        <f>Reported!W21</f>
        <v>0</v>
      </c>
      <c r="Z35" s="109">
        <f>Reported!X21</f>
        <v>0</v>
      </c>
      <c r="AA35" s="109">
        <f>Reported!Y21</f>
        <v>0</v>
      </c>
      <c r="AB35" s="109">
        <f>Reported!Z21</f>
        <v>0</v>
      </c>
      <c r="AC35" s="108">
        <f>Reported!AA21</f>
        <v>0</v>
      </c>
      <c r="AD35" s="75">
        <f t="shared" ref="AD35:AR35" si="156">AD34*AD37</f>
        <v>0</v>
      </c>
      <c r="AE35" s="75">
        <f t="shared" si="156"/>
        <v>0</v>
      </c>
      <c r="AF35" s="76">
        <f t="shared" si="156"/>
        <v>0</v>
      </c>
      <c r="AG35" s="75">
        <f t="shared" si="156"/>
        <v>0</v>
      </c>
      <c r="AH35" s="75">
        <f t="shared" si="156"/>
        <v>0</v>
      </c>
      <c r="AI35" s="75">
        <f t="shared" si="156"/>
        <v>0</v>
      </c>
      <c r="AJ35" s="76">
        <f t="shared" si="156"/>
        <v>0</v>
      </c>
      <c r="AK35" s="74">
        <f t="shared" si="156"/>
        <v>0</v>
      </c>
      <c r="AL35" s="75">
        <f t="shared" si="156"/>
        <v>0</v>
      </c>
      <c r="AM35" s="75">
        <f t="shared" si="156"/>
        <v>0</v>
      </c>
      <c r="AN35" s="76">
        <f t="shared" si="156"/>
        <v>0</v>
      </c>
      <c r="AO35" s="74">
        <f t="shared" si="156"/>
        <v>0</v>
      </c>
      <c r="AP35" s="75">
        <f t="shared" si="156"/>
        <v>0</v>
      </c>
      <c r="AQ35" s="75">
        <f t="shared" si="156"/>
        <v>0</v>
      </c>
      <c r="AR35" s="76">
        <f t="shared" si="156"/>
        <v>0</v>
      </c>
      <c r="AS35" s="74">
        <f t="shared" ref="AS35" si="157">AS34*AS37</f>
        <v>0</v>
      </c>
      <c r="AT35" s="75">
        <f t="shared" ref="AT35" si="158">AT34*AT37</f>
        <v>0</v>
      </c>
      <c r="AU35" s="75">
        <f t="shared" ref="AU35" si="159">AU34*AU37</f>
        <v>0</v>
      </c>
      <c r="AV35" s="76">
        <f t="shared" ref="AV35" si="160">AV34*AV37</f>
        <v>0</v>
      </c>
      <c r="AW35" s="61"/>
      <c r="AX35" s="389"/>
      <c r="AY35" s="389"/>
      <c r="AZ35" s="389"/>
      <c r="BA35" s="389"/>
      <c r="BB35" s="539"/>
      <c r="BD35" s="3"/>
      <c r="BE35" s="185" t="str">
        <f>"Growth in "&amp;B35</f>
        <v>Growth in Cost of Product Revenue</v>
      </c>
      <c r="BF35" s="59">
        <f>IFERROR(SUM(I35:L35)/SUM(E35:H35)-1,0)</f>
        <v>0</v>
      </c>
      <c r="BG35" s="59">
        <f>IFERROR(SUM(M35:P35)/SUM(I35:L35)-1,0)</f>
        <v>0</v>
      </c>
      <c r="BH35" s="59">
        <f>IFERROR(SUM(Q35:T35)/SUM(M35:P35)-1,0)</f>
        <v>0</v>
      </c>
      <c r="BI35" s="59">
        <f>IFERROR(SUM(U35:X35)/SUM(Q35:T35)-1,0)</f>
        <v>0</v>
      </c>
      <c r="BJ35" s="59">
        <f>IFERROR(SUM(Y35:AB35)/SUM(U35:X35)-1,0)</f>
        <v>0</v>
      </c>
      <c r="BK35" s="59">
        <f>IFERROR(SUM(AC35:AF35)/SUM(Y35:AB35)-1,0)</f>
        <v>0</v>
      </c>
      <c r="BL35" s="59">
        <f>IFERROR(SUM(AG35:AJ35)/SUM(AC35:AF35)-1,0)</f>
        <v>0</v>
      </c>
      <c r="BM35" s="59">
        <f>IFERROR(SUM(AK35:AN35)/SUM(AG35:AJ35)-1,0)</f>
        <v>0</v>
      </c>
      <c r="BN35" s="59">
        <f>IFERROR(SUM(AO35:AR35)/SUM(AK35:AN35)-1,0)</f>
        <v>0</v>
      </c>
      <c r="BO35" s="59">
        <f>IFERROR(SUM(AP35:AS35)/SUM(AL35:AO35)-1,0)</f>
        <v>0</v>
      </c>
      <c r="BR35" s="77">
        <f t="shared" si="0"/>
        <v>32</v>
      </c>
    </row>
    <row r="36" spans="1:70" ht="11.25" hidden="1" customHeight="1" outlineLevel="1" x14ac:dyDescent="0.15">
      <c r="B36" s="188" t="str">
        <f>A34&amp;" Margin"</f>
        <v>Product Revenue Margin</v>
      </c>
      <c r="E36" s="317">
        <f>E34-E35</f>
        <v>0</v>
      </c>
      <c r="F36" s="318">
        <f t="shared" ref="F36" si="161">F34-F35</f>
        <v>0</v>
      </c>
      <c r="G36" s="318">
        <f t="shared" ref="G36" si="162">G34-G35</f>
        <v>0</v>
      </c>
      <c r="H36" s="319">
        <f t="shared" ref="H36" si="163">H34-H35</f>
        <v>0</v>
      </c>
      <c r="I36" s="317">
        <f t="shared" ref="I36" si="164">I34-I35</f>
        <v>0</v>
      </c>
      <c r="J36" s="318">
        <f t="shared" ref="J36" si="165">J34-J35</f>
        <v>0</v>
      </c>
      <c r="K36" s="318">
        <f t="shared" ref="K36" si="166">K34-K35</f>
        <v>0</v>
      </c>
      <c r="L36" s="318">
        <f t="shared" ref="L36" si="167">L34-L35</f>
        <v>0</v>
      </c>
      <c r="M36" s="317">
        <f t="shared" ref="M36" si="168">M34-M35</f>
        <v>0</v>
      </c>
      <c r="N36" s="318">
        <f t="shared" ref="N36" si="169">N34-N35</f>
        <v>0</v>
      </c>
      <c r="O36" s="318">
        <f t="shared" ref="O36" si="170">O34-O35</f>
        <v>0</v>
      </c>
      <c r="P36" s="318">
        <f t="shared" ref="P36" si="171">P34-P35</f>
        <v>0</v>
      </c>
      <c r="Q36" s="317">
        <f t="shared" ref="Q36" si="172">Q34-Q35</f>
        <v>0</v>
      </c>
      <c r="R36" s="318">
        <f t="shared" ref="R36" si="173">R34-R35</f>
        <v>0</v>
      </c>
      <c r="S36" s="318">
        <f t="shared" ref="S36" si="174">S34-S35</f>
        <v>0</v>
      </c>
      <c r="T36" s="318">
        <f t="shared" ref="T36" si="175">T34-T35</f>
        <v>0</v>
      </c>
      <c r="U36" s="317">
        <f t="shared" ref="U36" si="176">U34-U35</f>
        <v>0</v>
      </c>
      <c r="V36" s="318">
        <f t="shared" ref="V36" si="177">V34-V35</f>
        <v>0</v>
      </c>
      <c r="W36" s="318">
        <f t="shared" ref="W36" si="178">W34-W35</f>
        <v>0</v>
      </c>
      <c r="X36" s="318">
        <f t="shared" ref="X36" si="179">X34-X35</f>
        <v>0</v>
      </c>
      <c r="Y36" s="317">
        <f t="shared" ref="Y36" si="180">Y34-Y35</f>
        <v>0</v>
      </c>
      <c r="Z36" s="318">
        <f t="shared" ref="Z36" si="181">Z34-Z35</f>
        <v>0</v>
      </c>
      <c r="AA36" s="318">
        <f t="shared" ref="AA36" si="182">AA34-AA35</f>
        <v>0</v>
      </c>
      <c r="AB36" s="318">
        <f t="shared" ref="AB36:AC36" si="183">AB34-AB35</f>
        <v>0</v>
      </c>
      <c r="AC36" s="317">
        <f t="shared" si="183"/>
        <v>0</v>
      </c>
      <c r="AD36" s="49">
        <f t="shared" ref="AD36" si="184">AD34-AD35</f>
        <v>0</v>
      </c>
      <c r="AE36" s="49">
        <f t="shared" ref="AE36" si="185">AE34-AE35</f>
        <v>0</v>
      </c>
      <c r="AF36" s="50">
        <f t="shared" ref="AF36" si="186">AF34-AF35</f>
        <v>0</v>
      </c>
      <c r="AG36" s="49">
        <f t="shared" ref="AG36" si="187">AG34-AG35</f>
        <v>0</v>
      </c>
      <c r="AH36" s="49">
        <f t="shared" ref="AH36" si="188">AH34-AH35</f>
        <v>0</v>
      </c>
      <c r="AI36" s="49">
        <f t="shared" ref="AI36" si="189">AI34-AI35</f>
        <v>0</v>
      </c>
      <c r="AJ36" s="49">
        <f t="shared" ref="AJ36" si="190">AJ34-AJ35</f>
        <v>0</v>
      </c>
      <c r="AK36" s="24">
        <f t="shared" ref="AK36" si="191">AK34-AK35</f>
        <v>0</v>
      </c>
      <c r="AL36" s="49">
        <f t="shared" ref="AL36" si="192">AL34-AL35</f>
        <v>0</v>
      </c>
      <c r="AM36" s="49">
        <f t="shared" ref="AM36" si="193">AM34-AM35</f>
        <v>0</v>
      </c>
      <c r="AN36" s="49">
        <f t="shared" ref="AN36" si="194">AN34-AN35</f>
        <v>0</v>
      </c>
      <c r="AO36" s="24">
        <f t="shared" ref="AO36" si="195">AO34-AO35</f>
        <v>0</v>
      </c>
      <c r="AP36" s="49">
        <f t="shared" ref="AP36" si="196">AP34-AP35</f>
        <v>0</v>
      </c>
      <c r="AQ36" s="49">
        <f t="shared" ref="AQ36" si="197">AQ34-AQ35</f>
        <v>0</v>
      </c>
      <c r="AR36" s="50">
        <f t="shared" ref="AR36:AU36" si="198">AR34-AR35</f>
        <v>0</v>
      </c>
      <c r="AS36" s="24">
        <f t="shared" si="198"/>
        <v>0</v>
      </c>
      <c r="AT36" s="49">
        <f t="shared" si="198"/>
        <v>0</v>
      </c>
      <c r="AU36" s="49">
        <f t="shared" si="198"/>
        <v>0</v>
      </c>
      <c r="AV36" s="50">
        <f t="shared" ref="AV36" si="199">AV34-AV35</f>
        <v>0</v>
      </c>
      <c r="AW36" s="61"/>
      <c r="AX36" s="389"/>
      <c r="AY36" s="389"/>
      <c r="AZ36" s="389"/>
      <c r="BA36" s="389"/>
      <c r="BB36" s="539"/>
      <c r="BD36" s="3"/>
      <c r="BE36" s="185"/>
      <c r="BF36" s="292"/>
      <c r="BG36" s="292"/>
      <c r="BH36" s="292"/>
      <c r="BI36" s="292"/>
      <c r="BJ36" s="292"/>
      <c r="BK36" s="292"/>
      <c r="BL36" s="292"/>
      <c r="BM36" s="292"/>
      <c r="BN36" s="292"/>
      <c r="BO36" s="292"/>
      <c r="BR36" s="77">
        <f t="shared" si="0"/>
        <v>33</v>
      </c>
    </row>
    <row r="37" spans="1:70" ht="11.25" hidden="1" customHeight="1" outlineLevel="1" x14ac:dyDescent="0.15">
      <c r="B37" s="188" t="str">
        <f>"% Cost of "&amp;A34</f>
        <v>% Cost of Product Revenue</v>
      </c>
      <c r="E37" s="112">
        <f t="shared" ref="E37:AB37" si="200">IFERROR(E35/E34,0)</f>
        <v>0</v>
      </c>
      <c r="F37" s="113">
        <f t="shared" si="200"/>
        <v>0</v>
      </c>
      <c r="G37" s="113">
        <f t="shared" si="200"/>
        <v>0</v>
      </c>
      <c r="H37" s="177">
        <f t="shared" si="200"/>
        <v>0</v>
      </c>
      <c r="I37" s="112">
        <f t="shared" si="200"/>
        <v>0</v>
      </c>
      <c r="J37" s="113">
        <f t="shared" si="200"/>
        <v>0</v>
      </c>
      <c r="K37" s="113">
        <f t="shared" si="200"/>
        <v>0</v>
      </c>
      <c r="L37" s="113">
        <f t="shared" si="200"/>
        <v>0</v>
      </c>
      <c r="M37" s="112">
        <f t="shared" si="200"/>
        <v>0</v>
      </c>
      <c r="N37" s="113">
        <f t="shared" si="200"/>
        <v>0</v>
      </c>
      <c r="O37" s="113">
        <f t="shared" si="200"/>
        <v>0</v>
      </c>
      <c r="P37" s="113">
        <f t="shared" si="200"/>
        <v>0</v>
      </c>
      <c r="Q37" s="112">
        <f t="shared" si="200"/>
        <v>0</v>
      </c>
      <c r="R37" s="113">
        <f t="shared" si="200"/>
        <v>0</v>
      </c>
      <c r="S37" s="113">
        <f t="shared" si="200"/>
        <v>0</v>
      </c>
      <c r="T37" s="113">
        <f t="shared" si="200"/>
        <v>0</v>
      </c>
      <c r="U37" s="112">
        <f t="shared" si="200"/>
        <v>0</v>
      </c>
      <c r="V37" s="113">
        <f t="shared" si="200"/>
        <v>0</v>
      </c>
      <c r="W37" s="113">
        <f t="shared" si="200"/>
        <v>0</v>
      </c>
      <c r="X37" s="113">
        <f t="shared" si="200"/>
        <v>0</v>
      </c>
      <c r="Y37" s="112">
        <f t="shared" si="200"/>
        <v>0</v>
      </c>
      <c r="Z37" s="113">
        <f t="shared" si="200"/>
        <v>0</v>
      </c>
      <c r="AA37" s="113">
        <f t="shared" si="200"/>
        <v>0</v>
      </c>
      <c r="AB37" s="113">
        <f t="shared" si="200"/>
        <v>0</v>
      </c>
      <c r="AC37" s="112">
        <f t="shared" ref="AC37" si="201">IFERROR(AC35/AC34,0)</f>
        <v>0</v>
      </c>
      <c r="AD37" s="78">
        <f>$BK37</f>
        <v>0</v>
      </c>
      <c r="AE37" s="78">
        <f>$BK37</f>
        <v>0</v>
      </c>
      <c r="AF37" s="80">
        <f>$BK37</f>
        <v>0</v>
      </c>
      <c r="AG37" s="78">
        <f>$BL37</f>
        <v>0</v>
      </c>
      <c r="AH37" s="78">
        <f>$BL37</f>
        <v>0</v>
      </c>
      <c r="AI37" s="78">
        <f>$BL37</f>
        <v>0</v>
      </c>
      <c r="AJ37" s="80">
        <f>$BL37</f>
        <v>0</v>
      </c>
      <c r="AK37" s="79">
        <f>$BM37</f>
        <v>0</v>
      </c>
      <c r="AL37" s="78">
        <f>$BM37</f>
        <v>0</v>
      </c>
      <c r="AM37" s="78">
        <f>$BM37</f>
        <v>0</v>
      </c>
      <c r="AN37" s="80">
        <f>$BM37</f>
        <v>0</v>
      </c>
      <c r="AO37" s="79">
        <f t="shared" ref="AO37:AV37" si="202">$BN37</f>
        <v>0</v>
      </c>
      <c r="AP37" s="78">
        <f t="shared" si="202"/>
        <v>0</v>
      </c>
      <c r="AQ37" s="78">
        <f t="shared" si="202"/>
        <v>0</v>
      </c>
      <c r="AR37" s="80">
        <f t="shared" si="202"/>
        <v>0</v>
      </c>
      <c r="AS37" s="79">
        <f t="shared" si="202"/>
        <v>0</v>
      </c>
      <c r="AT37" s="78">
        <f t="shared" si="202"/>
        <v>0</v>
      </c>
      <c r="AU37" s="78">
        <f t="shared" si="202"/>
        <v>0</v>
      </c>
      <c r="AV37" s="80">
        <f t="shared" si="202"/>
        <v>0</v>
      </c>
      <c r="AW37" s="60"/>
      <c r="AX37" s="388">
        <f>IFERROR(1-(1-$BB37)*(1-(SUMIFS($E37:$AR37,$E$3:$AR$3,#REF!,$E$5:$AR$5,"Actual"))/SUMIFS($E37:$AR37,$E$5:$AR$5,"Actual")*4),0)</f>
        <v>0</v>
      </c>
      <c r="AY37" s="388">
        <f>IFERROR(1-(1-$BB37)*(1-(SUMIFS($E37:$AR37,$E$3:$AR$3,#REF!,$E$5:$AR$5,"Actual"))/SUMIFS($E37:$AR37,$E$5:$AR$5,"Actual")*4),0)</f>
        <v>0</v>
      </c>
      <c r="AZ37" s="388">
        <f>IFERROR(1-(1-$BB37)*(1-(SUMIFS($E37:$AR37,$E$3:$AR$3,#REF!,$E$5:$AR$5,"Actual"))/SUMIFS($E37:$AR37,$E$5:$AR$5,"Actual")*4),0)</f>
        <v>0</v>
      </c>
      <c r="BA37" s="388">
        <f>IFERROR(1-(1-$BB37)*(1-(SUMIFS($E37:$AR37,$E$3:$AR$3,#REF!,$E$5:$AR$5,"Actual"))/SUMIFS($E37:$AR37,$E$5:$AR$5,"Actual")*4),0)</f>
        <v>0</v>
      </c>
      <c r="BB37" s="540">
        <v>0</v>
      </c>
      <c r="BD37" s="3"/>
      <c r="BE37" s="185" t="str">
        <f>B37</f>
        <v>% Cost of Product Revenue</v>
      </c>
      <c r="BF37" s="59">
        <f>IFERROR(SUM(I35:L35)/SUM(I34:L34),0)</f>
        <v>0</v>
      </c>
      <c r="BG37" s="59">
        <f>IFERROR(SUM(M35:P35)/SUM(M34:P34),0)</f>
        <v>0</v>
      </c>
      <c r="BH37" s="59">
        <f>IFERROR(SUM(Q35:T35)/SUM(Q34:T34),0)</f>
        <v>0</v>
      </c>
      <c r="BI37" s="207">
        <v>0</v>
      </c>
      <c r="BJ37" s="207">
        <v>0</v>
      </c>
      <c r="BK37" s="207">
        <v>0</v>
      </c>
      <c r="BL37" s="207">
        <v>0</v>
      </c>
      <c r="BM37" s="207">
        <v>0</v>
      </c>
      <c r="BN37" s="207">
        <v>0</v>
      </c>
      <c r="BO37" s="207">
        <v>0</v>
      </c>
      <c r="BR37" s="77">
        <f t="shared" si="0"/>
        <v>34</v>
      </c>
    </row>
    <row r="38" spans="1:70" ht="11.25" customHeight="1" x14ac:dyDescent="0.15">
      <c r="B38" s="185"/>
      <c r="E38" s="112"/>
      <c r="F38" s="113"/>
      <c r="G38" s="113"/>
      <c r="H38" s="177"/>
      <c r="I38" s="112"/>
      <c r="J38" s="113"/>
      <c r="K38" s="113"/>
      <c r="L38" s="113"/>
      <c r="M38" s="112"/>
      <c r="N38" s="113"/>
      <c r="O38" s="113"/>
      <c r="P38" s="113"/>
      <c r="Q38" s="112"/>
      <c r="R38" s="113"/>
      <c r="S38" s="113"/>
      <c r="T38" s="113"/>
      <c r="U38" s="112"/>
      <c r="V38" s="113"/>
      <c r="W38" s="113"/>
      <c r="X38" s="113"/>
      <c r="Y38" s="112"/>
      <c r="Z38" s="113"/>
      <c r="AA38" s="113"/>
      <c r="AB38" s="113"/>
      <c r="AC38" s="112"/>
      <c r="AD38" s="66"/>
      <c r="AE38" s="66"/>
      <c r="AF38" s="68"/>
      <c r="AG38" s="66"/>
      <c r="AH38" s="66"/>
      <c r="AI38" s="66"/>
      <c r="AJ38" s="68"/>
      <c r="AK38" s="67"/>
      <c r="AL38" s="66"/>
      <c r="AM38" s="66"/>
      <c r="AN38" s="68"/>
      <c r="AO38" s="67"/>
      <c r="AP38" s="66"/>
      <c r="AQ38" s="66"/>
      <c r="AR38" s="68"/>
      <c r="AS38" s="67"/>
      <c r="AT38" s="66"/>
      <c r="AU38" s="66"/>
      <c r="AV38" s="68"/>
      <c r="AW38" s="60"/>
      <c r="AX38" s="389"/>
      <c r="AY38" s="389"/>
      <c r="AZ38" s="389"/>
      <c r="BA38" s="389"/>
      <c r="BB38" s="539"/>
      <c r="BD38" s="3"/>
      <c r="BE38" s="185"/>
      <c r="BR38" s="77">
        <f t="shared" si="0"/>
        <v>35</v>
      </c>
    </row>
    <row r="39" spans="1:70" ht="11.25" customHeight="1" collapsed="1" x14ac:dyDescent="0.15">
      <c r="A39" s="310" t="str">
        <f>Reported!A13&amp;" Revenue"</f>
        <v>Other Revenue</v>
      </c>
      <c r="B39" s="187"/>
      <c r="E39" s="105">
        <f>Reported!C13</f>
        <v>0</v>
      </c>
      <c r="F39" s="106">
        <f>Reported!D13</f>
        <v>0</v>
      </c>
      <c r="G39" s="106">
        <f>Reported!E13</f>
        <v>0</v>
      </c>
      <c r="H39" s="107">
        <f>Reported!F13</f>
        <v>0</v>
      </c>
      <c r="I39" s="105">
        <f>Reported!G13</f>
        <v>0</v>
      </c>
      <c r="J39" s="106">
        <f>Reported!H13</f>
        <v>0</v>
      </c>
      <c r="K39" s="106">
        <f>Reported!I13</f>
        <v>0</v>
      </c>
      <c r="L39" s="106">
        <f>Reported!J13</f>
        <v>0</v>
      </c>
      <c r="M39" s="105">
        <f>Reported!K13</f>
        <v>0</v>
      </c>
      <c r="N39" s="106">
        <f>Reported!L13</f>
        <v>0</v>
      </c>
      <c r="O39" s="106">
        <f>Reported!M13</f>
        <v>0</v>
      </c>
      <c r="P39" s="106">
        <f>Reported!N13</f>
        <v>0</v>
      </c>
      <c r="Q39" s="105">
        <f>Reported!O13</f>
        <v>0</v>
      </c>
      <c r="R39" s="106">
        <f>Reported!P13</f>
        <v>0</v>
      </c>
      <c r="S39" s="106">
        <f>Reported!Q13</f>
        <v>0</v>
      </c>
      <c r="T39" s="106">
        <f>Reported!R13</f>
        <v>0</v>
      </c>
      <c r="U39" s="105">
        <f>Reported!S13</f>
        <v>0</v>
      </c>
      <c r="V39" s="106">
        <f>Reported!T13</f>
        <v>0</v>
      </c>
      <c r="W39" s="106">
        <f>Reported!U13</f>
        <v>0</v>
      </c>
      <c r="X39" s="106">
        <f>Reported!V13</f>
        <v>0</v>
      </c>
      <c r="Y39" s="105">
        <f>Reported!W13</f>
        <v>0</v>
      </c>
      <c r="Z39" s="106">
        <f>Reported!X13</f>
        <v>0</v>
      </c>
      <c r="AA39" s="106">
        <f>Reported!Y13</f>
        <v>0</v>
      </c>
      <c r="AB39" s="106">
        <f>Reported!Z13</f>
        <v>0</v>
      </c>
      <c r="AC39" s="105">
        <f>Reported!AA13</f>
        <v>0</v>
      </c>
      <c r="AD39" s="72">
        <f>IFERROR((SUM(Z39:AC39)*(1+$BK39))*AY39/4,0)</f>
        <v>0</v>
      </c>
      <c r="AE39" s="72">
        <f>IFERROR((SUM(AA39:AD39)*(1+$BK39))*AZ39/4,0)</f>
        <v>0</v>
      </c>
      <c r="AF39" s="73">
        <f>IFERROR((SUM(AB39:AE39)*(1+$BK39))*BA39/4,0)</f>
        <v>0</v>
      </c>
      <c r="AG39" s="72">
        <f>IFERROR((SUM(AC39:AF39)*(1+$BL39))*AX39/4,0)</f>
        <v>0</v>
      </c>
      <c r="AH39" s="72">
        <f>IFERROR((SUM(AD39:AG39)*(1+$BL39))*AY39/4,0)</f>
        <v>0</v>
      </c>
      <c r="AI39" s="72">
        <f>IFERROR((SUM(AE39:AH39)*(1+$BL39))*AZ39/4,0)</f>
        <v>0</v>
      </c>
      <c r="AJ39" s="73">
        <f>IFERROR((SUM(AF39:AI39)*(1+$BL39))*BA39/4,0)</f>
        <v>0</v>
      </c>
      <c r="AK39" s="71">
        <f>IFERROR((SUM(AG39:AJ39)*(1+$BM39))*AX39/4,0)</f>
        <v>0</v>
      </c>
      <c r="AL39" s="72">
        <f>IFERROR((SUM(AH39:AK39)*(1+$BM39))*AY39/4,0)</f>
        <v>0</v>
      </c>
      <c r="AM39" s="72">
        <f>IFERROR((SUM(AI39:AL39)*(1+$BM39))*AZ39/4,0)</f>
        <v>0</v>
      </c>
      <c r="AN39" s="73">
        <f>IFERROR((SUM(AJ39:AM39)*(1+$BM39))*BA39/4,0)</f>
        <v>0</v>
      </c>
      <c r="AO39" s="71">
        <f t="shared" ref="AO39:AV39" si="203">IFERROR((SUM(AK39:AN39)*(1+$BN39))*AX39/4,0)</f>
        <v>0</v>
      </c>
      <c r="AP39" s="72">
        <f t="shared" si="203"/>
        <v>0</v>
      </c>
      <c r="AQ39" s="72">
        <f t="shared" si="203"/>
        <v>0</v>
      </c>
      <c r="AR39" s="73">
        <f t="shared" si="203"/>
        <v>0</v>
      </c>
      <c r="AS39" s="71">
        <f t="shared" si="203"/>
        <v>0</v>
      </c>
      <c r="AT39" s="72">
        <f t="shared" si="203"/>
        <v>0</v>
      </c>
      <c r="AU39" s="72">
        <f t="shared" si="203"/>
        <v>0</v>
      </c>
      <c r="AV39" s="73">
        <f t="shared" si="203"/>
        <v>0</v>
      </c>
      <c r="AW39" s="17"/>
      <c r="AX39" s="528">
        <f>AVERAGE(Q39/($BD39*(1+$BH39)^((AX$6-1)/4)),U39/($BD39*(1+$BH39)^(3/4)*(1+$BI39)^(AX$6/4)),Y39/($BD39*(1+$BH39)^(3/4)*(1+$BI39)*(1+$BJ39)^(AX$6/4)))</f>
        <v>0</v>
      </c>
      <c r="AY39" s="528">
        <f t="shared" ref="AY39" si="204">AVERAGE(R39/($BD39*(1+$BH39)^((AY$6-1)/4)),V39/($BD39*(1+$BH39)^(3/4)*(1+$BI39)^(AY$6/4)),Z39/($BD39*(1+$BH39)^(3/4)*(1+$BI39)*(1+$BJ39)^(AY$6/4)))</f>
        <v>0</v>
      </c>
      <c r="AZ39" s="528">
        <f t="shared" ref="AZ39" si="205">AVERAGE(S39/($BD39*(1+$BH39)^((AZ$6-1)/4)),W39/($BD39*(1+$BH39)^(3/4)*(1+$BI39)^(AZ$6/4)),AA39/($BD39*(1+$BH39)^(3/4)*(1+$BI39)*(1+$BJ39)^(AZ$6/4)))</f>
        <v>0</v>
      </c>
      <c r="BA39" s="528">
        <f t="shared" ref="BA39" si="206">AVERAGE(T39/($BD39*(1+$BH39)^((BA$6-1)/4)),X39/($BD39*(1+$BH39)^(3/4)*(1+$BI39)^(BA$6/4)),AB39/($BD39*(1+$BH39)^(3/4)*(1+$BI39)*(1+$BJ39)^(BA$6/4)))</f>
        <v>0</v>
      </c>
      <c r="BB39" s="538">
        <f>+SUM(AX39:BA39)</f>
        <v>0</v>
      </c>
      <c r="BC39" s="2"/>
      <c r="BD39" s="3">
        <v>1</v>
      </c>
      <c r="BE39" s="185" t="str">
        <f>"Growth in "&amp;A39</f>
        <v>Growth in Other Revenue</v>
      </c>
      <c r="BF39" s="59">
        <f>IFERROR(SUM(I39:L39)/SUM(E39:H39)-1,0)</f>
        <v>0</v>
      </c>
      <c r="BG39" s="59">
        <f>IFERROR(SUM(M39:P39)/SUM(I39:L39)-1,0)</f>
        <v>0</v>
      </c>
      <c r="BH39" s="59">
        <f>IFERROR(SUM(Q39:T39)/SUM(M39:P39)-1,0)</f>
        <v>0</v>
      </c>
      <c r="BI39" s="330">
        <f>IFERROR(SUM(U39:X39)/SUM(Q39:T39)-1,0)</f>
        <v>0</v>
      </c>
      <c r="BJ39" s="330">
        <f>IFERROR(SUM(Y39:AB39)/SUM(U39:X39)-1,0)</f>
        <v>0</v>
      </c>
      <c r="BK39" s="207">
        <v>0</v>
      </c>
      <c r="BL39" s="207">
        <v>0</v>
      </c>
      <c r="BM39" s="207">
        <v>0</v>
      </c>
      <c r="BN39" s="207">
        <v>0</v>
      </c>
      <c r="BO39" s="207">
        <v>0</v>
      </c>
      <c r="BR39" s="77">
        <f t="shared" si="0"/>
        <v>36</v>
      </c>
    </row>
    <row r="40" spans="1:70" ht="11.25" hidden="1" customHeight="1" outlineLevel="1" x14ac:dyDescent="0.25">
      <c r="B40" s="188" t="str">
        <f>"Cost of "&amp;A39</f>
        <v>Cost of Other Revenue</v>
      </c>
      <c r="E40" s="287">
        <f>Reported!C22</f>
        <v>0</v>
      </c>
      <c r="F40" s="288">
        <f>Reported!D22</f>
        <v>0</v>
      </c>
      <c r="G40" s="288">
        <f>Reported!E22</f>
        <v>0</v>
      </c>
      <c r="H40" s="289">
        <f>Reported!F22</f>
        <v>0</v>
      </c>
      <c r="I40" s="287">
        <f>Reported!G22</f>
        <v>0</v>
      </c>
      <c r="J40" s="288">
        <f>Reported!H22</f>
        <v>0</v>
      </c>
      <c r="K40" s="288">
        <f>Reported!I22</f>
        <v>0</v>
      </c>
      <c r="L40" s="288">
        <f>Reported!J22</f>
        <v>0</v>
      </c>
      <c r="M40" s="287">
        <f>Reported!K22</f>
        <v>0</v>
      </c>
      <c r="N40" s="288">
        <f>Reported!L22</f>
        <v>0</v>
      </c>
      <c r="O40" s="288">
        <f>Reported!M22</f>
        <v>0</v>
      </c>
      <c r="P40" s="288">
        <f>Reported!N22</f>
        <v>0</v>
      </c>
      <c r="Q40" s="287">
        <f>Reported!O22</f>
        <v>0</v>
      </c>
      <c r="R40" s="288">
        <f>Reported!P22</f>
        <v>0</v>
      </c>
      <c r="S40" s="288">
        <f>Reported!Q22</f>
        <v>0</v>
      </c>
      <c r="T40" s="288">
        <f>Reported!R22</f>
        <v>0</v>
      </c>
      <c r="U40" s="287">
        <f>Reported!S22</f>
        <v>0</v>
      </c>
      <c r="V40" s="288">
        <f>Reported!T22</f>
        <v>0</v>
      </c>
      <c r="W40" s="288">
        <f>Reported!U22</f>
        <v>0</v>
      </c>
      <c r="X40" s="288">
        <f>Reported!V22</f>
        <v>0</v>
      </c>
      <c r="Y40" s="287">
        <f>Reported!W22</f>
        <v>0</v>
      </c>
      <c r="Z40" s="288">
        <f>Reported!X22</f>
        <v>0</v>
      </c>
      <c r="AA40" s="288">
        <f>Reported!Y22</f>
        <v>0</v>
      </c>
      <c r="AB40" s="288">
        <f>Reported!Z22</f>
        <v>0</v>
      </c>
      <c r="AC40" s="287">
        <f>Reported!AA22</f>
        <v>0</v>
      </c>
      <c r="AD40" s="75">
        <f t="shared" ref="AD40:AR40" si="207">AD39*AD42</f>
        <v>0</v>
      </c>
      <c r="AE40" s="75">
        <f t="shared" si="207"/>
        <v>0</v>
      </c>
      <c r="AF40" s="76">
        <f t="shared" si="207"/>
        <v>0</v>
      </c>
      <c r="AG40" s="75">
        <f t="shared" si="207"/>
        <v>0</v>
      </c>
      <c r="AH40" s="75">
        <f t="shared" si="207"/>
        <v>0</v>
      </c>
      <c r="AI40" s="75">
        <f t="shared" si="207"/>
        <v>0</v>
      </c>
      <c r="AJ40" s="76">
        <f t="shared" si="207"/>
        <v>0</v>
      </c>
      <c r="AK40" s="74">
        <f t="shared" si="207"/>
        <v>0</v>
      </c>
      <c r="AL40" s="75">
        <f t="shared" si="207"/>
        <v>0</v>
      </c>
      <c r="AM40" s="75">
        <f t="shared" si="207"/>
        <v>0</v>
      </c>
      <c r="AN40" s="76">
        <f t="shared" si="207"/>
        <v>0</v>
      </c>
      <c r="AO40" s="74">
        <f t="shared" si="207"/>
        <v>0</v>
      </c>
      <c r="AP40" s="75">
        <f t="shared" si="207"/>
        <v>0</v>
      </c>
      <c r="AQ40" s="75">
        <f t="shared" si="207"/>
        <v>0</v>
      </c>
      <c r="AR40" s="76">
        <f t="shared" si="207"/>
        <v>0</v>
      </c>
      <c r="AS40" s="74">
        <f t="shared" ref="AS40" si="208">AS39*AS42</f>
        <v>0</v>
      </c>
      <c r="AT40" s="75">
        <f t="shared" ref="AT40" si="209">AT39*AT42</f>
        <v>0</v>
      </c>
      <c r="AU40" s="75">
        <f t="shared" ref="AU40" si="210">AU39*AU42</f>
        <v>0</v>
      </c>
      <c r="AV40" s="76">
        <f t="shared" ref="AV40" si="211">AV39*AV42</f>
        <v>0</v>
      </c>
      <c r="AW40" s="61"/>
      <c r="AX40" s="389"/>
      <c r="AY40" s="389"/>
      <c r="AZ40" s="389"/>
      <c r="BA40" s="389"/>
      <c r="BB40" s="535"/>
      <c r="BD40" s="2"/>
      <c r="BE40" s="185" t="str">
        <f>"Growth in "&amp;B40</f>
        <v>Growth in Cost of Other Revenue</v>
      </c>
      <c r="BF40" s="59">
        <f>IFERROR(SUM(I40:L40)/SUM(E40:H40)-1,0)</f>
        <v>0</v>
      </c>
      <c r="BG40" s="59">
        <f>IFERROR(SUM(M40:P40)/SUM(I40:L40)-1,0)</f>
        <v>0</v>
      </c>
      <c r="BH40" s="59">
        <f>IFERROR(SUM(Q40:T40)/SUM(M40:P40)-1,0)</f>
        <v>0</v>
      </c>
      <c r="BI40" s="59">
        <f>IFERROR(SUM(U40:X40)/SUM(Q40:T40)-1,0)</f>
        <v>0</v>
      </c>
      <c r="BJ40" s="59">
        <f>IFERROR(SUM(Y40:AB40)/SUM(Y$9:AB$9),0)</f>
        <v>0</v>
      </c>
      <c r="BK40" s="59">
        <f>IFERROR(SUM(AC40:AF40)/SUM(Y40:AB40)-1,0)</f>
        <v>0</v>
      </c>
      <c r="BL40" s="59">
        <f>IFERROR(SUM(AG40:AJ40)/SUM(AC40:AF40)-1,0)</f>
        <v>0</v>
      </c>
      <c r="BM40" s="59">
        <f>IFERROR(SUM(AK40:AN40)/SUM(AG40:AJ40)-1,0)</f>
        <v>0</v>
      </c>
      <c r="BN40" s="59">
        <f>IFERROR(SUM(AO40:AR40)/SUM(AK40:AN40)-1,0)</f>
        <v>0</v>
      </c>
      <c r="BO40" s="59">
        <f>IFERROR(SUM(AP40:AS40)/SUM(AL40:AO40)-1,0)</f>
        <v>0</v>
      </c>
      <c r="BR40" s="77">
        <f t="shared" si="0"/>
        <v>37</v>
      </c>
    </row>
    <row r="41" spans="1:70" ht="11.25" hidden="1" customHeight="1" outlineLevel="1" x14ac:dyDescent="0.15">
      <c r="B41" s="188" t="str">
        <f>A39&amp;" Margin"</f>
        <v>Other Revenue Margin</v>
      </c>
      <c r="E41" s="317">
        <f>E39-E40</f>
        <v>0</v>
      </c>
      <c r="F41" s="318">
        <f t="shared" ref="F41" si="212">F39-F40</f>
        <v>0</v>
      </c>
      <c r="G41" s="318">
        <f t="shared" ref="G41" si="213">G39-G40</f>
        <v>0</v>
      </c>
      <c r="H41" s="319">
        <f t="shared" ref="H41" si="214">H39-H40</f>
        <v>0</v>
      </c>
      <c r="I41" s="317">
        <f t="shared" ref="I41" si="215">I39-I40</f>
        <v>0</v>
      </c>
      <c r="J41" s="318">
        <f t="shared" ref="J41" si="216">J39-J40</f>
        <v>0</v>
      </c>
      <c r="K41" s="318">
        <f t="shared" ref="K41" si="217">K39-K40</f>
        <v>0</v>
      </c>
      <c r="L41" s="318">
        <f t="shared" ref="L41" si="218">L39-L40</f>
        <v>0</v>
      </c>
      <c r="M41" s="317">
        <f t="shared" ref="M41" si="219">M39-M40</f>
        <v>0</v>
      </c>
      <c r="N41" s="318">
        <f t="shared" ref="N41" si="220">N39-N40</f>
        <v>0</v>
      </c>
      <c r="O41" s="318">
        <f t="shared" ref="O41" si="221">O39-O40</f>
        <v>0</v>
      </c>
      <c r="P41" s="318">
        <f t="shared" ref="P41" si="222">P39-P40</f>
        <v>0</v>
      </c>
      <c r="Q41" s="317">
        <f t="shared" ref="Q41" si="223">Q39-Q40</f>
        <v>0</v>
      </c>
      <c r="R41" s="318">
        <f t="shared" ref="R41" si="224">R39-R40</f>
        <v>0</v>
      </c>
      <c r="S41" s="318">
        <f t="shared" ref="S41" si="225">S39-S40</f>
        <v>0</v>
      </c>
      <c r="T41" s="318">
        <f t="shared" ref="T41" si="226">T39-T40</f>
        <v>0</v>
      </c>
      <c r="U41" s="317">
        <f t="shared" ref="U41" si="227">U39-U40</f>
        <v>0</v>
      </c>
      <c r="V41" s="318">
        <f t="shared" ref="V41" si="228">V39-V40</f>
        <v>0</v>
      </c>
      <c r="W41" s="318">
        <f t="shared" ref="W41" si="229">W39-W40</f>
        <v>0</v>
      </c>
      <c r="X41" s="318">
        <f t="shared" ref="X41" si="230">X39-X40</f>
        <v>0</v>
      </c>
      <c r="Y41" s="317">
        <f t="shared" ref="Y41" si="231">Y39-Y40</f>
        <v>0</v>
      </c>
      <c r="Z41" s="318">
        <f t="shared" ref="Z41" si="232">Z39-Z40</f>
        <v>0</v>
      </c>
      <c r="AA41" s="318">
        <f t="shared" ref="AA41" si="233">AA39-AA40</f>
        <v>0</v>
      </c>
      <c r="AB41" s="318">
        <f t="shared" ref="AB41:AC41" si="234">AB39-AB40</f>
        <v>0</v>
      </c>
      <c r="AC41" s="317">
        <f t="shared" si="234"/>
        <v>0</v>
      </c>
      <c r="AD41" s="49">
        <f t="shared" ref="AD41" si="235">AD39-AD40</f>
        <v>0</v>
      </c>
      <c r="AE41" s="49">
        <f t="shared" ref="AE41" si="236">AE39-AE40</f>
        <v>0</v>
      </c>
      <c r="AF41" s="50">
        <f t="shared" ref="AF41" si="237">AF39-AF40</f>
        <v>0</v>
      </c>
      <c r="AG41" s="49">
        <f t="shared" ref="AG41" si="238">AG39-AG40</f>
        <v>0</v>
      </c>
      <c r="AH41" s="49">
        <f t="shared" ref="AH41" si="239">AH39-AH40</f>
        <v>0</v>
      </c>
      <c r="AI41" s="49">
        <f t="shared" ref="AI41" si="240">AI39-AI40</f>
        <v>0</v>
      </c>
      <c r="AJ41" s="49">
        <f t="shared" ref="AJ41" si="241">AJ39-AJ40</f>
        <v>0</v>
      </c>
      <c r="AK41" s="24">
        <f t="shared" ref="AK41" si="242">AK39-AK40</f>
        <v>0</v>
      </c>
      <c r="AL41" s="49">
        <f t="shared" ref="AL41" si="243">AL39-AL40</f>
        <v>0</v>
      </c>
      <c r="AM41" s="49">
        <f t="shared" ref="AM41" si="244">AM39-AM40</f>
        <v>0</v>
      </c>
      <c r="AN41" s="49">
        <f t="shared" ref="AN41" si="245">AN39-AN40</f>
        <v>0</v>
      </c>
      <c r="AO41" s="24">
        <f t="shared" ref="AO41" si="246">AO39-AO40</f>
        <v>0</v>
      </c>
      <c r="AP41" s="49">
        <f t="shared" ref="AP41" si="247">AP39-AP40</f>
        <v>0</v>
      </c>
      <c r="AQ41" s="49">
        <f t="shared" ref="AQ41" si="248">AQ39-AQ40</f>
        <v>0</v>
      </c>
      <c r="AR41" s="50">
        <f t="shared" ref="AR41:AU41" si="249">AR39-AR40</f>
        <v>0</v>
      </c>
      <c r="AS41" s="24">
        <f t="shared" si="249"/>
        <v>0</v>
      </c>
      <c r="AT41" s="49">
        <f t="shared" si="249"/>
        <v>0</v>
      </c>
      <c r="AU41" s="49">
        <f t="shared" si="249"/>
        <v>0</v>
      </c>
      <c r="AV41" s="50">
        <f t="shared" ref="AV41" si="250">AV39-AV40</f>
        <v>0</v>
      </c>
      <c r="AW41" s="61"/>
      <c r="AX41" s="389"/>
      <c r="AY41" s="389"/>
      <c r="AZ41" s="389"/>
      <c r="BA41" s="389"/>
      <c r="BB41" s="535"/>
      <c r="BD41" s="2"/>
      <c r="BE41" s="185"/>
      <c r="BF41" s="292"/>
      <c r="BG41" s="292"/>
      <c r="BH41" s="292"/>
      <c r="BI41" s="292"/>
      <c r="BJ41" s="292"/>
      <c r="BK41" s="292"/>
      <c r="BL41" s="292"/>
      <c r="BM41" s="292"/>
      <c r="BN41" s="292"/>
      <c r="BO41" s="292"/>
      <c r="BR41" s="77">
        <f t="shared" si="0"/>
        <v>38</v>
      </c>
    </row>
    <row r="42" spans="1:70" ht="11.25" hidden="1" customHeight="1" outlineLevel="1" x14ac:dyDescent="0.15">
      <c r="B42" s="188" t="str">
        <f>"% Cost of "&amp;A39</f>
        <v>% Cost of Other Revenue</v>
      </c>
      <c r="E42" s="112">
        <f t="shared" ref="E42:AB42" si="251">IFERROR(E40/E39,0)</f>
        <v>0</v>
      </c>
      <c r="F42" s="113">
        <f t="shared" si="251"/>
        <v>0</v>
      </c>
      <c r="G42" s="113">
        <f t="shared" si="251"/>
        <v>0</v>
      </c>
      <c r="H42" s="177">
        <f t="shared" si="251"/>
        <v>0</v>
      </c>
      <c r="I42" s="112">
        <f t="shared" si="251"/>
        <v>0</v>
      </c>
      <c r="J42" s="113">
        <f t="shared" si="251"/>
        <v>0</v>
      </c>
      <c r="K42" s="113">
        <f t="shared" si="251"/>
        <v>0</v>
      </c>
      <c r="L42" s="113">
        <f t="shared" si="251"/>
        <v>0</v>
      </c>
      <c r="M42" s="112">
        <f t="shared" si="251"/>
        <v>0</v>
      </c>
      <c r="N42" s="113">
        <f t="shared" si="251"/>
        <v>0</v>
      </c>
      <c r="O42" s="113">
        <f t="shared" si="251"/>
        <v>0</v>
      </c>
      <c r="P42" s="113">
        <f t="shared" si="251"/>
        <v>0</v>
      </c>
      <c r="Q42" s="112">
        <f t="shared" si="251"/>
        <v>0</v>
      </c>
      <c r="R42" s="113">
        <f t="shared" si="251"/>
        <v>0</v>
      </c>
      <c r="S42" s="113">
        <f t="shared" si="251"/>
        <v>0</v>
      </c>
      <c r="T42" s="113">
        <f t="shared" si="251"/>
        <v>0</v>
      </c>
      <c r="U42" s="112">
        <f t="shared" si="251"/>
        <v>0</v>
      </c>
      <c r="V42" s="113">
        <f t="shared" si="251"/>
        <v>0</v>
      </c>
      <c r="W42" s="113">
        <f t="shared" si="251"/>
        <v>0</v>
      </c>
      <c r="X42" s="113">
        <f t="shared" si="251"/>
        <v>0</v>
      </c>
      <c r="Y42" s="112">
        <f t="shared" si="251"/>
        <v>0</v>
      </c>
      <c r="Z42" s="113">
        <f t="shared" si="251"/>
        <v>0</v>
      </c>
      <c r="AA42" s="113">
        <f t="shared" si="251"/>
        <v>0</v>
      </c>
      <c r="AB42" s="113">
        <f t="shared" si="251"/>
        <v>0</v>
      </c>
      <c r="AC42" s="112">
        <f t="shared" ref="AC42" si="252">IFERROR(AC40/AC39,0)</f>
        <v>0</v>
      </c>
      <c r="AD42" s="78">
        <f>$BK42</f>
        <v>0</v>
      </c>
      <c r="AE42" s="78">
        <f>$BK42</f>
        <v>0</v>
      </c>
      <c r="AF42" s="80">
        <f>$BK42</f>
        <v>0</v>
      </c>
      <c r="AG42" s="78">
        <f>$BL42</f>
        <v>0</v>
      </c>
      <c r="AH42" s="78">
        <f>$BL42</f>
        <v>0</v>
      </c>
      <c r="AI42" s="78">
        <f>$BL42</f>
        <v>0</v>
      </c>
      <c r="AJ42" s="80">
        <f>$BL42</f>
        <v>0</v>
      </c>
      <c r="AK42" s="79">
        <f>$BM42</f>
        <v>0</v>
      </c>
      <c r="AL42" s="78">
        <f>$BM42</f>
        <v>0</v>
      </c>
      <c r="AM42" s="78">
        <f>$BM42</f>
        <v>0</v>
      </c>
      <c r="AN42" s="80">
        <f>$BM42</f>
        <v>0</v>
      </c>
      <c r="AO42" s="79">
        <f t="shared" ref="AO42:AV42" si="253">$BN42</f>
        <v>0</v>
      </c>
      <c r="AP42" s="78">
        <f t="shared" si="253"/>
        <v>0</v>
      </c>
      <c r="AQ42" s="78">
        <f t="shared" si="253"/>
        <v>0</v>
      </c>
      <c r="AR42" s="80">
        <f t="shared" si="253"/>
        <v>0</v>
      </c>
      <c r="AS42" s="79">
        <f t="shared" si="253"/>
        <v>0</v>
      </c>
      <c r="AT42" s="78">
        <f t="shared" si="253"/>
        <v>0</v>
      </c>
      <c r="AU42" s="78">
        <f t="shared" si="253"/>
        <v>0</v>
      </c>
      <c r="AV42" s="80">
        <f t="shared" si="253"/>
        <v>0</v>
      </c>
      <c r="AW42" s="60"/>
      <c r="AX42" s="388">
        <f>IFERROR(1-(1-$BB42)*(1-(SUMIFS($E42:$AR42,$E$3:$AR$3,#REF!,$E$5:$AR$5,"Actual"))/SUMIFS($E42:$AR42,$E$5:$AR$5,"Actual")*4),0)</f>
        <v>0</v>
      </c>
      <c r="AY42" s="388">
        <f>IFERROR(1-(1-$BB42)*(1-(SUMIFS($E42:$AR42,$E$3:$AR$3,#REF!,$E$5:$AR$5,"Actual"))/SUMIFS($E42:$AR42,$E$5:$AR$5,"Actual")*4),0)</f>
        <v>0</v>
      </c>
      <c r="AZ42" s="388">
        <f>IFERROR(1-(1-$BB42)*(1-(SUMIFS($E42:$AR42,$E$3:$AR$3,#REF!,$E$5:$AR$5,"Actual"))/SUMIFS($E42:$AR42,$E$5:$AR$5,"Actual")*4),0)</f>
        <v>0</v>
      </c>
      <c r="BA42" s="388">
        <f>IFERROR(1-(1-$BB42)*(1-(SUMIFS($E42:$AR42,$E$3:$AR$3,#REF!,$E$5:$AR$5,"Actual"))/SUMIFS($E42:$AR42,$E$5:$AR$5,"Actual")*4),0)</f>
        <v>0</v>
      </c>
      <c r="BB42" s="536">
        <v>0</v>
      </c>
      <c r="BD42" s="2"/>
      <c r="BE42" s="185" t="str">
        <f>B42</f>
        <v>% Cost of Other Revenue</v>
      </c>
      <c r="BF42" s="59">
        <f>IFERROR(SUM(I40:L40)/SUM(I39:L39),0)</f>
        <v>0</v>
      </c>
      <c r="BG42" s="59">
        <f>IFERROR(SUM(M40:P40)/SUM(M39:P39),0)</f>
        <v>0</v>
      </c>
      <c r="BH42" s="59">
        <f>IFERROR(SUM(Q40:T40)/SUM(Q39:T39),0)</f>
        <v>0</v>
      </c>
      <c r="BI42" s="207">
        <v>0</v>
      </c>
      <c r="BJ42" s="207">
        <v>0</v>
      </c>
      <c r="BK42" s="207">
        <v>0</v>
      </c>
      <c r="BL42" s="207">
        <v>0</v>
      </c>
      <c r="BM42" s="207">
        <v>0</v>
      </c>
      <c r="BN42" s="207">
        <v>0</v>
      </c>
      <c r="BO42" s="207">
        <v>1</v>
      </c>
      <c r="BR42" s="77">
        <f t="shared" si="0"/>
        <v>39</v>
      </c>
    </row>
    <row r="43" spans="1:70" ht="11.25" hidden="1" customHeight="1" outlineLevel="1" x14ac:dyDescent="0.15">
      <c r="B43" s="188"/>
      <c r="E43" s="112"/>
      <c r="F43" s="113"/>
      <c r="G43" s="113"/>
      <c r="H43" s="177"/>
      <c r="I43" s="112"/>
      <c r="J43" s="113"/>
      <c r="K43" s="113"/>
      <c r="L43" s="113"/>
      <c r="M43" s="112"/>
      <c r="N43" s="113"/>
      <c r="O43" s="113"/>
      <c r="P43" s="113"/>
      <c r="Q43" s="112"/>
      <c r="R43" s="113"/>
      <c r="S43" s="113"/>
      <c r="T43" s="113"/>
      <c r="U43" s="112"/>
      <c r="V43" s="113"/>
      <c r="W43" s="113"/>
      <c r="X43" s="113"/>
      <c r="Y43" s="112"/>
      <c r="Z43" s="113"/>
      <c r="AA43" s="113"/>
      <c r="AB43" s="113"/>
      <c r="AC43" s="112"/>
      <c r="AD43" s="78"/>
      <c r="AE43" s="78"/>
      <c r="AF43" s="80"/>
      <c r="AG43" s="78"/>
      <c r="AH43" s="78"/>
      <c r="AI43" s="78"/>
      <c r="AJ43" s="80"/>
      <c r="AK43" s="79"/>
      <c r="AL43" s="78"/>
      <c r="AM43" s="78"/>
      <c r="AN43" s="80"/>
      <c r="AO43" s="79"/>
      <c r="AP43" s="78"/>
      <c r="AQ43" s="78"/>
      <c r="AR43" s="80"/>
      <c r="AS43" s="79"/>
      <c r="AT43" s="78"/>
      <c r="AU43" s="78"/>
      <c r="AV43" s="80"/>
      <c r="AW43" s="60"/>
      <c r="AX43" s="388"/>
      <c r="AY43" s="388"/>
      <c r="AZ43" s="388"/>
      <c r="BA43" s="388"/>
      <c r="BB43" s="536"/>
      <c r="BD43" s="2"/>
      <c r="BE43" s="185"/>
      <c r="BF43" s="59"/>
      <c r="BG43" s="59"/>
      <c r="BH43" s="59"/>
      <c r="BI43" s="207"/>
      <c r="BJ43" s="207"/>
      <c r="BK43" s="207"/>
      <c r="BL43" s="207"/>
      <c r="BM43" s="207"/>
      <c r="BN43" s="207"/>
      <c r="BO43" s="207"/>
      <c r="BR43" s="77"/>
    </row>
    <row r="44" spans="1:70" ht="11.25" customHeight="1" x14ac:dyDescent="0.15">
      <c r="B44" s="185"/>
      <c r="E44" s="112"/>
      <c r="F44" s="113"/>
      <c r="G44" s="113"/>
      <c r="H44" s="177"/>
      <c r="I44" s="112"/>
      <c r="J44" s="113"/>
      <c r="K44" s="113"/>
      <c r="L44" s="113"/>
      <c r="M44" s="112"/>
      <c r="N44" s="113"/>
      <c r="O44" s="113"/>
      <c r="P44" s="113"/>
      <c r="Q44" s="112"/>
      <c r="R44" s="113"/>
      <c r="S44" s="113"/>
      <c r="T44" s="113"/>
      <c r="U44" s="112"/>
      <c r="V44" s="113"/>
      <c r="W44" s="113"/>
      <c r="X44" s="113"/>
      <c r="Y44" s="112"/>
      <c r="Z44" s="113"/>
      <c r="AA44" s="113"/>
      <c r="AB44" s="113"/>
      <c r="AC44" s="112"/>
      <c r="AD44" s="66"/>
      <c r="AE44" s="66"/>
      <c r="AF44" s="68"/>
      <c r="AG44" s="66"/>
      <c r="AH44" s="66"/>
      <c r="AI44" s="66"/>
      <c r="AJ44" s="68"/>
      <c r="AK44" s="67"/>
      <c r="AL44" s="66"/>
      <c r="AM44" s="66"/>
      <c r="AN44" s="68"/>
      <c r="AO44" s="67"/>
      <c r="AP44" s="66"/>
      <c r="AQ44" s="66"/>
      <c r="AR44" s="68"/>
      <c r="AS44" s="67"/>
      <c r="AT44" s="66"/>
      <c r="AU44" s="66"/>
      <c r="AV44" s="68"/>
      <c r="AW44" s="60"/>
      <c r="AX44" s="389"/>
      <c r="AY44" s="389"/>
      <c r="AZ44" s="389"/>
      <c r="BA44" s="389"/>
      <c r="BB44" s="535"/>
      <c r="BD44" s="2"/>
      <c r="BE44" s="185"/>
      <c r="BR44" s="77">
        <f t="shared" si="0"/>
        <v>41</v>
      </c>
    </row>
    <row r="45" spans="1:70" ht="11.25" customHeight="1" x14ac:dyDescent="0.15">
      <c r="A45" s="6" t="s">
        <v>95</v>
      </c>
      <c r="E45" s="110">
        <f>E9+E14+E20+E29+E34+E39</f>
        <v>0</v>
      </c>
      <c r="F45" s="111">
        <f>F9+F14+F20+F29+F34+F39</f>
        <v>0</v>
      </c>
      <c r="G45" s="111">
        <f>G9+G14+G20+G29+G34+G39</f>
        <v>0</v>
      </c>
      <c r="H45" s="176">
        <f>H9+H14+H20+H29+H34+H39</f>
        <v>0</v>
      </c>
      <c r="I45" s="110"/>
      <c r="J45" s="111"/>
      <c r="K45" s="111"/>
      <c r="L45" s="111"/>
      <c r="M45" s="110"/>
      <c r="N45" s="111"/>
      <c r="O45" s="111"/>
      <c r="P45" s="111"/>
      <c r="Q45" s="110"/>
      <c r="R45" s="111"/>
      <c r="S45" s="111"/>
      <c r="T45" s="111"/>
      <c r="U45" s="110"/>
      <c r="V45" s="111"/>
      <c r="W45" s="111"/>
      <c r="X45" s="111"/>
      <c r="Y45" s="110"/>
      <c r="Z45" s="111"/>
      <c r="AA45" s="111"/>
      <c r="AB45" s="111"/>
      <c r="AC45" s="110"/>
      <c r="AD45" s="31"/>
      <c r="AE45" s="31"/>
      <c r="AF45" s="32"/>
      <c r="AG45" s="31"/>
      <c r="AH45" s="31"/>
      <c r="AI45" s="31"/>
      <c r="AJ45" s="31"/>
      <c r="AK45" s="15"/>
      <c r="AL45" s="31"/>
      <c r="AM45" s="31"/>
      <c r="AN45" s="31"/>
      <c r="AO45" s="15"/>
      <c r="AP45" s="31"/>
      <c r="AQ45" s="31"/>
      <c r="AR45" s="32"/>
      <c r="AS45" s="15"/>
      <c r="AT45" s="31"/>
      <c r="AU45" s="31"/>
      <c r="AV45" s="32"/>
      <c r="AX45" s="389"/>
      <c r="AY45" s="389"/>
      <c r="AZ45" s="389"/>
      <c r="BA45" s="389"/>
      <c r="BB45" s="535"/>
      <c r="BE45" s="185" t="str">
        <f>"Growth in "&amp;A45</f>
        <v>Growth in Revenue</v>
      </c>
      <c r="BG45" s="59">
        <f>IFERROR(SUM(M45:P45)/SUM(I45:L45)-1,0)</f>
        <v>0</v>
      </c>
      <c r="BH45" s="59">
        <f>IFERROR(SUM(Q45:T45)/SUM(M45:P45)-1,0)</f>
        <v>0</v>
      </c>
      <c r="BI45" s="59">
        <f>IFERROR(SUM(U45:X45)/SUM(Q45:T45)-1,0)</f>
        <v>0</v>
      </c>
      <c r="BJ45" s="59">
        <f>IFERROR(SUM(Y45:AB45)/SUM(U45:X45)-1,0)</f>
        <v>0</v>
      </c>
      <c r="BK45" s="59">
        <f>IFERROR(SUM(AC45:AF45)/SUM(Y45:AB45)-1,0)</f>
        <v>0</v>
      </c>
      <c r="BL45" s="59">
        <f>IFERROR(SUM(AG45:AJ45)/SUM(AC45:AF45)-1,0)</f>
        <v>0</v>
      </c>
      <c r="BM45" s="59">
        <f>IFERROR(SUM(AK45:AN45)/SUM(AG45:AJ45)-1,0)</f>
        <v>0</v>
      </c>
      <c r="BN45" s="59">
        <f>IFERROR(SUM(AO45:AR45)/SUM(AK45:AN45)-1,0)</f>
        <v>0</v>
      </c>
      <c r="BO45" s="59">
        <f>IFERROR(SUM(AP45:AS45)/SUM(AL45:AO45)-1,0)</f>
        <v>0</v>
      </c>
      <c r="BR45" s="77">
        <f t="shared" si="0"/>
        <v>42</v>
      </c>
    </row>
    <row r="46" spans="1:70" ht="11.25" customHeight="1" x14ac:dyDescent="0.15">
      <c r="A46" s="85"/>
      <c r="B46" s="188" t="s">
        <v>169</v>
      </c>
      <c r="E46" s="344"/>
      <c r="F46" s="342"/>
      <c r="G46" s="342"/>
      <c r="H46" s="343">
        <f t="shared" ref="H46" si="254">SUM(E45:H45)</f>
        <v>0</v>
      </c>
      <c r="I46" s="344">
        <f t="shared" ref="I46:AR46" si="255">I14+I20</f>
        <v>0</v>
      </c>
      <c r="J46" s="342">
        <f t="shared" si="255"/>
        <v>0</v>
      </c>
      <c r="K46" s="342">
        <f t="shared" si="255"/>
        <v>0</v>
      </c>
      <c r="L46" s="342">
        <f t="shared" si="255"/>
        <v>0</v>
      </c>
      <c r="M46" s="344">
        <f t="shared" si="255"/>
        <v>0</v>
      </c>
      <c r="N46" s="342">
        <f t="shared" si="255"/>
        <v>0</v>
      </c>
      <c r="O46" s="342">
        <f t="shared" si="255"/>
        <v>0</v>
      </c>
      <c r="P46" s="342">
        <f t="shared" si="255"/>
        <v>0</v>
      </c>
      <c r="Q46" s="344">
        <f t="shared" si="255"/>
        <v>0</v>
      </c>
      <c r="R46" s="342">
        <f t="shared" si="255"/>
        <v>0</v>
      </c>
      <c r="S46" s="342">
        <f t="shared" si="255"/>
        <v>0</v>
      </c>
      <c r="T46" s="342">
        <f t="shared" si="255"/>
        <v>0</v>
      </c>
      <c r="U46" s="344">
        <f t="shared" si="255"/>
        <v>0</v>
      </c>
      <c r="V46" s="342">
        <f t="shared" si="255"/>
        <v>0</v>
      </c>
      <c r="W46" s="342">
        <f t="shared" si="255"/>
        <v>0</v>
      </c>
      <c r="X46" s="342">
        <f t="shared" si="255"/>
        <v>0</v>
      </c>
      <c r="Y46" s="344">
        <f t="shared" si="255"/>
        <v>0</v>
      </c>
      <c r="Z46" s="342">
        <f t="shared" si="255"/>
        <v>0</v>
      </c>
      <c r="AA46" s="342">
        <f t="shared" si="255"/>
        <v>0</v>
      </c>
      <c r="AB46" s="342">
        <f t="shared" si="255"/>
        <v>0</v>
      </c>
      <c r="AC46" s="344">
        <f t="shared" ref="AC46" si="256">AC14+AC20</f>
        <v>0</v>
      </c>
      <c r="AD46" s="248">
        <f t="shared" si="255"/>
        <v>0</v>
      </c>
      <c r="AE46" s="248">
        <f t="shared" si="255"/>
        <v>0</v>
      </c>
      <c r="AF46" s="341">
        <f t="shared" si="255"/>
        <v>0</v>
      </c>
      <c r="AG46" s="248">
        <f t="shared" si="255"/>
        <v>0</v>
      </c>
      <c r="AH46" s="248">
        <f t="shared" si="255"/>
        <v>0</v>
      </c>
      <c r="AI46" s="248">
        <f t="shared" si="255"/>
        <v>0</v>
      </c>
      <c r="AJ46" s="248">
        <f t="shared" si="255"/>
        <v>0</v>
      </c>
      <c r="AK46" s="84">
        <f t="shared" si="255"/>
        <v>0</v>
      </c>
      <c r="AL46" s="248">
        <f t="shared" si="255"/>
        <v>0</v>
      </c>
      <c r="AM46" s="248">
        <f t="shared" si="255"/>
        <v>0</v>
      </c>
      <c r="AN46" s="248">
        <f t="shared" si="255"/>
        <v>0</v>
      </c>
      <c r="AO46" s="84">
        <f t="shared" si="255"/>
        <v>0</v>
      </c>
      <c r="AP46" s="248">
        <f t="shared" si="255"/>
        <v>0</v>
      </c>
      <c r="AQ46" s="248">
        <f t="shared" si="255"/>
        <v>0</v>
      </c>
      <c r="AR46" s="341">
        <f t="shared" si="255"/>
        <v>0</v>
      </c>
      <c r="AS46" s="84">
        <f t="shared" ref="AS46:AV46" si="257">AS14+AS20</f>
        <v>0</v>
      </c>
      <c r="AT46" s="248">
        <f t="shared" si="257"/>
        <v>0</v>
      </c>
      <c r="AU46" s="248">
        <f t="shared" si="257"/>
        <v>0</v>
      </c>
      <c r="AV46" s="341">
        <f t="shared" si="257"/>
        <v>0</v>
      </c>
      <c r="AX46" s="413"/>
      <c r="AY46" s="413"/>
      <c r="AZ46" s="413"/>
      <c r="BA46" s="413"/>
      <c r="BB46" s="537"/>
      <c r="BR46" s="77">
        <f t="shared" si="0"/>
        <v>43</v>
      </c>
    </row>
    <row r="47" spans="1:70" ht="11.25" customHeight="1" x14ac:dyDescent="0.25">
      <c r="B47" s="188" t="s">
        <v>170</v>
      </c>
      <c r="E47" s="112"/>
      <c r="F47" s="113"/>
      <c r="G47" s="113"/>
      <c r="H47" s="177"/>
      <c r="I47" s="423">
        <f t="shared" ref="I47:AR47" si="258">I9+I29+I34+I39</f>
        <v>0</v>
      </c>
      <c r="J47" s="109">
        <f t="shared" si="258"/>
        <v>0</v>
      </c>
      <c r="K47" s="109">
        <f t="shared" si="258"/>
        <v>0</v>
      </c>
      <c r="L47" s="109">
        <f t="shared" si="258"/>
        <v>0</v>
      </c>
      <c r="M47" s="108">
        <f t="shared" si="258"/>
        <v>0</v>
      </c>
      <c r="N47" s="109">
        <f t="shared" si="258"/>
        <v>0</v>
      </c>
      <c r="O47" s="109">
        <f t="shared" si="258"/>
        <v>0</v>
      </c>
      <c r="P47" s="109">
        <f t="shared" si="258"/>
        <v>0</v>
      </c>
      <c r="Q47" s="108">
        <f t="shared" si="258"/>
        <v>0</v>
      </c>
      <c r="R47" s="109">
        <f t="shared" si="258"/>
        <v>0</v>
      </c>
      <c r="S47" s="109">
        <f t="shared" si="258"/>
        <v>0</v>
      </c>
      <c r="T47" s="109">
        <f t="shared" si="258"/>
        <v>0</v>
      </c>
      <c r="U47" s="108">
        <f t="shared" si="258"/>
        <v>0</v>
      </c>
      <c r="V47" s="109">
        <f t="shared" si="258"/>
        <v>0</v>
      </c>
      <c r="W47" s="109">
        <f t="shared" si="258"/>
        <v>0</v>
      </c>
      <c r="X47" s="109">
        <f t="shared" si="258"/>
        <v>0</v>
      </c>
      <c r="Y47" s="108">
        <f t="shared" si="258"/>
        <v>0</v>
      </c>
      <c r="Z47" s="109">
        <f t="shared" si="258"/>
        <v>0</v>
      </c>
      <c r="AA47" s="109">
        <f t="shared" si="258"/>
        <v>0</v>
      </c>
      <c r="AB47" s="109">
        <f t="shared" si="258"/>
        <v>0</v>
      </c>
      <c r="AC47" s="108">
        <f t="shared" ref="AC47" si="259">AC9+AC29+AC34+AC39</f>
        <v>0</v>
      </c>
      <c r="AD47" s="425">
        <f t="shared" si="258"/>
        <v>0</v>
      </c>
      <c r="AE47" s="425">
        <f t="shared" si="258"/>
        <v>0</v>
      </c>
      <c r="AF47" s="426">
        <f t="shared" si="258"/>
        <v>0</v>
      </c>
      <c r="AG47" s="425">
        <f t="shared" si="258"/>
        <v>0</v>
      </c>
      <c r="AH47" s="425">
        <f t="shared" si="258"/>
        <v>0</v>
      </c>
      <c r="AI47" s="425">
        <f t="shared" si="258"/>
        <v>0</v>
      </c>
      <c r="AJ47" s="425">
        <f t="shared" si="258"/>
        <v>0</v>
      </c>
      <c r="AK47" s="424">
        <f t="shared" si="258"/>
        <v>0</v>
      </c>
      <c r="AL47" s="425">
        <f t="shared" si="258"/>
        <v>0</v>
      </c>
      <c r="AM47" s="425">
        <f t="shared" si="258"/>
        <v>0</v>
      </c>
      <c r="AN47" s="425">
        <f t="shared" si="258"/>
        <v>0</v>
      </c>
      <c r="AO47" s="424">
        <f t="shared" si="258"/>
        <v>0</v>
      </c>
      <c r="AP47" s="425">
        <f t="shared" si="258"/>
        <v>0</v>
      </c>
      <c r="AQ47" s="425">
        <f t="shared" si="258"/>
        <v>0</v>
      </c>
      <c r="AR47" s="426">
        <f t="shared" si="258"/>
        <v>0</v>
      </c>
      <c r="AS47" s="424">
        <f t="shared" ref="AS47:AV47" si="260">AS9+AS29+AS34+AS39</f>
        <v>0</v>
      </c>
      <c r="AT47" s="425">
        <f t="shared" si="260"/>
        <v>0</v>
      </c>
      <c r="AU47" s="425">
        <f t="shared" si="260"/>
        <v>0</v>
      </c>
      <c r="AV47" s="426">
        <f t="shared" si="260"/>
        <v>0</v>
      </c>
      <c r="AW47" s="60"/>
      <c r="AX47" s="389"/>
      <c r="AY47" s="389"/>
      <c r="AZ47" s="389"/>
      <c r="BA47" s="389"/>
      <c r="BB47" s="535"/>
      <c r="BD47" s="2"/>
      <c r="BE47" s="185"/>
      <c r="BR47" s="77">
        <f t="shared" si="0"/>
        <v>44</v>
      </c>
    </row>
    <row r="48" spans="1:70" ht="11.25" customHeight="1" x14ac:dyDescent="0.15">
      <c r="B48" s="188"/>
      <c r="E48" s="112"/>
      <c r="F48" s="113"/>
      <c r="G48" s="113"/>
      <c r="H48" s="177"/>
      <c r="I48" s="427">
        <f>SUM(I45:I47)</f>
        <v>0</v>
      </c>
      <c r="J48" s="111">
        <f t="shared" ref="J48:AR48" si="261">SUM(J45:J47)</f>
        <v>0</v>
      </c>
      <c r="K48" s="111">
        <f t="shared" si="261"/>
        <v>0</v>
      </c>
      <c r="L48" s="111">
        <f t="shared" si="261"/>
        <v>0</v>
      </c>
      <c r="M48" s="110">
        <f t="shared" si="261"/>
        <v>0</v>
      </c>
      <c r="N48" s="111">
        <f t="shared" si="261"/>
        <v>0</v>
      </c>
      <c r="O48" s="111">
        <f t="shared" si="261"/>
        <v>0</v>
      </c>
      <c r="P48" s="111">
        <f t="shared" si="261"/>
        <v>0</v>
      </c>
      <c r="Q48" s="110">
        <f t="shared" si="261"/>
        <v>0</v>
      </c>
      <c r="R48" s="111">
        <f t="shared" si="261"/>
        <v>0</v>
      </c>
      <c r="S48" s="111">
        <f t="shared" si="261"/>
        <v>0</v>
      </c>
      <c r="T48" s="111">
        <f t="shared" si="261"/>
        <v>0</v>
      </c>
      <c r="U48" s="110">
        <f t="shared" si="261"/>
        <v>0</v>
      </c>
      <c r="V48" s="111">
        <f t="shared" si="261"/>
        <v>0</v>
      </c>
      <c r="W48" s="111">
        <f t="shared" si="261"/>
        <v>0</v>
      </c>
      <c r="X48" s="111">
        <f t="shared" si="261"/>
        <v>0</v>
      </c>
      <c r="Y48" s="110">
        <f t="shared" si="261"/>
        <v>0</v>
      </c>
      <c r="Z48" s="111">
        <f t="shared" si="261"/>
        <v>0</v>
      </c>
      <c r="AA48" s="111">
        <f t="shared" si="261"/>
        <v>0</v>
      </c>
      <c r="AB48" s="111">
        <f t="shared" si="261"/>
        <v>0</v>
      </c>
      <c r="AC48" s="110">
        <f t="shared" ref="AC48" si="262">SUM(AC45:AC47)</f>
        <v>0</v>
      </c>
      <c r="AD48" s="434">
        <f t="shared" si="261"/>
        <v>0</v>
      </c>
      <c r="AE48" s="434">
        <f t="shared" si="261"/>
        <v>0</v>
      </c>
      <c r="AF48" s="435">
        <f t="shared" si="261"/>
        <v>0</v>
      </c>
      <c r="AG48" s="434">
        <f t="shared" si="261"/>
        <v>0</v>
      </c>
      <c r="AH48" s="434">
        <f t="shared" si="261"/>
        <v>0</v>
      </c>
      <c r="AI48" s="434">
        <f t="shared" si="261"/>
        <v>0</v>
      </c>
      <c r="AJ48" s="434">
        <f t="shared" si="261"/>
        <v>0</v>
      </c>
      <c r="AK48" s="433">
        <f t="shared" si="261"/>
        <v>0</v>
      </c>
      <c r="AL48" s="434">
        <f t="shared" si="261"/>
        <v>0</v>
      </c>
      <c r="AM48" s="434">
        <f t="shared" si="261"/>
        <v>0</v>
      </c>
      <c r="AN48" s="434">
        <f t="shared" si="261"/>
        <v>0</v>
      </c>
      <c r="AO48" s="433">
        <f t="shared" si="261"/>
        <v>0</v>
      </c>
      <c r="AP48" s="434">
        <f t="shared" si="261"/>
        <v>0</v>
      </c>
      <c r="AQ48" s="434">
        <f t="shared" si="261"/>
        <v>0</v>
      </c>
      <c r="AR48" s="435">
        <f t="shared" si="261"/>
        <v>0</v>
      </c>
      <c r="AS48" s="433">
        <f t="shared" ref="AS48:AV48" si="263">SUM(AS45:AS47)</f>
        <v>0</v>
      </c>
      <c r="AT48" s="434">
        <f t="shared" si="263"/>
        <v>0</v>
      </c>
      <c r="AU48" s="434">
        <f t="shared" si="263"/>
        <v>0</v>
      </c>
      <c r="AV48" s="435">
        <f t="shared" si="263"/>
        <v>0</v>
      </c>
      <c r="AW48" s="60"/>
      <c r="AX48" s="389"/>
      <c r="AY48" s="389"/>
      <c r="AZ48" s="389"/>
      <c r="BA48" s="389"/>
      <c r="BB48" s="535"/>
      <c r="BD48" s="2"/>
      <c r="BE48" s="185"/>
      <c r="BR48" s="77"/>
    </row>
    <row r="49" spans="1:70" ht="11.25" customHeight="1" x14ac:dyDescent="0.15">
      <c r="B49" s="188" t="s">
        <v>88</v>
      </c>
      <c r="E49" s="112"/>
      <c r="F49" s="113"/>
      <c r="G49" s="113"/>
      <c r="H49" s="177"/>
      <c r="I49" s="427"/>
      <c r="J49" s="111"/>
      <c r="K49" s="111"/>
      <c r="L49" s="111"/>
      <c r="M49" s="110"/>
      <c r="N49" s="111"/>
      <c r="O49" s="111"/>
      <c r="P49" s="111"/>
      <c r="Q49" s="110"/>
      <c r="R49" s="111"/>
      <c r="S49" s="111"/>
      <c r="T49" s="111"/>
      <c r="U49" s="110"/>
      <c r="V49" s="111"/>
      <c r="W49" s="111"/>
      <c r="X49" s="111"/>
      <c r="Y49" s="110"/>
      <c r="Z49" s="111"/>
      <c r="AA49" s="111"/>
      <c r="AB49" s="111"/>
      <c r="AC49" s="110"/>
      <c r="AD49" s="434"/>
      <c r="AE49" s="434"/>
      <c r="AF49" s="435"/>
      <c r="AG49" s="434"/>
      <c r="AH49" s="434"/>
      <c r="AI49" s="434"/>
      <c r="AJ49" s="434"/>
      <c r="AK49" s="433"/>
      <c r="AL49" s="434"/>
      <c r="AM49" s="434"/>
      <c r="AN49" s="434"/>
      <c r="AO49" s="433"/>
      <c r="AP49" s="434"/>
      <c r="AQ49" s="434"/>
      <c r="AR49" s="435"/>
      <c r="AS49" s="433"/>
      <c r="AT49" s="434"/>
      <c r="AU49" s="434"/>
      <c r="AV49" s="435"/>
      <c r="AW49" s="60"/>
      <c r="AX49" s="389"/>
      <c r="AY49" s="389"/>
      <c r="AZ49" s="389"/>
      <c r="BA49" s="389"/>
      <c r="BB49" s="535"/>
      <c r="BD49" s="2"/>
      <c r="BE49" s="185"/>
      <c r="BR49" s="77"/>
    </row>
    <row r="50" spans="1:70" ht="11.25" customHeight="1" x14ac:dyDescent="0.15">
      <c r="B50" s="188"/>
      <c r="E50" s="112"/>
      <c r="F50" s="113"/>
      <c r="G50" s="113"/>
      <c r="H50" s="177"/>
      <c r="I50" s="427">
        <f>I48-I54</f>
        <v>0</v>
      </c>
      <c r="J50" s="111">
        <f t="shared" ref="J50:AV50" si="264">J48-J54</f>
        <v>0</v>
      </c>
      <c r="K50" s="111">
        <f t="shared" si="264"/>
        <v>0</v>
      </c>
      <c r="L50" s="111">
        <f t="shared" si="264"/>
        <v>0</v>
      </c>
      <c r="M50" s="110">
        <f t="shared" si="264"/>
        <v>0</v>
      </c>
      <c r="N50" s="111">
        <f t="shared" si="264"/>
        <v>0</v>
      </c>
      <c r="O50" s="111">
        <f t="shared" si="264"/>
        <v>0</v>
      </c>
      <c r="P50" s="111">
        <f t="shared" si="264"/>
        <v>0</v>
      </c>
      <c r="Q50" s="110">
        <f t="shared" si="264"/>
        <v>0</v>
      </c>
      <c r="R50" s="111">
        <f t="shared" si="264"/>
        <v>0</v>
      </c>
      <c r="S50" s="111">
        <f t="shared" si="264"/>
        <v>0</v>
      </c>
      <c r="T50" s="111">
        <f t="shared" si="264"/>
        <v>0</v>
      </c>
      <c r="U50" s="110">
        <f t="shared" si="264"/>
        <v>0</v>
      </c>
      <c r="V50" s="111">
        <f t="shared" si="264"/>
        <v>0</v>
      </c>
      <c r="W50" s="111">
        <f t="shared" si="264"/>
        <v>0</v>
      </c>
      <c r="X50" s="111">
        <f t="shared" si="264"/>
        <v>0</v>
      </c>
      <c r="Y50" s="110">
        <f t="shared" si="264"/>
        <v>0</v>
      </c>
      <c r="Z50" s="111">
        <f t="shared" si="264"/>
        <v>0</v>
      </c>
      <c r="AA50" s="111">
        <f t="shared" si="264"/>
        <v>0</v>
      </c>
      <c r="AB50" s="111">
        <f t="shared" si="264"/>
        <v>0</v>
      </c>
      <c r="AC50" s="110">
        <f t="shared" ref="AC50" si="265">AC48-AC54</f>
        <v>0</v>
      </c>
      <c r="AD50" s="434">
        <f t="shared" si="264"/>
        <v>0</v>
      </c>
      <c r="AE50" s="434">
        <f t="shared" si="264"/>
        <v>0</v>
      </c>
      <c r="AF50" s="435">
        <f t="shared" si="264"/>
        <v>0</v>
      </c>
      <c r="AG50" s="434">
        <f t="shared" si="264"/>
        <v>0</v>
      </c>
      <c r="AH50" s="434">
        <f t="shared" si="264"/>
        <v>0</v>
      </c>
      <c r="AI50" s="434">
        <f t="shared" si="264"/>
        <v>0</v>
      </c>
      <c r="AJ50" s="434">
        <f t="shared" si="264"/>
        <v>0</v>
      </c>
      <c r="AK50" s="433">
        <f t="shared" si="264"/>
        <v>0</v>
      </c>
      <c r="AL50" s="434">
        <f t="shared" si="264"/>
        <v>0</v>
      </c>
      <c r="AM50" s="434">
        <f t="shared" si="264"/>
        <v>0</v>
      </c>
      <c r="AN50" s="434">
        <f t="shared" si="264"/>
        <v>0</v>
      </c>
      <c r="AO50" s="433">
        <f t="shared" si="264"/>
        <v>0</v>
      </c>
      <c r="AP50" s="434">
        <f t="shared" si="264"/>
        <v>0</v>
      </c>
      <c r="AQ50" s="434">
        <f t="shared" si="264"/>
        <v>0</v>
      </c>
      <c r="AR50" s="435">
        <f t="shared" si="264"/>
        <v>0</v>
      </c>
      <c r="AS50" s="433">
        <f t="shared" si="264"/>
        <v>0</v>
      </c>
      <c r="AT50" s="434">
        <f t="shared" si="264"/>
        <v>0</v>
      </c>
      <c r="AU50" s="434">
        <f t="shared" si="264"/>
        <v>0</v>
      </c>
      <c r="AV50" s="435">
        <f t="shared" si="264"/>
        <v>0</v>
      </c>
      <c r="AW50" s="60"/>
      <c r="AX50" s="389"/>
      <c r="AY50" s="389"/>
      <c r="AZ50" s="389"/>
      <c r="BA50" s="389"/>
      <c r="BB50" s="535"/>
      <c r="BD50" s="2"/>
      <c r="BE50" s="185"/>
      <c r="BR50" s="77"/>
    </row>
    <row r="51" spans="1:70" ht="11.25" customHeight="1" x14ac:dyDescent="0.15">
      <c r="A51" s="6" t="s">
        <v>171</v>
      </c>
      <c r="B51" s="188"/>
      <c r="E51" s="112"/>
      <c r="F51" s="113"/>
      <c r="G51" s="113"/>
      <c r="H51" s="177"/>
      <c r="I51" s="112"/>
      <c r="J51" s="113"/>
      <c r="K51" s="113"/>
      <c r="L51" s="113"/>
      <c r="M51" s="112"/>
      <c r="N51" s="113"/>
      <c r="O51" s="113"/>
      <c r="P51" s="113"/>
      <c r="Q51" s="112"/>
      <c r="R51" s="113"/>
      <c r="S51" s="113"/>
      <c r="T51" s="113"/>
      <c r="U51" s="112"/>
      <c r="V51" s="113"/>
      <c r="W51" s="113"/>
      <c r="X51" s="113"/>
      <c r="Y51" s="112"/>
      <c r="Z51" s="113"/>
      <c r="AA51" s="113"/>
      <c r="AB51" s="113"/>
      <c r="AC51" s="112"/>
      <c r="AD51" s="66"/>
      <c r="AE51" s="66"/>
      <c r="AF51" s="68"/>
      <c r="AG51" s="66"/>
      <c r="AH51" s="66"/>
      <c r="AI51" s="66"/>
      <c r="AJ51" s="66"/>
      <c r="AK51" s="67"/>
      <c r="AL51" s="66"/>
      <c r="AM51" s="66"/>
      <c r="AN51" s="66"/>
      <c r="AO51" s="67"/>
      <c r="AP51" s="66"/>
      <c r="AQ51" s="66"/>
      <c r="AR51" s="68"/>
      <c r="AS51" s="67"/>
      <c r="AT51" s="66"/>
      <c r="AU51" s="66"/>
      <c r="AV51" s="68"/>
      <c r="AW51" s="60"/>
      <c r="AX51" s="389"/>
      <c r="AY51" s="389"/>
      <c r="AZ51" s="389"/>
      <c r="BA51" s="389"/>
      <c r="BB51" s="535"/>
      <c r="BD51" s="2"/>
      <c r="BE51" s="185"/>
      <c r="BR51" s="77"/>
    </row>
    <row r="52" spans="1:70" ht="11.25" customHeight="1" x14ac:dyDescent="0.15">
      <c r="A52" s="10"/>
      <c r="B52" s="188" t="s">
        <v>143</v>
      </c>
      <c r="E52" s="112"/>
      <c r="F52" s="113"/>
      <c r="G52" s="113"/>
      <c r="H52" s="177"/>
      <c r="I52" s="279">
        <f t="shared" ref="I52:AR52" si="266">I16+I22</f>
        <v>0</v>
      </c>
      <c r="J52" s="106">
        <f t="shared" si="266"/>
        <v>0</v>
      </c>
      <c r="K52" s="106">
        <f t="shared" si="266"/>
        <v>0</v>
      </c>
      <c r="L52" s="106">
        <f t="shared" si="266"/>
        <v>0</v>
      </c>
      <c r="M52" s="105">
        <f t="shared" si="266"/>
        <v>0</v>
      </c>
      <c r="N52" s="106">
        <f t="shared" si="266"/>
        <v>0</v>
      </c>
      <c r="O52" s="106">
        <f t="shared" si="266"/>
        <v>0</v>
      </c>
      <c r="P52" s="106">
        <f t="shared" si="266"/>
        <v>0</v>
      </c>
      <c r="Q52" s="105">
        <f t="shared" si="266"/>
        <v>0</v>
      </c>
      <c r="R52" s="106">
        <f t="shared" si="266"/>
        <v>0</v>
      </c>
      <c r="S52" s="106">
        <f t="shared" si="266"/>
        <v>0</v>
      </c>
      <c r="T52" s="106">
        <f t="shared" si="266"/>
        <v>0</v>
      </c>
      <c r="U52" s="105">
        <f t="shared" si="266"/>
        <v>0</v>
      </c>
      <c r="V52" s="106">
        <f t="shared" si="266"/>
        <v>0</v>
      </c>
      <c r="W52" s="106">
        <f t="shared" si="266"/>
        <v>0</v>
      </c>
      <c r="X52" s="106">
        <f t="shared" si="266"/>
        <v>0</v>
      </c>
      <c r="Y52" s="105">
        <f t="shared" si="266"/>
        <v>0</v>
      </c>
      <c r="Z52" s="106">
        <f t="shared" si="266"/>
        <v>0</v>
      </c>
      <c r="AA52" s="106">
        <f t="shared" si="266"/>
        <v>0</v>
      </c>
      <c r="AB52" s="106">
        <f t="shared" si="266"/>
        <v>0</v>
      </c>
      <c r="AC52" s="105">
        <f t="shared" ref="AC52" si="267">AC16+AC22</f>
        <v>0</v>
      </c>
      <c r="AD52" s="335">
        <f t="shared" si="266"/>
        <v>0</v>
      </c>
      <c r="AE52" s="335">
        <f t="shared" si="266"/>
        <v>0</v>
      </c>
      <c r="AF52" s="336">
        <f t="shared" si="266"/>
        <v>0</v>
      </c>
      <c r="AG52" s="335">
        <f t="shared" si="266"/>
        <v>0</v>
      </c>
      <c r="AH52" s="335">
        <f t="shared" si="266"/>
        <v>0</v>
      </c>
      <c r="AI52" s="335">
        <f t="shared" si="266"/>
        <v>0</v>
      </c>
      <c r="AJ52" s="335">
        <f t="shared" si="266"/>
        <v>0</v>
      </c>
      <c r="AK52" s="337">
        <f t="shared" si="266"/>
        <v>0</v>
      </c>
      <c r="AL52" s="335">
        <f t="shared" si="266"/>
        <v>0</v>
      </c>
      <c r="AM52" s="335">
        <f t="shared" si="266"/>
        <v>0</v>
      </c>
      <c r="AN52" s="335">
        <f>AN16+AN22</f>
        <v>0</v>
      </c>
      <c r="AO52" s="337">
        <f t="shared" si="266"/>
        <v>0</v>
      </c>
      <c r="AP52" s="335">
        <f t="shared" si="266"/>
        <v>0</v>
      </c>
      <c r="AQ52" s="335">
        <f t="shared" si="266"/>
        <v>0</v>
      </c>
      <c r="AR52" s="336">
        <f t="shared" si="266"/>
        <v>0</v>
      </c>
      <c r="AS52" s="337">
        <f t="shared" ref="AS52:AV52" si="268">AS16+AS22</f>
        <v>0</v>
      </c>
      <c r="AT52" s="335">
        <f t="shared" si="268"/>
        <v>0</v>
      </c>
      <c r="AU52" s="335">
        <f t="shared" si="268"/>
        <v>0</v>
      </c>
      <c r="AV52" s="336">
        <f t="shared" si="268"/>
        <v>0</v>
      </c>
      <c r="AW52" s="60"/>
      <c r="AX52" s="389"/>
      <c r="AY52" s="389"/>
      <c r="AZ52" s="389"/>
      <c r="BA52" s="389"/>
      <c r="BB52" s="535"/>
      <c r="BD52" s="2"/>
      <c r="BE52" s="185"/>
      <c r="BR52" s="77">
        <f t="shared" si="0"/>
        <v>49</v>
      </c>
    </row>
    <row r="53" spans="1:70" ht="11.25" customHeight="1" x14ac:dyDescent="0.25">
      <c r="A53" s="10"/>
      <c r="B53" s="188" t="s">
        <v>200</v>
      </c>
      <c r="E53" s="317">
        <f>E11+E16+E22+E31+E36+E41</f>
        <v>0</v>
      </c>
      <c r="F53" s="318">
        <f>F11+F16+F22+F31+F36+F41</f>
        <v>0</v>
      </c>
      <c r="G53" s="318">
        <f>G11+G16+G22+G31+G36+G41</f>
        <v>0</v>
      </c>
      <c r="H53" s="319">
        <f>H11+H16+H22+H31+H36+H41</f>
        <v>0</v>
      </c>
      <c r="I53" s="428">
        <f t="shared" ref="I53:AR53" si="269">I11+I31+I36+I41</f>
        <v>0</v>
      </c>
      <c r="J53" s="429">
        <f t="shared" si="269"/>
        <v>0</v>
      </c>
      <c r="K53" s="429">
        <f t="shared" si="269"/>
        <v>0</v>
      </c>
      <c r="L53" s="429">
        <f t="shared" si="269"/>
        <v>0</v>
      </c>
      <c r="M53" s="428">
        <f t="shared" si="269"/>
        <v>0</v>
      </c>
      <c r="N53" s="429">
        <f t="shared" si="269"/>
        <v>0</v>
      </c>
      <c r="O53" s="429">
        <f t="shared" si="269"/>
        <v>0</v>
      </c>
      <c r="P53" s="429">
        <f t="shared" si="269"/>
        <v>0</v>
      </c>
      <c r="Q53" s="428">
        <f t="shared" si="269"/>
        <v>0</v>
      </c>
      <c r="R53" s="429">
        <f t="shared" si="269"/>
        <v>0</v>
      </c>
      <c r="S53" s="429">
        <f t="shared" si="269"/>
        <v>0</v>
      </c>
      <c r="T53" s="429">
        <f t="shared" si="269"/>
        <v>0</v>
      </c>
      <c r="U53" s="428">
        <f t="shared" si="269"/>
        <v>0</v>
      </c>
      <c r="V53" s="429">
        <f t="shared" si="269"/>
        <v>0</v>
      </c>
      <c r="W53" s="429">
        <f t="shared" si="269"/>
        <v>0</v>
      </c>
      <c r="X53" s="429">
        <f t="shared" si="269"/>
        <v>0</v>
      </c>
      <c r="Y53" s="428">
        <f t="shared" si="269"/>
        <v>0</v>
      </c>
      <c r="Z53" s="429">
        <f t="shared" si="269"/>
        <v>0</v>
      </c>
      <c r="AA53" s="429">
        <f t="shared" si="269"/>
        <v>0</v>
      </c>
      <c r="AB53" s="429">
        <f t="shared" si="269"/>
        <v>0</v>
      </c>
      <c r="AC53" s="428">
        <f t="shared" ref="AC53" si="270">AC11+AC31+AC36+AC41</f>
        <v>0</v>
      </c>
      <c r="AD53" s="431">
        <f t="shared" si="269"/>
        <v>0</v>
      </c>
      <c r="AE53" s="431">
        <f t="shared" si="269"/>
        <v>0</v>
      </c>
      <c r="AF53" s="432">
        <f t="shared" si="269"/>
        <v>0</v>
      </c>
      <c r="AG53" s="431">
        <f t="shared" si="269"/>
        <v>0</v>
      </c>
      <c r="AH53" s="431">
        <f t="shared" si="269"/>
        <v>0</v>
      </c>
      <c r="AI53" s="431">
        <f t="shared" si="269"/>
        <v>0</v>
      </c>
      <c r="AJ53" s="431">
        <f t="shared" si="269"/>
        <v>0</v>
      </c>
      <c r="AK53" s="430">
        <f t="shared" si="269"/>
        <v>0</v>
      </c>
      <c r="AL53" s="431">
        <f t="shared" si="269"/>
        <v>0</v>
      </c>
      <c r="AM53" s="431">
        <f t="shared" si="269"/>
        <v>0</v>
      </c>
      <c r="AN53" s="431">
        <f t="shared" si="269"/>
        <v>0</v>
      </c>
      <c r="AO53" s="430">
        <f t="shared" si="269"/>
        <v>0</v>
      </c>
      <c r="AP53" s="431">
        <f t="shared" si="269"/>
        <v>0</v>
      </c>
      <c r="AQ53" s="431">
        <f t="shared" si="269"/>
        <v>0</v>
      </c>
      <c r="AR53" s="432">
        <f t="shared" si="269"/>
        <v>0</v>
      </c>
      <c r="AS53" s="430">
        <f t="shared" ref="AS53:AV53" si="271">AS11+AS31+AS36+AS41</f>
        <v>0</v>
      </c>
      <c r="AT53" s="431">
        <f t="shared" si="271"/>
        <v>0</v>
      </c>
      <c r="AU53" s="431">
        <f t="shared" si="271"/>
        <v>0</v>
      </c>
      <c r="AV53" s="432">
        <f t="shared" si="271"/>
        <v>0</v>
      </c>
      <c r="AW53" s="61"/>
      <c r="AX53" s="389"/>
      <c r="AY53" s="389"/>
      <c r="AZ53" s="389"/>
      <c r="BA53" s="389"/>
      <c r="BB53" s="535"/>
      <c r="BD53" s="2"/>
      <c r="BE53" s="185" t="str">
        <f>"Growth in "&amp;A51</f>
        <v>Growth in Gross Margin</v>
      </c>
      <c r="BG53" s="59">
        <f>IFERROR(SUM(M53:P53)/SUM(I53:L53)-1,0)</f>
        <v>0</v>
      </c>
      <c r="BH53" s="59">
        <f>IFERROR(SUM(Q53:T53)/SUM(M53:P53)-1,0)</f>
        <v>0</v>
      </c>
      <c r="BI53" s="59">
        <f>IFERROR(SUM(U53:X53)/SUM(Q53:T53)-1,0)</f>
        <v>0</v>
      </c>
      <c r="BJ53" s="59">
        <f>IFERROR(SUM(Y53:AB53)/SUM(U53:X53)-1,0)</f>
        <v>0</v>
      </c>
      <c r="BK53" s="59">
        <f>IFERROR(SUM(AC53:AF53)/SUM(Y53:AB53)-1,0)</f>
        <v>0</v>
      </c>
      <c r="BL53" s="59">
        <f>IFERROR(SUM(AG53:AJ53)/SUM(AC53:AF53)-1,0)</f>
        <v>0</v>
      </c>
      <c r="BM53" s="59">
        <f>IFERROR(SUM(AK53:AN53)/SUM(AG53:AJ53)-1,0)</f>
        <v>0</v>
      </c>
      <c r="BN53" s="59">
        <f>IFERROR(SUM(AO53:AR53)/SUM(AK53:AN53)-1,0)</f>
        <v>0</v>
      </c>
      <c r="BO53" s="59">
        <f>IFERROR(SUM(AP53:AS53)/SUM(AL53:AO53)-1,0)</f>
        <v>0</v>
      </c>
      <c r="BR53" s="77">
        <f t="shared" si="0"/>
        <v>50</v>
      </c>
    </row>
    <row r="54" spans="1:70" ht="11.25" customHeight="1" x14ac:dyDescent="0.15">
      <c r="A54" s="10"/>
      <c r="B54" s="188" t="s">
        <v>182</v>
      </c>
      <c r="E54" s="317"/>
      <c r="F54" s="318"/>
      <c r="G54" s="318"/>
      <c r="H54" s="319"/>
      <c r="I54" s="427">
        <f>SUM(I51:I53)</f>
        <v>0</v>
      </c>
      <c r="J54" s="318">
        <f t="shared" ref="J54:AR54" si="272">SUM(J51:J53)</f>
        <v>0</v>
      </c>
      <c r="K54" s="318">
        <f t="shared" si="272"/>
        <v>0</v>
      </c>
      <c r="L54" s="318">
        <f t="shared" si="272"/>
        <v>0</v>
      </c>
      <c r="M54" s="317">
        <f t="shared" si="272"/>
        <v>0</v>
      </c>
      <c r="N54" s="318">
        <f t="shared" si="272"/>
        <v>0</v>
      </c>
      <c r="O54" s="318">
        <f t="shared" si="272"/>
        <v>0</v>
      </c>
      <c r="P54" s="318">
        <f t="shared" si="272"/>
        <v>0</v>
      </c>
      <c r="Q54" s="317">
        <f t="shared" si="272"/>
        <v>0</v>
      </c>
      <c r="R54" s="318">
        <f t="shared" si="272"/>
        <v>0</v>
      </c>
      <c r="S54" s="318">
        <f t="shared" si="272"/>
        <v>0</v>
      </c>
      <c r="T54" s="318">
        <f t="shared" si="272"/>
        <v>0</v>
      </c>
      <c r="U54" s="317">
        <f t="shared" si="272"/>
        <v>0</v>
      </c>
      <c r="V54" s="318">
        <f t="shared" si="272"/>
        <v>0</v>
      </c>
      <c r="W54" s="318">
        <f t="shared" si="272"/>
        <v>0</v>
      </c>
      <c r="X54" s="318">
        <f t="shared" si="272"/>
        <v>0</v>
      </c>
      <c r="Y54" s="317">
        <f t="shared" si="272"/>
        <v>0</v>
      </c>
      <c r="Z54" s="318">
        <f t="shared" si="272"/>
        <v>0</v>
      </c>
      <c r="AA54" s="318">
        <f t="shared" si="272"/>
        <v>0</v>
      </c>
      <c r="AB54" s="318">
        <f t="shared" si="272"/>
        <v>0</v>
      </c>
      <c r="AC54" s="317">
        <f t="shared" ref="AC54" si="273">SUM(AC51:AC53)</f>
        <v>0</v>
      </c>
      <c r="AD54" s="49">
        <f t="shared" si="272"/>
        <v>0</v>
      </c>
      <c r="AE54" s="49">
        <f t="shared" si="272"/>
        <v>0</v>
      </c>
      <c r="AF54" s="50">
        <f t="shared" si="272"/>
        <v>0</v>
      </c>
      <c r="AG54" s="49">
        <f t="shared" si="272"/>
        <v>0</v>
      </c>
      <c r="AH54" s="49">
        <f t="shared" si="272"/>
        <v>0</v>
      </c>
      <c r="AI54" s="49">
        <f t="shared" si="272"/>
        <v>0</v>
      </c>
      <c r="AJ54" s="49">
        <f t="shared" si="272"/>
        <v>0</v>
      </c>
      <c r="AK54" s="24">
        <f t="shared" si="272"/>
        <v>0</v>
      </c>
      <c r="AL54" s="49">
        <f t="shared" si="272"/>
        <v>0</v>
      </c>
      <c r="AM54" s="49">
        <f t="shared" si="272"/>
        <v>0</v>
      </c>
      <c r="AN54" s="49">
        <f t="shared" si="272"/>
        <v>0</v>
      </c>
      <c r="AO54" s="24">
        <f t="shared" si="272"/>
        <v>0</v>
      </c>
      <c r="AP54" s="49">
        <f t="shared" si="272"/>
        <v>0</v>
      </c>
      <c r="AQ54" s="49">
        <f t="shared" si="272"/>
        <v>0</v>
      </c>
      <c r="AR54" s="50">
        <f t="shared" si="272"/>
        <v>0</v>
      </c>
      <c r="AS54" s="24">
        <f t="shared" ref="AS54:AV54" si="274">SUM(AS51:AS53)</f>
        <v>0</v>
      </c>
      <c r="AT54" s="49">
        <f t="shared" si="274"/>
        <v>0</v>
      </c>
      <c r="AU54" s="49">
        <f t="shared" si="274"/>
        <v>0</v>
      </c>
      <c r="AV54" s="50">
        <f t="shared" si="274"/>
        <v>0</v>
      </c>
      <c r="AW54" s="61"/>
      <c r="AX54" s="389"/>
      <c r="AY54" s="389"/>
      <c r="AZ54" s="389"/>
      <c r="BA54" s="389"/>
      <c r="BB54" s="535"/>
      <c r="BD54" s="2"/>
      <c r="BE54" s="185"/>
      <c r="BG54" s="59"/>
      <c r="BH54" s="59"/>
      <c r="BI54" s="59"/>
      <c r="BJ54" s="59"/>
      <c r="BK54" s="59"/>
      <c r="BL54" s="59"/>
      <c r="BM54" s="59"/>
      <c r="BN54" s="59"/>
      <c r="BO54" s="59"/>
      <c r="BR54" s="77"/>
    </row>
    <row r="55" spans="1:70" ht="11.25" customHeight="1" x14ac:dyDescent="0.15">
      <c r="B55" s="188" t="s">
        <v>172</v>
      </c>
      <c r="E55" s="114">
        <f>IFERROR(E53/E45,0)</f>
        <v>0</v>
      </c>
      <c r="F55" s="115">
        <f>IFERROR(F53/F45,0)</f>
        <v>0</v>
      </c>
      <c r="G55" s="115">
        <f>IFERROR(G53/G45,0)</f>
        <v>0</v>
      </c>
      <c r="H55" s="181">
        <f>IFERROR(H53/H45,0)</f>
        <v>0</v>
      </c>
      <c r="I55" s="114">
        <f>IFERROR(I54/I48,0)</f>
        <v>0</v>
      </c>
      <c r="J55" s="115">
        <f t="shared" ref="J55:AR55" si="275">IFERROR(J54/J48,0)</f>
        <v>0</v>
      </c>
      <c r="K55" s="115">
        <f t="shared" si="275"/>
        <v>0</v>
      </c>
      <c r="L55" s="115">
        <f t="shared" si="275"/>
        <v>0</v>
      </c>
      <c r="M55" s="114">
        <f t="shared" si="275"/>
        <v>0</v>
      </c>
      <c r="N55" s="115">
        <f t="shared" si="275"/>
        <v>0</v>
      </c>
      <c r="O55" s="115">
        <f t="shared" si="275"/>
        <v>0</v>
      </c>
      <c r="P55" s="115">
        <f t="shared" si="275"/>
        <v>0</v>
      </c>
      <c r="Q55" s="114">
        <f t="shared" si="275"/>
        <v>0</v>
      </c>
      <c r="R55" s="115">
        <f t="shared" si="275"/>
        <v>0</v>
      </c>
      <c r="S55" s="115">
        <f t="shared" si="275"/>
        <v>0</v>
      </c>
      <c r="T55" s="115">
        <f t="shared" si="275"/>
        <v>0</v>
      </c>
      <c r="U55" s="114">
        <f t="shared" si="275"/>
        <v>0</v>
      </c>
      <c r="V55" s="115">
        <f t="shared" si="275"/>
        <v>0</v>
      </c>
      <c r="W55" s="115">
        <f t="shared" si="275"/>
        <v>0</v>
      </c>
      <c r="X55" s="115">
        <f t="shared" si="275"/>
        <v>0</v>
      </c>
      <c r="Y55" s="114">
        <f t="shared" si="275"/>
        <v>0</v>
      </c>
      <c r="Z55" s="115">
        <f t="shared" si="275"/>
        <v>0</v>
      </c>
      <c r="AA55" s="115">
        <f t="shared" si="275"/>
        <v>0</v>
      </c>
      <c r="AB55" s="115">
        <f t="shared" si="275"/>
        <v>0</v>
      </c>
      <c r="AC55" s="114">
        <f t="shared" ref="AC55" si="276">IFERROR(AC54/AC48,0)</f>
        <v>0</v>
      </c>
      <c r="AD55" s="62">
        <f t="shared" si="275"/>
        <v>0</v>
      </c>
      <c r="AE55" s="62">
        <f t="shared" si="275"/>
        <v>0</v>
      </c>
      <c r="AF55" s="64">
        <f t="shared" si="275"/>
        <v>0</v>
      </c>
      <c r="AG55" s="62">
        <f t="shared" si="275"/>
        <v>0</v>
      </c>
      <c r="AH55" s="62">
        <f t="shared" si="275"/>
        <v>0</v>
      </c>
      <c r="AI55" s="62">
        <f t="shared" si="275"/>
        <v>0</v>
      </c>
      <c r="AJ55" s="64">
        <f t="shared" si="275"/>
        <v>0</v>
      </c>
      <c r="AK55" s="63">
        <f t="shared" si="275"/>
        <v>0</v>
      </c>
      <c r="AL55" s="62">
        <f t="shared" si="275"/>
        <v>0</v>
      </c>
      <c r="AM55" s="62">
        <f t="shared" si="275"/>
        <v>0</v>
      </c>
      <c r="AN55" s="64">
        <f t="shared" si="275"/>
        <v>0</v>
      </c>
      <c r="AO55" s="63">
        <f t="shared" si="275"/>
        <v>0</v>
      </c>
      <c r="AP55" s="62">
        <f t="shared" si="275"/>
        <v>0</v>
      </c>
      <c r="AQ55" s="62">
        <f t="shared" si="275"/>
        <v>0</v>
      </c>
      <c r="AR55" s="64">
        <f t="shared" si="275"/>
        <v>0</v>
      </c>
      <c r="AS55" s="63">
        <f t="shared" ref="AS55:AV55" si="277">IFERROR(AS54/AS48,0)</f>
        <v>0</v>
      </c>
      <c r="AT55" s="62">
        <f t="shared" si="277"/>
        <v>0</v>
      </c>
      <c r="AU55" s="62">
        <f t="shared" si="277"/>
        <v>0</v>
      </c>
      <c r="AV55" s="64">
        <f t="shared" si="277"/>
        <v>0</v>
      </c>
      <c r="AW55" s="5"/>
      <c r="AX55" s="389"/>
      <c r="AY55" s="389"/>
      <c r="AZ55" s="389"/>
      <c r="BA55" s="389"/>
      <c r="BB55" s="535"/>
      <c r="BR55" s="77">
        <f t="shared" si="0"/>
        <v>52</v>
      </c>
    </row>
    <row r="56" spans="1:70" ht="11.25" customHeight="1" x14ac:dyDescent="0.15">
      <c r="B56" s="188" t="s">
        <v>173</v>
      </c>
      <c r="E56" s="114"/>
      <c r="F56" s="115"/>
      <c r="G56" s="115"/>
      <c r="H56" s="181"/>
      <c r="I56" s="114" t="e">
        <f>I52/I46</f>
        <v>#DIV/0!</v>
      </c>
      <c r="J56" s="115" t="e">
        <f t="shared" ref="J56:AR56" si="278">J52/J46</f>
        <v>#DIV/0!</v>
      </c>
      <c r="K56" s="115" t="e">
        <f t="shared" si="278"/>
        <v>#DIV/0!</v>
      </c>
      <c r="L56" s="115" t="e">
        <f t="shared" si="278"/>
        <v>#DIV/0!</v>
      </c>
      <c r="M56" s="114" t="e">
        <f t="shared" si="278"/>
        <v>#DIV/0!</v>
      </c>
      <c r="N56" s="115" t="e">
        <f t="shared" si="278"/>
        <v>#DIV/0!</v>
      </c>
      <c r="O56" s="115" t="e">
        <f t="shared" si="278"/>
        <v>#DIV/0!</v>
      </c>
      <c r="P56" s="115" t="e">
        <f t="shared" si="278"/>
        <v>#DIV/0!</v>
      </c>
      <c r="Q56" s="114" t="e">
        <f t="shared" si="278"/>
        <v>#DIV/0!</v>
      </c>
      <c r="R56" s="115" t="e">
        <f t="shared" si="278"/>
        <v>#DIV/0!</v>
      </c>
      <c r="S56" s="115" t="e">
        <f t="shared" si="278"/>
        <v>#DIV/0!</v>
      </c>
      <c r="T56" s="115" t="e">
        <f t="shared" si="278"/>
        <v>#DIV/0!</v>
      </c>
      <c r="U56" s="114" t="e">
        <f t="shared" si="278"/>
        <v>#DIV/0!</v>
      </c>
      <c r="V56" s="115" t="e">
        <f t="shared" si="278"/>
        <v>#DIV/0!</v>
      </c>
      <c r="W56" s="115" t="e">
        <f t="shared" si="278"/>
        <v>#DIV/0!</v>
      </c>
      <c r="X56" s="115" t="e">
        <f t="shared" si="278"/>
        <v>#DIV/0!</v>
      </c>
      <c r="Y56" s="114" t="e">
        <f t="shared" si="278"/>
        <v>#DIV/0!</v>
      </c>
      <c r="Z56" s="115" t="e">
        <f t="shared" si="278"/>
        <v>#DIV/0!</v>
      </c>
      <c r="AA56" s="115" t="e">
        <f t="shared" si="278"/>
        <v>#DIV/0!</v>
      </c>
      <c r="AB56" s="115" t="e">
        <f t="shared" si="278"/>
        <v>#DIV/0!</v>
      </c>
      <c r="AC56" s="114" t="e">
        <f t="shared" ref="AC56" si="279">AC52/AC46</f>
        <v>#DIV/0!</v>
      </c>
      <c r="AD56" s="62" t="e">
        <f t="shared" si="278"/>
        <v>#DIV/0!</v>
      </c>
      <c r="AE56" s="62" t="e">
        <f t="shared" si="278"/>
        <v>#DIV/0!</v>
      </c>
      <c r="AF56" s="64" t="e">
        <f t="shared" si="278"/>
        <v>#DIV/0!</v>
      </c>
      <c r="AG56" s="62" t="e">
        <f t="shared" si="278"/>
        <v>#DIV/0!</v>
      </c>
      <c r="AH56" s="62" t="e">
        <f t="shared" si="278"/>
        <v>#DIV/0!</v>
      </c>
      <c r="AI56" s="62" t="e">
        <f t="shared" si="278"/>
        <v>#DIV/0!</v>
      </c>
      <c r="AJ56" s="64" t="e">
        <f t="shared" si="278"/>
        <v>#DIV/0!</v>
      </c>
      <c r="AK56" s="63" t="e">
        <f t="shared" si="278"/>
        <v>#DIV/0!</v>
      </c>
      <c r="AL56" s="62" t="e">
        <f t="shared" si="278"/>
        <v>#DIV/0!</v>
      </c>
      <c r="AM56" s="62" t="e">
        <f t="shared" si="278"/>
        <v>#DIV/0!</v>
      </c>
      <c r="AN56" s="64" t="e">
        <f t="shared" si="278"/>
        <v>#DIV/0!</v>
      </c>
      <c r="AO56" s="63" t="e">
        <f t="shared" si="278"/>
        <v>#DIV/0!</v>
      </c>
      <c r="AP56" s="62" t="e">
        <f t="shared" si="278"/>
        <v>#DIV/0!</v>
      </c>
      <c r="AQ56" s="62" t="e">
        <f t="shared" si="278"/>
        <v>#DIV/0!</v>
      </c>
      <c r="AR56" s="64" t="e">
        <f t="shared" si="278"/>
        <v>#DIV/0!</v>
      </c>
      <c r="AS56" s="63" t="e">
        <f t="shared" ref="AS56:AV56" si="280">AS52/AS46</f>
        <v>#DIV/0!</v>
      </c>
      <c r="AT56" s="62" t="e">
        <f t="shared" si="280"/>
        <v>#DIV/0!</v>
      </c>
      <c r="AU56" s="62" t="e">
        <f t="shared" si="280"/>
        <v>#DIV/0!</v>
      </c>
      <c r="AV56" s="64" t="e">
        <f t="shared" si="280"/>
        <v>#DIV/0!</v>
      </c>
      <c r="AW56" s="5"/>
      <c r="AX56" s="389"/>
      <c r="AY56" s="389"/>
      <c r="AZ56" s="389"/>
      <c r="BA56" s="389"/>
      <c r="BB56" s="535"/>
      <c r="BR56" s="77">
        <f t="shared" si="0"/>
        <v>53</v>
      </c>
    </row>
    <row r="57" spans="1:70" ht="11.25" customHeight="1" x14ac:dyDescent="0.15">
      <c r="B57" s="188"/>
      <c r="E57" s="114"/>
      <c r="F57" s="115"/>
      <c r="G57" s="115"/>
      <c r="H57" s="181"/>
      <c r="I57" s="114"/>
      <c r="J57" s="115"/>
      <c r="K57" s="115"/>
      <c r="L57" s="115"/>
      <c r="M57" s="114"/>
      <c r="N57" s="115"/>
      <c r="O57" s="115"/>
      <c r="P57" s="115"/>
      <c r="Q57" s="114"/>
      <c r="R57" s="115"/>
      <c r="S57" s="115"/>
      <c r="T57" s="115"/>
      <c r="U57" s="114"/>
      <c r="V57" s="115"/>
      <c r="W57" s="115"/>
      <c r="X57" s="115"/>
      <c r="Y57" s="114"/>
      <c r="Z57" s="115"/>
      <c r="AA57" s="115"/>
      <c r="AB57" s="115"/>
      <c r="AC57" s="114"/>
      <c r="AD57" s="62"/>
      <c r="AE57" s="62"/>
      <c r="AF57" s="64"/>
      <c r="AG57" s="62"/>
      <c r="AH57" s="62"/>
      <c r="AI57" s="62"/>
      <c r="AJ57" s="64"/>
      <c r="AK57" s="63"/>
      <c r="AL57" s="62"/>
      <c r="AM57" s="62"/>
      <c r="AN57" s="64"/>
      <c r="AO57" s="63"/>
      <c r="AP57" s="62"/>
      <c r="AQ57" s="62"/>
      <c r="AR57" s="64"/>
      <c r="AS57" s="63"/>
      <c r="AT57" s="62"/>
      <c r="AU57" s="62"/>
      <c r="AV57" s="64"/>
      <c r="AW57" s="5"/>
      <c r="AX57" s="389"/>
      <c r="AY57" s="389"/>
      <c r="AZ57" s="389"/>
      <c r="BA57" s="389"/>
      <c r="BB57" s="535"/>
      <c r="BR57" s="77"/>
    </row>
    <row r="58" spans="1:70" ht="11.25" customHeight="1" x14ac:dyDescent="0.15">
      <c r="A58" s="6" t="s">
        <v>21</v>
      </c>
      <c r="E58" s="105"/>
      <c r="F58" s="106"/>
      <c r="G58" s="106"/>
      <c r="H58" s="107"/>
      <c r="I58" s="105"/>
      <c r="J58" s="106"/>
      <c r="K58" s="106"/>
      <c r="L58" s="106"/>
      <c r="M58" s="105"/>
      <c r="N58" s="106"/>
      <c r="O58" s="106"/>
      <c r="P58" s="106"/>
      <c r="Q58" s="105"/>
      <c r="R58" s="106"/>
      <c r="S58" s="106"/>
      <c r="T58" s="106"/>
      <c r="U58" s="105"/>
      <c r="V58" s="106"/>
      <c r="W58" s="106"/>
      <c r="X58" s="106"/>
      <c r="Y58" s="105"/>
      <c r="Z58" s="106"/>
      <c r="AA58" s="106"/>
      <c r="AB58" s="106"/>
      <c r="AC58" s="105"/>
      <c r="AD58" s="17"/>
      <c r="AE58" s="17"/>
      <c r="AF58" s="28"/>
      <c r="AG58" s="17"/>
      <c r="AH58" s="17"/>
      <c r="AI58" s="17"/>
      <c r="AJ58" s="28"/>
      <c r="AK58" s="13"/>
      <c r="AL58" s="17"/>
      <c r="AM58" s="17"/>
      <c r="AN58" s="28"/>
      <c r="AO58" s="13"/>
      <c r="AP58" s="17"/>
      <c r="AQ58" s="17"/>
      <c r="AR58" s="28"/>
      <c r="AS58" s="13"/>
      <c r="AT58" s="17"/>
      <c r="AU58" s="17"/>
      <c r="AV58" s="28"/>
      <c r="AX58" s="389"/>
      <c r="AY58" s="389"/>
      <c r="AZ58" s="389"/>
      <c r="BA58" s="389"/>
      <c r="BB58" s="535"/>
      <c r="BR58" s="77">
        <f t="shared" ref="BR58:BR131" si="281">ROW()-3</f>
        <v>55</v>
      </c>
    </row>
    <row r="59" spans="1:70" ht="11.25" customHeight="1" x14ac:dyDescent="0.15">
      <c r="A59" s="85"/>
      <c r="B59" s="188" t="s">
        <v>17</v>
      </c>
      <c r="E59" s="344">
        <f>Reported!C28-Reported!C57-Reported!C62-Reported!C67</f>
        <v>0</v>
      </c>
      <c r="F59" s="342">
        <f>Reported!D28-Reported!D57-Reported!D62-Reported!D67</f>
        <v>0</v>
      </c>
      <c r="G59" s="342">
        <f>Reported!E28-Reported!E57-Reported!E62-Reported!E67</f>
        <v>0</v>
      </c>
      <c r="H59" s="343">
        <f>Reported!F28-Reported!F57-Reported!F62-Reported!F67</f>
        <v>0</v>
      </c>
      <c r="I59" s="344">
        <f>Reported!G28-Reported!G57-Reported!G62-Reported!G67</f>
        <v>0</v>
      </c>
      <c r="J59" s="342">
        <f>Reported!H28-Reported!H57-Reported!H62-Reported!H67</f>
        <v>0</v>
      </c>
      <c r="K59" s="342">
        <f>Reported!I28-Reported!I57-Reported!I62-Reported!I67</f>
        <v>0</v>
      </c>
      <c r="L59" s="342">
        <f>Reported!J28-Reported!J57-Reported!J62-Reported!J67</f>
        <v>0</v>
      </c>
      <c r="M59" s="344">
        <f>Reported!K28-Reported!K57-Reported!K62-Reported!K67</f>
        <v>0</v>
      </c>
      <c r="N59" s="342">
        <f>Reported!L28-Reported!L57-Reported!L62-Reported!L67</f>
        <v>0</v>
      </c>
      <c r="O59" s="342">
        <f>Reported!M28-Reported!M57-Reported!M62-Reported!M67</f>
        <v>0</v>
      </c>
      <c r="P59" s="342">
        <f>Reported!N28-Reported!N57-Reported!N62-Reported!N67</f>
        <v>0</v>
      </c>
      <c r="Q59" s="344">
        <f>Reported!O28-Reported!O57-Reported!O62-Reported!O67</f>
        <v>0</v>
      </c>
      <c r="R59" s="342">
        <f>Reported!P28-Reported!P57-Reported!P62-Reported!P67</f>
        <v>0</v>
      </c>
      <c r="S59" s="342">
        <f>Reported!Q28-Reported!Q57-Reported!Q62-Reported!Q67</f>
        <v>0</v>
      </c>
      <c r="T59" s="342">
        <f>Reported!R28-Reported!R57-Reported!R62-Reported!R67</f>
        <v>0</v>
      </c>
      <c r="U59" s="344">
        <f>Reported!S28-Reported!S57-Reported!S62-Reported!S67</f>
        <v>0</v>
      </c>
      <c r="V59" s="342">
        <f>Reported!T28-Reported!T57-Reported!T62-Reported!T67</f>
        <v>0</v>
      </c>
      <c r="W59" s="342">
        <f>Reported!U28-Reported!U57-Reported!U62-Reported!U67</f>
        <v>0</v>
      </c>
      <c r="X59" s="342">
        <f>Reported!V28-Reported!V57-Reported!V62-Reported!V67</f>
        <v>0</v>
      </c>
      <c r="Y59" s="344">
        <f>Reported!W28-Reported!W57-Reported!W62-Reported!W67</f>
        <v>0</v>
      </c>
      <c r="Z59" s="342">
        <f>Reported!X28-Reported!X57-Reported!X62-Reported!X67</f>
        <v>0</v>
      </c>
      <c r="AA59" s="342">
        <f>Reported!Y28-Reported!Y57-Reported!Y62-Reported!Y67</f>
        <v>0</v>
      </c>
      <c r="AB59" s="342">
        <f>Reported!Z28-Reported!Z57-Reported!Z62-Reported!Z67</f>
        <v>0</v>
      </c>
      <c r="AC59" s="344">
        <f>Reported!AA28-Reported!AA57-Reported!AA62-Reported!AA67</f>
        <v>0</v>
      </c>
      <c r="AD59" s="384">
        <f>($BD59*(1+$BH59)^(3/4))*(1+$BI59)*(1+$BJ59)*(1+$BK59)^(AD$3/4)*AY59</f>
        <v>0</v>
      </c>
      <c r="AE59" s="384">
        <f>($BD59*(1+$BH59)^(3/4))*(1+$BI59)*(1+$BJ59)*(1+$BK59)^(AE$3/4)*AZ59</f>
        <v>0</v>
      </c>
      <c r="AF59" s="383">
        <f>($BD59*(1+$BH59)^(3/4))*(1+$BI59)*(1+$BJ59)*(1+$BK59)^(AF$3/4)*BA59</f>
        <v>0</v>
      </c>
      <c r="AG59" s="384">
        <f>($BD59)*(1+$BH59)^(3/4)*(1+$BI59)*(1+$BJ59)*(1+$BK59)*(1+$BL59)^(AG$3/4)*AX59</f>
        <v>0</v>
      </c>
      <c r="AH59" s="384">
        <f>($BD59)*(1+$BH59)^(3/4)*(1+$BI59)*(1+$BJ59)*(1+$BK59)*(1+$BL59)^(AH$3/4)*AY59</f>
        <v>0</v>
      </c>
      <c r="AI59" s="384">
        <f>($BD59)*(1+$BH59)^(3/4)*(1+$BI59)*(1+$BJ59)*(1+$BK59)*(1+$BL59)^(AI$3/4)*AZ59</f>
        <v>0</v>
      </c>
      <c r="AJ59" s="383">
        <f>($BD59)*(1+$BH59)^(3/4)*(1+$BI59)*(1+$BJ59)*(1+$BK59)*(1+$BL59)^(AJ$3/4)*BA59</f>
        <v>0</v>
      </c>
      <c r="AK59" s="384">
        <f>($BD59*(1+$BH59)^(3/4))*(1+$BI59)*(1+$BJ59)*(1+$BK59)*(1+$BL59)*(1+$BM59)^(AK$3/4)*AX59</f>
        <v>0</v>
      </c>
      <c r="AL59" s="384">
        <f>($BD59*(1+$BH59)^(3/4))*(1+$BI59)*(1+$BJ59)*(1+$BK59)*(1+$BL59)*(1+$BM59)^(AL$3/4)*AY59</f>
        <v>0</v>
      </c>
      <c r="AM59" s="384">
        <f>($BD59*(1+$BH59)^(3/4))*(1+$BI59)*(1+$BJ59)*(1+$BK59)*(1+$BL59)*(1+$BM59)^(AM$3/4)*AZ59</f>
        <v>0</v>
      </c>
      <c r="AN59" s="383">
        <f>($BD59*(1+$BH59)^(3/4))*(1+$BI59)*(1+$BJ59)*(1+$BK59)*(1+$BL59)*(1+$BM59)^(AN$3/4)*BA59</f>
        <v>0</v>
      </c>
      <c r="AO59" s="71">
        <f>($BD59*(1+$BH59)^(3/4))*(1+$BI59)*(1+$BJ59)*(1+$BK59)*(1+$BL59)*(1+$BM59)*(1+$BN59)^(AO$3/4)*AX59</f>
        <v>0</v>
      </c>
      <c r="AP59" s="72">
        <f>($BD59*(1+$BH59)^(3/4))*(1+$BI59)*(1+$BJ59)*(1+$BK59)*(1+$BL59)*(1+$BM59)*(1+$BN59)^(AP$3/4)*AY59</f>
        <v>0</v>
      </c>
      <c r="AQ59" s="72">
        <f>($BD59*(1+$BH59)^(3/4))*(1+$BI59)*(1+$BJ59)*(1+$BK59)*(1+$BL59)*(1+$BM59)*(1+$BN59)^(AQ$3/4)*AZ59</f>
        <v>0</v>
      </c>
      <c r="AR59" s="73">
        <f>($BD59*(1+$BH59)^(3/4))*(1+$BI59)*(1+$BJ59)*(1+$BK59)*(1+$BL59)*(1+$BM59)*(1+$BN59)^(AR$3/4)*BA59</f>
        <v>0</v>
      </c>
      <c r="AS59" s="71">
        <f t="shared" ref="AS59:AS61" si="282">($BD59*(1+$BH59)^(3/4))*(1+$BI59)*(1+$BJ59)*(1+$BK59)*(1+$BL59)*(1+$BM59)*(1+$BN59)*(1+$BO59)^(AS$3/4)*AX59</f>
        <v>0</v>
      </c>
      <c r="AT59" s="72">
        <f t="shared" ref="AT59:AT61" si="283">($BD59*(1+$BH59)^(3/4))*(1+$BI59)*(1+$BJ59)*(1+$BK59)*(1+$BL59)*(1+$BM59)*(1+$BN59)*(1+$BO59)^(AT$3/4)*AY59</f>
        <v>0</v>
      </c>
      <c r="AU59" s="72">
        <f t="shared" ref="AU59:AU61" si="284">($BD59*(1+$BH59)^(3/4))*(1+$BI59)*(1+$BJ59)*(1+$BK59)*(1+$BL59)*(1+$BM59)*(1+$BN59)*(1+$BO59)^(AU$3/4)*AZ59</f>
        <v>0</v>
      </c>
      <c r="AV59" s="73">
        <f t="shared" ref="AV59:AV61" si="285">($BD59*(1+$BH59)^(3/4))*(1+$BI59)*(1+$BJ59)*(1+$BK59)*(1+$BL59)*(1+$BM59)*(1+$BN59)*(1+$BO59)^(AV$3/4)*BA59</f>
        <v>0</v>
      </c>
      <c r="AW59" s="415"/>
      <c r="AX59" s="528">
        <f>AVERAGE(Q59/($BD59*(1+$BH59)^((AX$6-1)/4)),U59/($BD59*(1+$BH59)^(3/4)*(1+$BI59)^(AX$6/4)),Y59/($BD59*(1+$BH59)^(3/4)*(1+$BI59)*(1+$BJ59)^(AX$6/4)))</f>
        <v>0</v>
      </c>
      <c r="AY59" s="528">
        <f t="shared" ref="AY59:AY61" si="286">AVERAGE(R59/($BD59*(1+$BH59)^((AY$6-1)/4)),V59/($BD59*(1+$BH59)^(3/4)*(1+$BI59)^(AY$6/4)),Z59/($BD59*(1+$BH59)^(3/4)*(1+$BI59)*(1+$BJ59)^(AY$6/4)))</f>
        <v>0</v>
      </c>
      <c r="AZ59" s="528">
        <f t="shared" ref="AZ59:AZ61" si="287">AVERAGE(S59/($BD59*(1+$BH59)^((AZ$6-1)/4)),W59/($BD59*(1+$BH59)^(3/4)*(1+$BI59)^(AZ$6/4)),AA59/($BD59*(1+$BH59)^(3/4)*(1+$BI59)*(1+$BJ59)^(AZ$6/4)))</f>
        <v>0</v>
      </c>
      <c r="BA59" s="528">
        <f t="shared" ref="BA59:BA61" si="288">AVERAGE(T59/($BD59*(1+$BH59)^((BA$6-1)/4)),X59/($BD59*(1+$BH59)^(3/4)*(1+$BI59)^(BA$6/4)),AB59/($BD59*(1+$BH59)^(3/4)*(1+$BI59)*(1+$BJ59)^(BA$6/4)))</f>
        <v>0</v>
      </c>
      <c r="BB59" s="416">
        <f>+SUM(AX59:BA59)</f>
        <v>0</v>
      </c>
      <c r="BD59" s="146">
        <v>1</v>
      </c>
      <c r="BE59" s="188" t="str">
        <f>"Growth in "&amp;B59</f>
        <v>Growth in Selling</v>
      </c>
      <c r="BF59" s="330">
        <f>IFERROR(SUM(I59:L59)/SUM(E59:H59)-1,0)</f>
        <v>0</v>
      </c>
      <c r="BG59" s="330">
        <f>IFERROR(SUM(M59:P59)/SUM(I59:L59)-1,0)</f>
        <v>0</v>
      </c>
      <c r="BH59" s="330">
        <f>IFERROR(SUM(Q59:T59)/SUM(M59:P59)-1,0)</f>
        <v>0</v>
      </c>
      <c r="BI59" s="330">
        <f>IFERROR(SUM(U59:X59)/SUM(Q59:T59)-1,0)</f>
        <v>0</v>
      </c>
      <c r="BJ59" s="330">
        <f>IFERROR(SUM(Y59:AB59)/SUM(U59:X59)-1,0)</f>
        <v>0</v>
      </c>
      <c r="BK59" s="417">
        <v>0.25</v>
      </c>
      <c r="BL59" s="417">
        <f t="shared" ref="BL59:BO59" si="289">BK59*(1-$BP59)</f>
        <v>0.23249999999999998</v>
      </c>
      <c r="BM59" s="417">
        <f t="shared" si="289"/>
        <v>0.21622499999999997</v>
      </c>
      <c r="BN59" s="417">
        <f t="shared" si="289"/>
        <v>0.20108924999999997</v>
      </c>
      <c r="BO59" s="417">
        <f t="shared" si="289"/>
        <v>0.18701300249999997</v>
      </c>
      <c r="BP59" s="417">
        <v>7.0000000000000007E-2</v>
      </c>
      <c r="BR59" s="77">
        <f t="shared" si="0"/>
        <v>56</v>
      </c>
    </row>
    <row r="60" spans="1:70" ht="11.25" customHeight="1" x14ac:dyDescent="0.15">
      <c r="B60" s="185" t="s">
        <v>4</v>
      </c>
      <c r="E60" s="276">
        <f>Reported!C29-Reported!C58-Reported!C63-Reported!C68</f>
        <v>0</v>
      </c>
      <c r="F60" s="277">
        <f>Reported!D29-Reported!D58-Reported!D63-Reported!D68</f>
        <v>0</v>
      </c>
      <c r="G60" s="277">
        <f>Reported!E29-Reported!E58-Reported!E63-Reported!E68</f>
        <v>0</v>
      </c>
      <c r="H60" s="278">
        <f>Reported!F29-Reported!F58-Reported!F63-Reported!F68</f>
        <v>0</v>
      </c>
      <c r="I60" s="276">
        <f>Reported!G29-Reported!G58-Reported!G63-Reported!G68</f>
        <v>0</v>
      </c>
      <c r="J60" s="277">
        <f>Reported!H29-Reported!H58-Reported!H63-Reported!H68</f>
        <v>0</v>
      </c>
      <c r="K60" s="277">
        <f>Reported!I29-Reported!I58-Reported!I63-Reported!I68</f>
        <v>0</v>
      </c>
      <c r="L60" s="277">
        <f>Reported!J29-Reported!J58-Reported!J63-Reported!J68</f>
        <v>0</v>
      </c>
      <c r="M60" s="276">
        <f>Reported!K29-Reported!K58-Reported!K63-Reported!K68</f>
        <v>0</v>
      </c>
      <c r="N60" s="277">
        <f>Reported!L29-Reported!L58-Reported!L63-Reported!L68</f>
        <v>0</v>
      </c>
      <c r="O60" s="277">
        <f>Reported!M29-Reported!M58-Reported!M63-Reported!M68</f>
        <v>0</v>
      </c>
      <c r="P60" s="277">
        <f>Reported!N29-Reported!N58-Reported!N63-Reported!N68</f>
        <v>0</v>
      </c>
      <c r="Q60" s="276">
        <f>Reported!O29-Reported!O58-Reported!O63-Reported!O68</f>
        <v>0</v>
      </c>
      <c r="R60" s="277">
        <f>Reported!P29-Reported!P58-Reported!P63-Reported!P68</f>
        <v>0</v>
      </c>
      <c r="S60" s="277">
        <f>Reported!Q29-Reported!Q58-Reported!Q63-Reported!Q68</f>
        <v>0</v>
      </c>
      <c r="T60" s="277">
        <f>Reported!R29-Reported!R58-Reported!R63-Reported!R68</f>
        <v>0</v>
      </c>
      <c r="U60" s="276">
        <f>Reported!S29-Reported!S58-Reported!S63-Reported!S68</f>
        <v>0</v>
      </c>
      <c r="V60" s="277">
        <f>Reported!T29-Reported!T58-Reported!T63-Reported!T68</f>
        <v>0</v>
      </c>
      <c r="W60" s="277">
        <f>Reported!U29-Reported!U58-Reported!U63-Reported!U68</f>
        <v>0</v>
      </c>
      <c r="X60" s="277">
        <f>Reported!V29-Reported!V58-Reported!V63-Reported!V68</f>
        <v>0</v>
      </c>
      <c r="Y60" s="276">
        <f>Reported!W29-Reported!W58-Reported!W63-Reported!W68</f>
        <v>0</v>
      </c>
      <c r="Z60" s="277">
        <f>Reported!X29-Reported!X58-Reported!X63-Reported!X68</f>
        <v>0</v>
      </c>
      <c r="AA60" s="277">
        <f>Reported!Y29-Reported!Y58-Reported!Y63-Reported!Y68</f>
        <v>0</v>
      </c>
      <c r="AB60" s="277">
        <f>Reported!Z29-Reported!Z58-Reported!Z63-Reported!Z68</f>
        <v>0</v>
      </c>
      <c r="AC60" s="276">
        <f>Reported!AA29-Reported!AA58-Reported!AA63-Reported!AA68</f>
        <v>0</v>
      </c>
      <c r="AD60" s="384">
        <f t="shared" ref="AD60" si="290">($BD60*(1+$BH60)^(3/4))*(1+$BI60)*(1+$BJ60)*(1+$BK60)^(AD$3/4)*AY60</f>
        <v>0</v>
      </c>
      <c r="AE60" s="384">
        <f t="shared" ref="AE60" si="291">($BD60*(1+$BH60)^(3/4))*(1+$BI60)*(1+$BJ60)*(1+$BK60)^(AE$3/4)*AZ60</f>
        <v>0</v>
      </c>
      <c r="AF60" s="383">
        <f t="shared" ref="AF60" si="292">($BD60*(1+$BH60)^(3/4))*(1+$BI60)*(1+$BJ60)*(1+$BK60)^(AF$3/4)*BA60</f>
        <v>0</v>
      </c>
      <c r="AG60" s="384">
        <f>($BD60*(1+$BH60)^(3/4))*(1+$BI60)*(1+$BJ60)*(1+$BK60)*(1+$BL60)^(AG$3/4)*AX60</f>
        <v>0</v>
      </c>
      <c r="AH60" s="384">
        <f t="shared" ref="AH60" si="293">($BD60*(1+$BH60)^(3/4))*(1+$BI60)*(1+$BJ60)*(1+$BK60)*(1+$BL60)^(AH$3/4)*AY60</f>
        <v>0</v>
      </c>
      <c r="AI60" s="384">
        <f t="shared" ref="AI60" si="294">($BD60*(1+$BH60)^(3/4))*(1+$BI60)*(1+$BJ60)*(1+$BK60)*(1+$BL60)^(AI$3/4)*AZ60</f>
        <v>0</v>
      </c>
      <c r="AJ60" s="383">
        <f t="shared" ref="AJ60" si="295">($BD60*(1+$BH60)^(3/4))*(1+$BI60)*(1+$BJ60)*(1+$BK60)*(1+$BL60)^(AJ$3/4)*BA60</f>
        <v>0</v>
      </c>
      <c r="AK60" s="384">
        <f>($BD60*(1+$BH60)^(3/4))*(1+$BI60)*(1+$BJ60)*(1+$BK60)*(1+$BL60)*(1+$BM60)^(AK$3/4)*AX60</f>
        <v>0</v>
      </c>
      <c r="AL60" s="384">
        <f t="shared" ref="AL60" si="296">($BD60*(1+$BH60)^(3/4))*(1+$BI60)*(1+$BJ60)*(1+$BK60)*(1+$BL60)*(1+$BM60)^(AL$3/4)*AY60</f>
        <v>0</v>
      </c>
      <c r="AM60" s="384">
        <f t="shared" ref="AM60" si="297">($BD60*(1+$BH60)^(3/4))*(1+$BI60)*(1+$BJ60)*(1+$BK60)*(1+$BL60)*(1+$BM60)^(AM$3/4)*AZ60</f>
        <v>0</v>
      </c>
      <c r="AN60" s="383">
        <f t="shared" ref="AN60" si="298">($BD60*(1+$BH60)^(3/4))*(1+$BI60)*(1+$BJ60)*(1+$BK60)*(1+$BL60)*(1+$BM60)^(AN$3/4)*BA60</f>
        <v>0</v>
      </c>
      <c r="AO60" s="71">
        <f>($BD60*(1+$BH60)^(3/4))*(1+$BI60)*(1+$BJ60)*(1+$BK60)*(1+$BL60)*(1+$BM60)*(1+$BN60)^(AO$3/4)*AX60</f>
        <v>0</v>
      </c>
      <c r="AP60" s="72">
        <f t="shared" ref="AP60" si="299">($BD60*(1+$BH60)^(3/4))*(1+$BI60)*(1+$BJ60)*(1+$BK60)*(1+$BL60)*(1+$BM60)*(1+$BN60)^(AP$3/4)*AY60</f>
        <v>0</v>
      </c>
      <c r="AQ60" s="72">
        <f t="shared" ref="AQ60" si="300">($BD60*(1+$BH60)^(3/4))*(1+$BI60)*(1+$BJ60)*(1+$BK60)*(1+$BL60)*(1+$BM60)*(1+$BN60)^(AQ$3/4)*AZ60</f>
        <v>0</v>
      </c>
      <c r="AR60" s="73">
        <f t="shared" ref="AR60" si="301">($BD60*(1+$BH60)^(3/4))*(1+$BI60)*(1+$BJ60)*(1+$BK60)*(1+$BL60)*(1+$BM60)*(1+$BN60)^(AR$3/4)*BA60</f>
        <v>0</v>
      </c>
      <c r="AS60" s="71">
        <f t="shared" si="282"/>
        <v>0</v>
      </c>
      <c r="AT60" s="72">
        <f t="shared" si="283"/>
        <v>0</v>
      </c>
      <c r="AU60" s="72">
        <f t="shared" si="284"/>
        <v>0</v>
      </c>
      <c r="AV60" s="73">
        <f t="shared" si="285"/>
        <v>0</v>
      </c>
      <c r="AW60" s="17"/>
      <c r="AX60" s="528">
        <f>AVERAGE(Q60/($BD60*(1+$BH60)^((AX$6-1)/4)),U60/($BD60*(1+$BH60)^(3/4)*(1+$BI60)^(AX$6/4)),Y60/($BD60*(1+$BH60)^(3/4)*(1+$BI60)*(1+$BJ60)^(AX$6/4)))</f>
        <v>0</v>
      </c>
      <c r="AY60" s="528">
        <f t="shared" si="286"/>
        <v>0</v>
      </c>
      <c r="AZ60" s="528">
        <f t="shared" si="287"/>
        <v>0</v>
      </c>
      <c r="BA60" s="528">
        <f t="shared" si="288"/>
        <v>0</v>
      </c>
      <c r="BB60" s="416">
        <f>+SUM(AX60:BA60)</f>
        <v>0</v>
      </c>
      <c r="BC60" s="2"/>
      <c r="BD60" s="3">
        <v>1</v>
      </c>
      <c r="BE60" s="185" t="str">
        <f>"Growth in "&amp;B60</f>
        <v>Growth in R&amp;D</v>
      </c>
      <c r="BF60" s="59"/>
      <c r="BG60" s="59"/>
      <c r="BH60" s="59">
        <f>IFERROR(SUM(Q60:T60)/SUM(M60:P60)-1,0)</f>
        <v>0</v>
      </c>
      <c r="BI60" s="59">
        <f>IFERROR(SUM(U60:X60)/SUM(Q60:T60)-1,0)</f>
        <v>0</v>
      </c>
      <c r="BJ60" s="59">
        <f>IFERROR(SUM(Y60:AB60)/SUM(U60:X60)-1,0)</f>
        <v>0</v>
      </c>
      <c r="BK60" s="417">
        <v>0.16</v>
      </c>
      <c r="BL60" s="417">
        <f t="shared" ref="BL60:BO60" si="302">BK60*(1-$BP60)</f>
        <v>0.15359999999999999</v>
      </c>
      <c r="BM60" s="417">
        <f t="shared" si="302"/>
        <v>0.14745599999999998</v>
      </c>
      <c r="BN60" s="417">
        <f t="shared" si="302"/>
        <v>0.14155775999999998</v>
      </c>
      <c r="BO60" s="417">
        <f t="shared" si="302"/>
        <v>0.13589544959999997</v>
      </c>
      <c r="BP60" s="207">
        <v>0.04</v>
      </c>
      <c r="BR60" s="77">
        <f t="shared" si="281"/>
        <v>57</v>
      </c>
    </row>
    <row r="61" spans="1:70" ht="11.25" customHeight="1" x14ac:dyDescent="0.25">
      <c r="B61" s="185" t="s">
        <v>3</v>
      </c>
      <c r="E61" s="287">
        <f>Reported!C30-Reported!C59-Reported!C64-Reported!C69</f>
        <v>0</v>
      </c>
      <c r="F61" s="288">
        <f>Reported!D30-Reported!D59-Reported!D64-Reported!D69</f>
        <v>0</v>
      </c>
      <c r="G61" s="288">
        <f>Reported!E30-Reported!E59-Reported!E64-Reported!E69</f>
        <v>0</v>
      </c>
      <c r="H61" s="289">
        <f>Reported!F30-Reported!F59-Reported!F64-Reported!F69</f>
        <v>0</v>
      </c>
      <c r="I61" s="287">
        <f>Reported!G30-Reported!G59-Reported!G64-Reported!G69</f>
        <v>0</v>
      </c>
      <c r="J61" s="288">
        <f>Reported!H30-Reported!H59-Reported!H64-Reported!H69</f>
        <v>0</v>
      </c>
      <c r="K61" s="288">
        <f>Reported!I30-Reported!I59-Reported!I64-Reported!I69</f>
        <v>0</v>
      </c>
      <c r="L61" s="288">
        <f>Reported!J30-Reported!J59-Reported!J64-Reported!J69</f>
        <v>0</v>
      </c>
      <c r="M61" s="287">
        <f>Reported!K30-Reported!K59-Reported!K64-Reported!K69</f>
        <v>0</v>
      </c>
      <c r="N61" s="288">
        <f>Reported!L30-Reported!L59-Reported!L64-Reported!L69</f>
        <v>0</v>
      </c>
      <c r="O61" s="288">
        <f>Reported!M30-Reported!M59-Reported!M64-Reported!M69</f>
        <v>0</v>
      </c>
      <c r="P61" s="288">
        <f>Reported!N30-Reported!N59-Reported!N64-Reported!N69</f>
        <v>0</v>
      </c>
      <c r="Q61" s="287">
        <f>Reported!O30-Reported!O59-Reported!O64-Reported!O69</f>
        <v>0</v>
      </c>
      <c r="R61" s="288">
        <f>Reported!P30-Reported!P59-Reported!P64-Reported!P69</f>
        <v>0</v>
      </c>
      <c r="S61" s="288">
        <f>Reported!Q30-Reported!Q59-Reported!Q64-Reported!Q69</f>
        <v>0</v>
      </c>
      <c r="T61" s="288">
        <f>Reported!R30-Reported!R59-Reported!R64-Reported!R69</f>
        <v>0</v>
      </c>
      <c r="U61" s="287">
        <f>Reported!S30-Reported!S59-Reported!S64-Reported!S69</f>
        <v>0</v>
      </c>
      <c r="V61" s="288">
        <f>Reported!T30-Reported!T59-Reported!T64-Reported!T69</f>
        <v>0</v>
      </c>
      <c r="W61" s="288">
        <f>Reported!U30-Reported!U59-Reported!U64-Reported!U69</f>
        <v>0</v>
      </c>
      <c r="X61" s="288">
        <f>Reported!V30-Reported!V59-Reported!V64-Reported!V69</f>
        <v>0</v>
      </c>
      <c r="Y61" s="287">
        <f>Reported!W30-Reported!W59-Reported!W64-Reported!W69</f>
        <v>0</v>
      </c>
      <c r="Z61" s="288">
        <f>Reported!X30-Reported!X59-Reported!X64-Reported!X69</f>
        <v>0</v>
      </c>
      <c r="AA61" s="288">
        <f>Reported!Y30-Reported!Y59-Reported!Y64-Reported!Y69</f>
        <v>0</v>
      </c>
      <c r="AB61" s="288">
        <f>Reported!Z30-Reported!Z59-Reported!Z64-Reported!Z69</f>
        <v>0</v>
      </c>
      <c r="AC61" s="287">
        <f>Reported!AA30-Reported!AA59-Reported!AA64-Reported!AA69</f>
        <v>0</v>
      </c>
      <c r="AD61" s="75">
        <f t="shared" ref="AD61" si="303">($BD61*(1+$BH61)^(3/4))*(1+$BI61)*(1+$BJ61)*(1+$BK61)^(AD$3/4)*AY61</f>
        <v>0</v>
      </c>
      <c r="AE61" s="75">
        <f t="shared" ref="AE61" si="304">($BD61*(1+$BH61)^(3/4))*(1+$BI61)*(1+$BJ61)*(1+$BK61)^(AE$3/4)*AZ61</f>
        <v>0</v>
      </c>
      <c r="AF61" s="76">
        <f>($BD61*(1+$BH61)^(3/4))*(1+$BI61)*(1+$BJ61)*(1+$BK61)^(AF$3/4)*BA61</f>
        <v>0</v>
      </c>
      <c r="AG61" s="75">
        <f>($BD61*(1+$BH61)^(3/4))*(1+$BI61)*(1+$BJ61)*(1+$BK61)*(1+$BL61)^(AG$3/4)*AX61</f>
        <v>0</v>
      </c>
      <c r="AH61" s="75">
        <f t="shared" ref="AH61" si="305">($BD61*(1+$BH61)^(3/4))*(1+$BI61)*(1+$BJ61)*(1+$BK61)*(1+$BL61)^(AH$3/4)*AY61</f>
        <v>0</v>
      </c>
      <c r="AI61" s="75">
        <f t="shared" ref="AI61" si="306">($BD61*(1+$BH61)^(3/4))*(1+$BI61)*(1+$BJ61)*(1+$BK61)*(1+$BL61)^(AI$3/4)*AZ61</f>
        <v>0</v>
      </c>
      <c r="AJ61" s="76">
        <f t="shared" ref="AJ61" si="307">($BD61*(1+$BH61)^(3/4))*(1+$BI61)*(1+$BJ61)*(1+$BK61)*(1+$BL61)^(AJ$3/4)*BA61</f>
        <v>0</v>
      </c>
      <c r="AK61" s="74">
        <f>($BD61*(1+$BH61)^(3/4))*(1+$BI61)*(1+$BJ61)*(1+$BK61)*(1+$BL61)*(1+$BM61)^(AK$3/4)*AX61</f>
        <v>0</v>
      </c>
      <c r="AL61" s="75">
        <f t="shared" ref="AL61" si="308">($BD61*(1+$BH61)^(3/4))*(1+$BI61)*(1+$BJ61)*(1+$BK61)*(1+$BL61)*(1+$BM61)^(AL$3/4)*AY61</f>
        <v>0</v>
      </c>
      <c r="AM61" s="75">
        <f t="shared" ref="AM61" si="309">($BD61*(1+$BH61)^(3/4))*(1+$BI61)*(1+$BJ61)*(1+$BK61)*(1+$BL61)*(1+$BM61)^(AM$3/4)*AZ61</f>
        <v>0</v>
      </c>
      <c r="AN61" s="76">
        <f t="shared" ref="AN61" si="310">($BD61*(1+$BH61)^(3/4))*(1+$BI61)*(1+$BJ61)*(1+$BK61)*(1+$BL61)*(1+$BM61)^(AN$3/4)*BA61</f>
        <v>0</v>
      </c>
      <c r="AO61" s="74">
        <f>($BD61*(1+$BH61)^(3/4))*(1+$BI61)*(1+$BJ61)*(1+$BK61)*(1+$BL61)*(1+$BM61)*(1+$BN61)^(AO$3/4)*AX61</f>
        <v>0</v>
      </c>
      <c r="AP61" s="75">
        <f t="shared" ref="AP61" si="311">($BD61*(1+$BH61)^(3/4))*(1+$BI61)*(1+$BJ61)*(1+$BK61)*(1+$BL61)*(1+$BM61)*(1+$BN61)^(AP$3/4)*AY61</f>
        <v>0</v>
      </c>
      <c r="AQ61" s="75">
        <f t="shared" ref="AQ61" si="312">($BD61*(1+$BH61)^(3/4))*(1+$BI61)*(1+$BJ61)*(1+$BK61)*(1+$BL61)*(1+$BM61)*(1+$BN61)^(AQ$3/4)*AZ61</f>
        <v>0</v>
      </c>
      <c r="AR61" s="76">
        <f t="shared" ref="AR61" si="313">($BD61*(1+$BH61)^(3/4))*(1+$BI61)*(1+$BJ61)*(1+$BK61)*(1+$BL61)*(1+$BM61)*(1+$BN61)^(AR$3/4)*BA61</f>
        <v>0</v>
      </c>
      <c r="AS61" s="74">
        <f t="shared" si="282"/>
        <v>0</v>
      </c>
      <c r="AT61" s="75">
        <f t="shared" si="283"/>
        <v>0</v>
      </c>
      <c r="AU61" s="75">
        <f t="shared" si="284"/>
        <v>0</v>
      </c>
      <c r="AV61" s="76">
        <f t="shared" si="285"/>
        <v>0</v>
      </c>
      <c r="AW61" s="61"/>
      <c r="AX61" s="528">
        <f>AVERAGE(Q61/($BD61*(1+$BH61)^((AX$6-1)/4)),U61/($BD61*(1+$BH61)^(3/4)*(1+$BI61)^(AX$6/4)),Y61/($BD61*(1+$BH61)^(3/4)*(1+$BI61)*(1+$BJ61)^(AX$6/4)))</f>
        <v>0</v>
      </c>
      <c r="AY61" s="528">
        <f t="shared" si="286"/>
        <v>0</v>
      </c>
      <c r="AZ61" s="528">
        <f t="shared" si="287"/>
        <v>0</v>
      </c>
      <c r="BA61" s="528">
        <f t="shared" si="288"/>
        <v>0</v>
      </c>
      <c r="BB61" s="416">
        <f>+SUM(AX61:BA61)</f>
        <v>0</v>
      </c>
      <c r="BD61" s="3">
        <v>1</v>
      </c>
      <c r="BE61" s="188" t="str">
        <f>"Growth in "&amp;B61</f>
        <v>Growth in G&amp;A</v>
      </c>
      <c r="BF61" s="59"/>
      <c r="BG61" s="59"/>
      <c r="BH61" s="59">
        <f>IFERROR(SUM(Q61:T61)/SUM(M61:P61)-1,0)</f>
        <v>0</v>
      </c>
      <c r="BI61" s="59">
        <f>IFERROR(SUM(U61:X61)/SUM(Q61:T61)-1,0)</f>
        <v>0</v>
      </c>
      <c r="BJ61" s="59">
        <f>IFERROR(SUM(Y61:AB61)/SUM(U61:X61)-1,0)</f>
        <v>0</v>
      </c>
      <c r="BK61" s="417">
        <v>0.06</v>
      </c>
      <c r="BL61" s="417">
        <f t="shared" ref="BL61:BO61" si="314">BK61*(1-$BP61)</f>
        <v>0.06</v>
      </c>
      <c r="BM61" s="417">
        <f t="shared" si="314"/>
        <v>0.06</v>
      </c>
      <c r="BN61" s="417">
        <f t="shared" si="314"/>
        <v>0.06</v>
      </c>
      <c r="BO61" s="417">
        <f t="shared" si="314"/>
        <v>0.06</v>
      </c>
      <c r="BP61" s="207">
        <v>0</v>
      </c>
      <c r="BR61" s="77">
        <f t="shared" si="281"/>
        <v>58</v>
      </c>
    </row>
    <row r="62" spans="1:70" ht="11.25" customHeight="1" x14ac:dyDescent="0.2">
      <c r="A62" s="187" t="s">
        <v>99</v>
      </c>
      <c r="B62" s="10"/>
      <c r="E62" s="276">
        <f t="shared" ref="E62:L62" si="315">SUM(E60:E61)</f>
        <v>0</v>
      </c>
      <c r="F62" s="277">
        <f t="shared" si="315"/>
        <v>0</v>
      </c>
      <c r="G62" s="277">
        <f t="shared" si="315"/>
        <v>0</v>
      </c>
      <c r="H62" s="278">
        <f t="shared" si="315"/>
        <v>0</v>
      </c>
      <c r="I62" s="276">
        <f t="shared" si="315"/>
        <v>0</v>
      </c>
      <c r="J62" s="277">
        <f t="shared" si="315"/>
        <v>0</v>
      </c>
      <c r="K62" s="277">
        <f t="shared" si="315"/>
        <v>0</v>
      </c>
      <c r="L62" s="277">
        <f t="shared" si="315"/>
        <v>0</v>
      </c>
      <c r="M62" s="276">
        <f>SUM(M59:M61)</f>
        <v>0</v>
      </c>
      <c r="N62" s="277">
        <f t="shared" ref="N62:AR62" si="316">SUM(N59:N61)</f>
        <v>0</v>
      </c>
      <c r="O62" s="277">
        <f t="shared" si="316"/>
        <v>0</v>
      </c>
      <c r="P62" s="277">
        <f t="shared" si="316"/>
        <v>0</v>
      </c>
      <c r="Q62" s="276">
        <f t="shared" si="316"/>
        <v>0</v>
      </c>
      <c r="R62" s="277">
        <f t="shared" si="316"/>
        <v>0</v>
      </c>
      <c r="S62" s="277">
        <f t="shared" si="316"/>
        <v>0</v>
      </c>
      <c r="T62" s="277">
        <f t="shared" si="316"/>
        <v>0</v>
      </c>
      <c r="U62" s="276">
        <f t="shared" si="316"/>
        <v>0</v>
      </c>
      <c r="V62" s="277">
        <f t="shared" si="316"/>
        <v>0</v>
      </c>
      <c r="W62" s="277">
        <f t="shared" si="316"/>
        <v>0</v>
      </c>
      <c r="X62" s="277">
        <f t="shared" si="316"/>
        <v>0</v>
      </c>
      <c r="Y62" s="276">
        <f t="shared" si="316"/>
        <v>0</v>
      </c>
      <c r="Z62" s="277">
        <f t="shared" si="316"/>
        <v>0</v>
      </c>
      <c r="AA62" s="277">
        <f t="shared" si="316"/>
        <v>0</v>
      </c>
      <c r="AB62" s="277">
        <f t="shared" si="316"/>
        <v>0</v>
      </c>
      <c r="AC62" s="276">
        <f t="shared" ref="AC62" si="317">SUM(AC59:AC61)</f>
        <v>0</v>
      </c>
      <c r="AD62" s="285">
        <f t="shared" si="316"/>
        <v>0</v>
      </c>
      <c r="AE62" s="285">
        <f t="shared" si="316"/>
        <v>0</v>
      </c>
      <c r="AF62" s="286">
        <f t="shared" si="316"/>
        <v>0</v>
      </c>
      <c r="AG62" s="285">
        <f t="shared" si="316"/>
        <v>0</v>
      </c>
      <c r="AH62" s="285">
        <f t="shared" si="316"/>
        <v>0</v>
      </c>
      <c r="AI62" s="285">
        <f t="shared" si="316"/>
        <v>0</v>
      </c>
      <c r="AJ62" s="286">
        <f t="shared" si="316"/>
        <v>0</v>
      </c>
      <c r="AK62" s="284">
        <f t="shared" si="316"/>
        <v>0</v>
      </c>
      <c r="AL62" s="285">
        <f t="shared" si="316"/>
        <v>0</v>
      </c>
      <c r="AM62" s="285">
        <f t="shared" si="316"/>
        <v>0</v>
      </c>
      <c r="AN62" s="286">
        <f t="shared" si="316"/>
        <v>0</v>
      </c>
      <c r="AO62" s="284">
        <f t="shared" si="316"/>
        <v>0</v>
      </c>
      <c r="AP62" s="285">
        <f t="shared" si="316"/>
        <v>0</v>
      </c>
      <c r="AQ62" s="285">
        <f t="shared" si="316"/>
        <v>0</v>
      </c>
      <c r="AR62" s="286">
        <f t="shared" si="316"/>
        <v>0</v>
      </c>
      <c r="AS62" s="284">
        <f t="shared" ref="AS62:AV62" si="318">SUM(AS59:AS61)</f>
        <v>0</v>
      </c>
      <c r="AT62" s="285">
        <f t="shared" si="318"/>
        <v>0</v>
      </c>
      <c r="AU62" s="285">
        <f t="shared" si="318"/>
        <v>0</v>
      </c>
      <c r="AV62" s="286">
        <f t="shared" si="318"/>
        <v>0</v>
      </c>
      <c r="AW62" s="17"/>
      <c r="AX62" s="390"/>
      <c r="AY62" s="390"/>
      <c r="AZ62" s="390"/>
      <c r="BA62" s="390"/>
      <c r="BC62" s="2"/>
      <c r="BD62"/>
      <c r="BE62" s="188" t="str">
        <f>"Growth in "&amp;A62</f>
        <v>Growth in Total Overhead</v>
      </c>
      <c r="BH62" s="59">
        <f>IFERROR(SUM(Q62:T62)/SUM(M62:P62)-1,0)</f>
        <v>0</v>
      </c>
      <c r="BI62" s="59">
        <f>IFERROR(SUM(U62:X62)/SUM(Q62:T62)-1,0)</f>
        <v>0</v>
      </c>
      <c r="BJ62" s="59">
        <f>IFERROR(SUM(Y62:AB62)/SUM(U62:X62)-1,0)</f>
        <v>0</v>
      </c>
      <c r="BK62" s="59">
        <f>IFERROR(SUM(AC62:AF62)/SUM(Y62:AB62)-1,0)</f>
        <v>0</v>
      </c>
      <c r="BL62" s="59">
        <f>IFERROR(SUM(AG62:AJ62)/SUM(AC62:AF62)-1,0)</f>
        <v>0</v>
      </c>
      <c r="BM62" s="59">
        <f>IFERROR(SUM(AK62:AN62)/SUM(AG62:AJ62)-1,0)</f>
        <v>0</v>
      </c>
      <c r="BN62" s="59">
        <f>IFERROR(SUM(AO62:AR62)/SUM(AK62:AN62)-1,0)</f>
        <v>0</v>
      </c>
      <c r="BO62" s="59">
        <f>IFERROR(SUM(AS62:AV62)/SUM(AO62:AR62)-1,0)</f>
        <v>0</v>
      </c>
      <c r="BR62" s="77">
        <f t="shared" si="281"/>
        <v>59</v>
      </c>
    </row>
    <row r="63" spans="1:70" ht="11.25" customHeight="1" x14ac:dyDescent="0.2">
      <c r="A63" s="187"/>
      <c r="B63" s="10"/>
      <c r="E63" s="276"/>
      <c r="F63" s="277"/>
      <c r="G63" s="277"/>
      <c r="H63" s="278"/>
      <c r="I63" s="276"/>
      <c r="J63" s="277"/>
      <c r="K63" s="277"/>
      <c r="L63" s="277"/>
      <c r="M63" s="276"/>
      <c r="N63" s="277"/>
      <c r="O63" s="277"/>
      <c r="P63" s="277"/>
      <c r="Q63" s="276"/>
      <c r="R63" s="277"/>
      <c r="S63" s="277"/>
      <c r="T63" s="277"/>
      <c r="U63" s="276"/>
      <c r="V63" s="277"/>
      <c r="W63" s="277"/>
      <c r="X63" s="277"/>
      <c r="Y63" s="276"/>
      <c r="Z63" s="277"/>
      <c r="AA63" s="277"/>
      <c r="AB63" s="277"/>
      <c r="AC63" s="276"/>
      <c r="AD63" s="285"/>
      <c r="AE63" s="285"/>
      <c r="AF63" s="286"/>
      <c r="AG63" s="285"/>
      <c r="AH63" s="285"/>
      <c r="AI63" s="285"/>
      <c r="AJ63" s="286"/>
      <c r="AK63" s="284"/>
      <c r="AL63" s="285"/>
      <c r="AM63" s="285"/>
      <c r="AN63" s="286"/>
      <c r="AO63" s="284"/>
      <c r="AP63" s="285"/>
      <c r="AQ63" s="285"/>
      <c r="AR63" s="286"/>
      <c r="AS63" s="284"/>
      <c r="AT63" s="285"/>
      <c r="AU63" s="285"/>
      <c r="AV63" s="286"/>
      <c r="AW63" s="17"/>
      <c r="AX63" s="390"/>
      <c r="AY63" s="390"/>
      <c r="AZ63" s="390"/>
      <c r="BA63" s="390"/>
      <c r="BC63" s="2"/>
      <c r="BD63"/>
      <c r="BE63" s="188" t="s">
        <v>156</v>
      </c>
      <c r="BI63" s="501" t="e">
        <f>1-BI62/BH62</f>
        <v>#DIV/0!</v>
      </c>
      <c r="BJ63" s="501" t="e">
        <f>1-BJ62/BI62</f>
        <v>#DIV/0!</v>
      </c>
      <c r="BK63" s="501" t="e">
        <f>1-BK62/BJ62</f>
        <v>#DIV/0!</v>
      </c>
      <c r="BL63" s="501" t="e">
        <f t="shared" ref="BL63:BO63" si="319">1-BL62/BK62</f>
        <v>#DIV/0!</v>
      </c>
      <c r="BM63" s="501" t="e">
        <f t="shared" si="319"/>
        <v>#DIV/0!</v>
      </c>
      <c r="BN63" s="501" t="e">
        <f t="shared" si="319"/>
        <v>#DIV/0!</v>
      </c>
      <c r="BO63" s="501" t="e">
        <f t="shared" si="319"/>
        <v>#DIV/0!</v>
      </c>
      <c r="BR63" s="77"/>
    </row>
    <row r="64" spans="1:70" ht="11.25" customHeight="1" x14ac:dyDescent="0.2">
      <c r="A64" s="187"/>
      <c r="B64" s="438" t="s">
        <v>175</v>
      </c>
      <c r="E64" s="276"/>
      <c r="F64" s="277"/>
      <c r="G64" s="277"/>
      <c r="H64" s="278"/>
      <c r="I64" s="276"/>
      <c r="J64" s="277"/>
      <c r="K64" s="277"/>
      <c r="L64" s="277"/>
      <c r="M64" s="317">
        <f>M54-M62</f>
        <v>0</v>
      </c>
      <c r="N64" s="318">
        <f t="shared" ref="N64:AR64" si="320">N54-N62</f>
        <v>0</v>
      </c>
      <c r="O64" s="318">
        <f t="shared" si="320"/>
        <v>0</v>
      </c>
      <c r="P64" s="318">
        <f t="shared" si="320"/>
        <v>0</v>
      </c>
      <c r="Q64" s="317">
        <f t="shared" si="320"/>
        <v>0</v>
      </c>
      <c r="R64" s="318">
        <f t="shared" si="320"/>
        <v>0</v>
      </c>
      <c r="S64" s="318">
        <f t="shared" si="320"/>
        <v>0</v>
      </c>
      <c r="T64" s="318">
        <f t="shared" si="320"/>
        <v>0</v>
      </c>
      <c r="U64" s="317">
        <f t="shared" si="320"/>
        <v>0</v>
      </c>
      <c r="V64" s="318">
        <f t="shared" si="320"/>
        <v>0</v>
      </c>
      <c r="W64" s="318">
        <f t="shared" si="320"/>
        <v>0</v>
      </c>
      <c r="X64" s="318">
        <f t="shared" si="320"/>
        <v>0</v>
      </c>
      <c r="Y64" s="317">
        <f t="shared" si="320"/>
        <v>0</v>
      </c>
      <c r="Z64" s="318">
        <f t="shared" si="320"/>
        <v>0</v>
      </c>
      <c r="AA64" s="318">
        <f t="shared" si="320"/>
        <v>0</v>
      </c>
      <c r="AB64" s="318">
        <f t="shared" si="320"/>
        <v>0</v>
      </c>
      <c r="AC64" s="317">
        <f t="shared" ref="AC64" si="321">AC54-AC62</f>
        <v>0</v>
      </c>
      <c r="AD64" s="440">
        <f t="shared" si="320"/>
        <v>0</v>
      </c>
      <c r="AE64" s="440">
        <f t="shared" si="320"/>
        <v>0</v>
      </c>
      <c r="AF64" s="441">
        <f t="shared" si="320"/>
        <v>0</v>
      </c>
      <c r="AG64" s="440">
        <f t="shared" si="320"/>
        <v>0</v>
      </c>
      <c r="AH64" s="440">
        <f t="shared" si="320"/>
        <v>0</v>
      </c>
      <c r="AI64" s="440">
        <f t="shared" si="320"/>
        <v>0</v>
      </c>
      <c r="AJ64" s="441">
        <f t="shared" si="320"/>
        <v>0</v>
      </c>
      <c r="AK64" s="439">
        <f t="shared" si="320"/>
        <v>0</v>
      </c>
      <c r="AL64" s="440">
        <f t="shared" si="320"/>
        <v>0</v>
      </c>
      <c r="AM64" s="440">
        <f t="shared" si="320"/>
        <v>0</v>
      </c>
      <c r="AN64" s="441">
        <f t="shared" si="320"/>
        <v>0</v>
      </c>
      <c r="AO64" s="439">
        <f t="shared" si="320"/>
        <v>0</v>
      </c>
      <c r="AP64" s="440">
        <f t="shared" si="320"/>
        <v>0</v>
      </c>
      <c r="AQ64" s="440">
        <f t="shared" si="320"/>
        <v>0</v>
      </c>
      <c r="AR64" s="441">
        <f t="shared" si="320"/>
        <v>0</v>
      </c>
      <c r="AS64" s="439">
        <f t="shared" ref="AS64:AV64" si="322">AS54-AS62</f>
        <v>0</v>
      </c>
      <c r="AT64" s="440">
        <f t="shared" si="322"/>
        <v>0</v>
      </c>
      <c r="AU64" s="440">
        <f t="shared" si="322"/>
        <v>0</v>
      </c>
      <c r="AV64" s="441">
        <f t="shared" si="322"/>
        <v>0</v>
      </c>
      <c r="AW64" s="17"/>
      <c r="AX64" s="390"/>
      <c r="AY64" s="390"/>
      <c r="AZ64" s="390"/>
      <c r="BA64" s="390"/>
      <c r="BC64" s="2"/>
      <c r="BD64"/>
      <c r="BR64" s="77"/>
    </row>
    <row r="65" spans="1:70" ht="12" x14ac:dyDescent="0.15">
      <c r="B65" s="188"/>
      <c r="E65" s="105"/>
      <c r="F65" s="106"/>
      <c r="G65" s="106"/>
      <c r="H65" s="107"/>
      <c r="I65" s="105"/>
      <c r="J65" s="106"/>
      <c r="K65" s="106"/>
      <c r="L65" s="106"/>
      <c r="M65" s="105"/>
      <c r="N65" s="106"/>
      <c r="O65" s="106"/>
      <c r="P65" s="106"/>
      <c r="Q65" s="105"/>
      <c r="R65" s="106"/>
      <c r="S65" s="106"/>
      <c r="T65" s="106"/>
      <c r="U65" s="105"/>
      <c r="V65" s="106"/>
      <c r="W65" s="106"/>
      <c r="X65" s="106"/>
      <c r="Y65" s="105"/>
      <c r="Z65" s="106"/>
      <c r="AA65" s="106"/>
      <c r="AB65" s="106"/>
      <c r="AC65" s="105"/>
      <c r="AD65" s="17"/>
      <c r="AE65" s="17"/>
      <c r="AF65" s="28"/>
      <c r="AG65" s="17"/>
      <c r="AH65" s="17"/>
      <c r="AI65" s="17"/>
      <c r="AJ65" s="28"/>
      <c r="AK65" s="13"/>
      <c r="AL65" s="17"/>
      <c r="AM65" s="17"/>
      <c r="AN65" s="28"/>
      <c r="AO65" s="13"/>
      <c r="AP65" s="17"/>
      <c r="AQ65" s="17"/>
      <c r="AR65" s="28"/>
      <c r="AS65" s="13"/>
      <c r="AT65" s="17"/>
      <c r="AU65" s="17"/>
      <c r="AV65" s="28"/>
      <c r="AX65" s="390"/>
      <c r="AY65" s="390"/>
      <c r="AZ65" s="390"/>
      <c r="BA65" s="390"/>
      <c r="BR65" s="77">
        <f t="shared" si="281"/>
        <v>62</v>
      </c>
    </row>
    <row r="66" spans="1:70" ht="12" x14ac:dyDescent="0.15">
      <c r="B66" s="188" t="s">
        <v>174</v>
      </c>
      <c r="E66" s="105"/>
      <c r="F66" s="106"/>
      <c r="G66" s="106"/>
      <c r="H66" s="107"/>
      <c r="I66" s="114" t="e">
        <f>I59/I48</f>
        <v>#DIV/0!</v>
      </c>
      <c r="J66" s="115" t="e">
        <f t="shared" ref="J66:AR66" si="323">J59/J48</f>
        <v>#DIV/0!</v>
      </c>
      <c r="K66" s="115" t="e">
        <f t="shared" si="323"/>
        <v>#DIV/0!</v>
      </c>
      <c r="L66" s="115" t="e">
        <f t="shared" si="323"/>
        <v>#DIV/0!</v>
      </c>
      <c r="M66" s="114" t="e">
        <f t="shared" si="323"/>
        <v>#DIV/0!</v>
      </c>
      <c r="N66" s="115" t="e">
        <f t="shared" si="323"/>
        <v>#DIV/0!</v>
      </c>
      <c r="O66" s="115" t="e">
        <f t="shared" si="323"/>
        <v>#DIV/0!</v>
      </c>
      <c r="P66" s="115" t="e">
        <f t="shared" si="323"/>
        <v>#DIV/0!</v>
      </c>
      <c r="Q66" s="114" t="e">
        <f t="shared" si="323"/>
        <v>#DIV/0!</v>
      </c>
      <c r="R66" s="115" t="e">
        <f t="shared" si="323"/>
        <v>#DIV/0!</v>
      </c>
      <c r="S66" s="115" t="e">
        <f t="shared" si="323"/>
        <v>#DIV/0!</v>
      </c>
      <c r="T66" s="115" t="e">
        <f t="shared" si="323"/>
        <v>#DIV/0!</v>
      </c>
      <c r="U66" s="114" t="e">
        <f t="shared" si="323"/>
        <v>#DIV/0!</v>
      </c>
      <c r="V66" s="115" t="e">
        <f t="shared" si="323"/>
        <v>#DIV/0!</v>
      </c>
      <c r="W66" s="115" t="e">
        <f t="shared" si="323"/>
        <v>#DIV/0!</v>
      </c>
      <c r="X66" s="115" t="e">
        <f t="shared" si="323"/>
        <v>#DIV/0!</v>
      </c>
      <c r="Y66" s="114" t="e">
        <f t="shared" si="323"/>
        <v>#DIV/0!</v>
      </c>
      <c r="Z66" s="115" t="e">
        <f t="shared" si="323"/>
        <v>#DIV/0!</v>
      </c>
      <c r="AA66" s="115" t="e">
        <f t="shared" si="323"/>
        <v>#DIV/0!</v>
      </c>
      <c r="AB66" s="115" t="e">
        <f t="shared" si="323"/>
        <v>#DIV/0!</v>
      </c>
      <c r="AC66" s="114" t="e">
        <f t="shared" ref="AC66" si="324">AC59/AC48</f>
        <v>#DIV/0!</v>
      </c>
      <c r="AD66" s="61" t="e">
        <f t="shared" si="323"/>
        <v>#DIV/0!</v>
      </c>
      <c r="AE66" s="61" t="e">
        <f t="shared" si="323"/>
        <v>#DIV/0!</v>
      </c>
      <c r="AF66" s="437" t="e">
        <f t="shared" si="323"/>
        <v>#DIV/0!</v>
      </c>
      <c r="AG66" s="61" t="e">
        <f t="shared" si="323"/>
        <v>#DIV/0!</v>
      </c>
      <c r="AH66" s="61" t="e">
        <f t="shared" si="323"/>
        <v>#DIV/0!</v>
      </c>
      <c r="AI66" s="61" t="e">
        <f t="shared" si="323"/>
        <v>#DIV/0!</v>
      </c>
      <c r="AJ66" s="437" t="e">
        <f t="shared" si="323"/>
        <v>#DIV/0!</v>
      </c>
      <c r="AK66" s="436" t="e">
        <f t="shared" si="323"/>
        <v>#DIV/0!</v>
      </c>
      <c r="AL66" s="61" t="e">
        <f t="shared" si="323"/>
        <v>#DIV/0!</v>
      </c>
      <c r="AM66" s="61" t="e">
        <f t="shared" si="323"/>
        <v>#DIV/0!</v>
      </c>
      <c r="AN66" s="437" t="e">
        <f t="shared" si="323"/>
        <v>#DIV/0!</v>
      </c>
      <c r="AO66" s="436" t="e">
        <f t="shared" si="323"/>
        <v>#DIV/0!</v>
      </c>
      <c r="AP66" s="61" t="e">
        <f t="shared" si="323"/>
        <v>#DIV/0!</v>
      </c>
      <c r="AQ66" s="61" t="e">
        <f t="shared" si="323"/>
        <v>#DIV/0!</v>
      </c>
      <c r="AR66" s="437" t="e">
        <f t="shared" si="323"/>
        <v>#DIV/0!</v>
      </c>
      <c r="AS66" s="436" t="e">
        <f t="shared" ref="AS66:AV66" si="325">AS59/AS48</f>
        <v>#DIV/0!</v>
      </c>
      <c r="AT66" s="61" t="e">
        <f t="shared" si="325"/>
        <v>#DIV/0!</v>
      </c>
      <c r="AU66" s="61" t="e">
        <f t="shared" si="325"/>
        <v>#DIV/0!</v>
      </c>
      <c r="AV66" s="437" t="e">
        <f t="shared" si="325"/>
        <v>#DIV/0!</v>
      </c>
      <c r="AX66" s="390"/>
      <c r="AY66" s="390"/>
      <c r="AZ66" s="390"/>
      <c r="BA66" s="390"/>
      <c r="BR66" s="77"/>
    </row>
    <row r="67" spans="1:70" ht="12" x14ac:dyDescent="0.15">
      <c r="B67" s="188" t="s">
        <v>100</v>
      </c>
      <c r="E67" s="114">
        <f t="shared" ref="E67:H67" si="326">IFERROR(E60/E$48,0)</f>
        <v>0</v>
      </c>
      <c r="F67" s="115">
        <f t="shared" si="326"/>
        <v>0</v>
      </c>
      <c r="G67" s="115">
        <f t="shared" si="326"/>
        <v>0</v>
      </c>
      <c r="H67" s="181">
        <f t="shared" si="326"/>
        <v>0</v>
      </c>
      <c r="I67" s="114">
        <f>IFERROR(I60/I$48,0)</f>
        <v>0</v>
      </c>
      <c r="J67" s="115">
        <f t="shared" ref="J67:AR67" si="327">IFERROR(J60/J$48,0)</f>
        <v>0</v>
      </c>
      <c r="K67" s="115">
        <f t="shared" si="327"/>
        <v>0</v>
      </c>
      <c r="L67" s="115">
        <f t="shared" si="327"/>
        <v>0</v>
      </c>
      <c r="M67" s="114">
        <f t="shared" si="327"/>
        <v>0</v>
      </c>
      <c r="N67" s="115">
        <f t="shared" si="327"/>
        <v>0</v>
      </c>
      <c r="O67" s="115">
        <f t="shared" si="327"/>
        <v>0</v>
      </c>
      <c r="P67" s="115">
        <f t="shared" si="327"/>
        <v>0</v>
      </c>
      <c r="Q67" s="114">
        <f t="shared" si="327"/>
        <v>0</v>
      </c>
      <c r="R67" s="115">
        <f t="shared" si="327"/>
        <v>0</v>
      </c>
      <c r="S67" s="115">
        <f t="shared" si="327"/>
        <v>0</v>
      </c>
      <c r="T67" s="115">
        <f t="shared" si="327"/>
        <v>0</v>
      </c>
      <c r="U67" s="114">
        <f t="shared" si="327"/>
        <v>0</v>
      </c>
      <c r="V67" s="115">
        <f t="shared" si="327"/>
        <v>0</v>
      </c>
      <c r="W67" s="115">
        <f t="shared" si="327"/>
        <v>0</v>
      </c>
      <c r="X67" s="115">
        <f t="shared" si="327"/>
        <v>0</v>
      </c>
      <c r="Y67" s="114">
        <f t="shared" si="327"/>
        <v>0</v>
      </c>
      <c r="Z67" s="115">
        <f t="shared" si="327"/>
        <v>0</v>
      </c>
      <c r="AA67" s="115">
        <f t="shared" si="327"/>
        <v>0</v>
      </c>
      <c r="AB67" s="115">
        <f t="shared" si="327"/>
        <v>0</v>
      </c>
      <c r="AC67" s="114">
        <f t="shared" ref="AC67" si="328">IFERROR(AC60/AC$48,0)</f>
        <v>0</v>
      </c>
      <c r="AD67" s="82">
        <f t="shared" si="327"/>
        <v>0</v>
      </c>
      <c r="AE67" s="82">
        <f t="shared" si="327"/>
        <v>0</v>
      </c>
      <c r="AF67" s="83">
        <f t="shared" si="327"/>
        <v>0</v>
      </c>
      <c r="AG67" s="82">
        <f t="shared" si="327"/>
        <v>0</v>
      </c>
      <c r="AH67" s="82">
        <f t="shared" si="327"/>
        <v>0</v>
      </c>
      <c r="AI67" s="82">
        <f t="shared" si="327"/>
        <v>0</v>
      </c>
      <c r="AJ67" s="83">
        <f t="shared" si="327"/>
        <v>0</v>
      </c>
      <c r="AK67" s="81">
        <f t="shared" si="327"/>
        <v>0</v>
      </c>
      <c r="AL67" s="82">
        <f t="shared" si="327"/>
        <v>0</v>
      </c>
      <c r="AM67" s="82">
        <f t="shared" si="327"/>
        <v>0</v>
      </c>
      <c r="AN67" s="83">
        <f t="shared" si="327"/>
        <v>0</v>
      </c>
      <c r="AO67" s="81">
        <f t="shared" si="327"/>
        <v>0</v>
      </c>
      <c r="AP67" s="82">
        <f t="shared" si="327"/>
        <v>0</v>
      </c>
      <c r="AQ67" s="82">
        <f t="shared" si="327"/>
        <v>0</v>
      </c>
      <c r="AR67" s="83">
        <f t="shared" si="327"/>
        <v>0</v>
      </c>
      <c r="AS67" s="81">
        <f t="shared" ref="AS67:AV67" si="329">IFERROR(AS60/AS$48,0)</f>
        <v>0</v>
      </c>
      <c r="AT67" s="82">
        <f t="shared" si="329"/>
        <v>0</v>
      </c>
      <c r="AU67" s="82">
        <f t="shared" si="329"/>
        <v>0</v>
      </c>
      <c r="AV67" s="83">
        <f t="shared" si="329"/>
        <v>0</v>
      </c>
      <c r="AX67" s="390"/>
      <c r="AY67" s="390"/>
      <c r="AZ67" s="390"/>
      <c r="BA67" s="390"/>
      <c r="BR67" s="77">
        <f t="shared" si="281"/>
        <v>64</v>
      </c>
    </row>
    <row r="68" spans="1:70" ht="12" x14ac:dyDescent="0.15">
      <c r="B68" s="188" t="s">
        <v>101</v>
      </c>
      <c r="E68" s="165">
        <f>IFERROR(E61/E$45,0)</f>
        <v>0</v>
      </c>
      <c r="F68" s="197">
        <f>IFERROR(F61/F$45,0)</f>
        <v>0</v>
      </c>
      <c r="G68" s="197">
        <f>IFERROR(G61/G$45,0)</f>
        <v>0</v>
      </c>
      <c r="H68" s="198">
        <f>IFERROR(H61/H$45,0)</f>
        <v>0</v>
      </c>
      <c r="I68" s="165">
        <f>IFERROR(I61/I$48,0)</f>
        <v>0</v>
      </c>
      <c r="J68" s="197">
        <f t="shared" ref="J68:AR68" si="330">IFERROR(J61/J$48,0)</f>
        <v>0</v>
      </c>
      <c r="K68" s="197">
        <f t="shared" si="330"/>
        <v>0</v>
      </c>
      <c r="L68" s="197">
        <f t="shared" si="330"/>
        <v>0</v>
      </c>
      <c r="M68" s="165">
        <f t="shared" si="330"/>
        <v>0</v>
      </c>
      <c r="N68" s="197">
        <f t="shared" si="330"/>
        <v>0</v>
      </c>
      <c r="O68" s="197">
        <f t="shared" si="330"/>
        <v>0</v>
      </c>
      <c r="P68" s="197">
        <f t="shared" si="330"/>
        <v>0</v>
      </c>
      <c r="Q68" s="165">
        <f t="shared" si="330"/>
        <v>0</v>
      </c>
      <c r="R68" s="197">
        <f t="shared" si="330"/>
        <v>0</v>
      </c>
      <c r="S68" s="197">
        <f t="shared" si="330"/>
        <v>0</v>
      </c>
      <c r="T68" s="197">
        <f t="shared" si="330"/>
        <v>0</v>
      </c>
      <c r="U68" s="165">
        <f t="shared" si="330"/>
        <v>0</v>
      </c>
      <c r="V68" s="197">
        <f t="shared" si="330"/>
        <v>0</v>
      </c>
      <c r="W68" s="197">
        <f t="shared" si="330"/>
        <v>0</v>
      </c>
      <c r="X68" s="197">
        <f t="shared" si="330"/>
        <v>0</v>
      </c>
      <c r="Y68" s="165">
        <f t="shared" si="330"/>
        <v>0</v>
      </c>
      <c r="Z68" s="197">
        <f t="shared" si="330"/>
        <v>0</v>
      </c>
      <c r="AA68" s="197">
        <f t="shared" si="330"/>
        <v>0</v>
      </c>
      <c r="AB68" s="197">
        <f t="shared" si="330"/>
        <v>0</v>
      </c>
      <c r="AC68" s="165">
        <f t="shared" ref="AC68" si="331">IFERROR(AC61/AC$48,0)</f>
        <v>0</v>
      </c>
      <c r="AD68" s="200">
        <f t="shared" si="330"/>
        <v>0</v>
      </c>
      <c r="AE68" s="200">
        <f t="shared" si="330"/>
        <v>0</v>
      </c>
      <c r="AF68" s="201">
        <f t="shared" si="330"/>
        <v>0</v>
      </c>
      <c r="AG68" s="200">
        <f t="shared" si="330"/>
        <v>0</v>
      </c>
      <c r="AH68" s="200">
        <f t="shared" si="330"/>
        <v>0</v>
      </c>
      <c r="AI68" s="200">
        <f t="shared" si="330"/>
        <v>0</v>
      </c>
      <c r="AJ68" s="201">
        <f t="shared" si="330"/>
        <v>0</v>
      </c>
      <c r="AK68" s="199">
        <f t="shared" si="330"/>
        <v>0</v>
      </c>
      <c r="AL68" s="200">
        <f t="shared" si="330"/>
        <v>0</v>
      </c>
      <c r="AM68" s="200">
        <f t="shared" si="330"/>
        <v>0</v>
      </c>
      <c r="AN68" s="201">
        <f t="shared" si="330"/>
        <v>0</v>
      </c>
      <c r="AO68" s="199">
        <f t="shared" si="330"/>
        <v>0</v>
      </c>
      <c r="AP68" s="200">
        <f t="shared" si="330"/>
        <v>0</v>
      </c>
      <c r="AQ68" s="200">
        <f t="shared" si="330"/>
        <v>0</v>
      </c>
      <c r="AR68" s="201">
        <f t="shared" si="330"/>
        <v>0</v>
      </c>
      <c r="AS68" s="199">
        <f t="shared" ref="AS68:AV68" si="332">IFERROR(AS61/AS$48,0)</f>
        <v>0</v>
      </c>
      <c r="AT68" s="200">
        <f t="shared" si="332"/>
        <v>0</v>
      </c>
      <c r="AU68" s="200">
        <f t="shared" si="332"/>
        <v>0</v>
      </c>
      <c r="AV68" s="201">
        <f t="shared" si="332"/>
        <v>0</v>
      </c>
      <c r="BR68" s="77">
        <f t="shared" si="281"/>
        <v>65</v>
      </c>
    </row>
    <row r="69" spans="1:70" ht="12" x14ac:dyDescent="0.15">
      <c r="B69" s="188"/>
      <c r="E69" s="105"/>
      <c r="F69" s="106"/>
      <c r="G69" s="106"/>
      <c r="H69" s="107"/>
      <c r="I69" s="105"/>
      <c r="J69" s="106"/>
      <c r="K69" s="106"/>
      <c r="L69" s="106"/>
      <c r="M69" s="105"/>
      <c r="N69" s="106"/>
      <c r="O69" s="106"/>
      <c r="P69" s="106"/>
      <c r="Q69" s="105"/>
      <c r="R69" s="106"/>
      <c r="S69" s="106"/>
      <c r="T69" s="106"/>
      <c r="U69" s="105"/>
      <c r="V69" s="106"/>
      <c r="W69" s="106"/>
      <c r="X69" s="106"/>
      <c r="Y69" s="105"/>
      <c r="Z69" s="106"/>
      <c r="AA69" s="106"/>
      <c r="AB69" s="106"/>
      <c r="AC69" s="105"/>
      <c r="AD69" s="17"/>
      <c r="AE69" s="17"/>
      <c r="AF69" s="28"/>
      <c r="AG69" s="17"/>
      <c r="AH69" s="17"/>
      <c r="AI69" s="17"/>
      <c r="AJ69" s="28"/>
      <c r="AK69" s="13"/>
      <c r="AL69" s="17"/>
      <c r="AM69" s="17"/>
      <c r="AN69" s="28"/>
      <c r="AO69" s="13"/>
      <c r="AP69" s="17"/>
      <c r="AQ69" s="17"/>
      <c r="AR69" s="28"/>
      <c r="AS69" s="13"/>
      <c r="AT69" s="17"/>
      <c r="AU69" s="17"/>
      <c r="AV69" s="28"/>
      <c r="BR69" s="77">
        <f t="shared" si="281"/>
        <v>66</v>
      </c>
    </row>
    <row r="70" spans="1:70" ht="12" x14ac:dyDescent="0.15">
      <c r="A70" s="6" t="s">
        <v>83</v>
      </c>
      <c r="B70" s="188"/>
      <c r="E70" s="105"/>
      <c r="F70" s="106"/>
      <c r="G70" s="106"/>
      <c r="H70" s="107"/>
      <c r="I70" s="105"/>
      <c r="J70" s="106"/>
      <c r="K70" s="106"/>
      <c r="L70" s="106"/>
      <c r="M70" s="105"/>
      <c r="N70" s="106"/>
      <c r="O70" s="106"/>
      <c r="P70" s="106"/>
      <c r="Q70" s="105"/>
      <c r="R70" s="106"/>
      <c r="S70" s="106"/>
      <c r="T70" s="106"/>
      <c r="U70" s="105"/>
      <c r="V70" s="106"/>
      <c r="W70" s="106"/>
      <c r="X70" s="106"/>
      <c r="Y70" s="105"/>
      <c r="Z70" s="106"/>
      <c r="AA70" s="106"/>
      <c r="AB70" s="106"/>
      <c r="AC70" s="105"/>
      <c r="AD70" s="17"/>
      <c r="AE70" s="17"/>
      <c r="AF70" s="28"/>
      <c r="AG70" s="17"/>
      <c r="AH70" s="17"/>
      <c r="AI70" s="17"/>
      <c r="AJ70" s="17"/>
      <c r="AK70" s="13"/>
      <c r="AL70" s="17"/>
      <c r="AM70" s="17"/>
      <c r="AN70" s="17"/>
      <c r="AO70" s="13"/>
      <c r="AP70" s="17"/>
      <c r="AQ70" s="17"/>
      <c r="AR70" s="28"/>
      <c r="AS70" s="13"/>
      <c r="AT70" s="17"/>
      <c r="AU70" s="17"/>
      <c r="AV70" s="28"/>
      <c r="BR70" s="77">
        <f t="shared" si="281"/>
        <v>67</v>
      </c>
    </row>
    <row r="71" spans="1:70" ht="11.25" customHeight="1" x14ac:dyDescent="0.2">
      <c r="B71" s="185" t="s">
        <v>82</v>
      </c>
      <c r="E71" s="105">
        <f>Reported!C60</f>
        <v>0</v>
      </c>
      <c r="F71" s="106">
        <f>Reported!D60</f>
        <v>0</v>
      </c>
      <c r="G71" s="106">
        <f>Reported!E60</f>
        <v>0</v>
      </c>
      <c r="H71" s="107">
        <f>Reported!F60</f>
        <v>0</v>
      </c>
      <c r="I71" s="105">
        <f>Reported!G60</f>
        <v>0</v>
      </c>
      <c r="J71" s="106">
        <f>Reported!H60</f>
        <v>0</v>
      </c>
      <c r="K71" s="106">
        <f>Reported!I60</f>
        <v>0</v>
      </c>
      <c r="L71" s="106">
        <f>Reported!J60</f>
        <v>0</v>
      </c>
      <c r="M71" s="105">
        <f>Reported!K60</f>
        <v>0</v>
      </c>
      <c r="N71" s="106">
        <f>Reported!L60</f>
        <v>0</v>
      </c>
      <c r="O71" s="106">
        <f>Reported!M60</f>
        <v>0</v>
      </c>
      <c r="P71" s="106">
        <f>Reported!N60</f>
        <v>0</v>
      </c>
      <c r="Q71" s="105">
        <f>Reported!O60</f>
        <v>0</v>
      </c>
      <c r="R71" s="106">
        <f>Reported!P60</f>
        <v>0</v>
      </c>
      <c r="S71" s="106">
        <f>Reported!Q60</f>
        <v>0</v>
      </c>
      <c r="T71" s="106">
        <f>Reported!R60</f>
        <v>0</v>
      </c>
      <c r="U71" s="105">
        <f>Reported!S60</f>
        <v>0</v>
      </c>
      <c r="V71" s="106">
        <f>Reported!T60</f>
        <v>0</v>
      </c>
      <c r="W71" s="106">
        <f>Reported!U60</f>
        <v>0</v>
      </c>
      <c r="X71" s="106">
        <f>Reported!V60</f>
        <v>0</v>
      </c>
      <c r="Y71" s="105">
        <f>Reported!W60</f>
        <v>0</v>
      </c>
      <c r="Z71" s="106">
        <f>Reported!X60</f>
        <v>0</v>
      </c>
      <c r="AA71" s="106">
        <f>Reported!Y60</f>
        <v>0</v>
      </c>
      <c r="AB71" s="106">
        <f>Reported!Z60</f>
        <v>0</v>
      </c>
      <c r="AC71" s="105">
        <f>Reported!AA60</f>
        <v>0</v>
      </c>
      <c r="AD71" s="285">
        <v>0</v>
      </c>
      <c r="AE71" s="285">
        <v>0</v>
      </c>
      <c r="AF71" s="286">
        <v>0</v>
      </c>
      <c r="AG71" s="285">
        <v>0</v>
      </c>
      <c r="AH71" s="285">
        <v>0</v>
      </c>
      <c r="AI71" s="285">
        <v>0</v>
      </c>
      <c r="AJ71" s="286">
        <v>0</v>
      </c>
      <c r="AK71" s="284">
        <v>0</v>
      </c>
      <c r="AL71" s="285">
        <v>0</v>
      </c>
      <c r="AM71" s="285">
        <v>0</v>
      </c>
      <c r="AN71" s="286">
        <v>0</v>
      </c>
      <c r="AO71" s="284">
        <v>0</v>
      </c>
      <c r="AP71" s="285">
        <v>0</v>
      </c>
      <c r="AQ71" s="285">
        <v>0</v>
      </c>
      <c r="AR71" s="286">
        <v>0</v>
      </c>
      <c r="AS71" s="284">
        <v>0</v>
      </c>
      <c r="AT71" s="285">
        <v>0</v>
      </c>
      <c r="AU71" s="285">
        <v>0</v>
      </c>
      <c r="AV71" s="286">
        <v>0</v>
      </c>
      <c r="AW71" s="17"/>
      <c r="BC71" s="2"/>
      <c r="BD71"/>
      <c r="BR71" s="77">
        <f t="shared" si="281"/>
        <v>68</v>
      </c>
    </row>
    <row r="72" spans="1:70" ht="11.25" customHeight="1" x14ac:dyDescent="0.2">
      <c r="B72" s="185" t="s">
        <v>84</v>
      </c>
      <c r="E72" s="105">
        <v>0</v>
      </c>
      <c r="F72" s="106">
        <v>0</v>
      </c>
      <c r="G72" s="106">
        <v>0</v>
      </c>
      <c r="H72" s="107">
        <v>0</v>
      </c>
      <c r="I72" s="105">
        <v>0</v>
      </c>
      <c r="J72" s="106">
        <v>0</v>
      </c>
      <c r="K72" s="106">
        <v>0</v>
      </c>
      <c r="L72" s="106">
        <v>0</v>
      </c>
      <c r="M72" s="105">
        <v>0</v>
      </c>
      <c r="N72" s="106">
        <v>0</v>
      </c>
      <c r="O72" s="106">
        <v>0</v>
      </c>
      <c r="P72" s="106">
        <v>0</v>
      </c>
      <c r="Q72" s="105">
        <v>0</v>
      </c>
      <c r="R72" s="106">
        <v>0</v>
      </c>
      <c r="S72" s="106">
        <v>0</v>
      </c>
      <c r="T72" s="106">
        <v>0</v>
      </c>
      <c r="U72" s="105">
        <v>0</v>
      </c>
      <c r="V72" s="106">
        <v>0</v>
      </c>
      <c r="W72" s="106">
        <v>0</v>
      </c>
      <c r="X72" s="106">
        <v>0</v>
      </c>
      <c r="Y72" s="105">
        <v>0</v>
      </c>
      <c r="Z72" s="106">
        <v>0</v>
      </c>
      <c r="AA72" s="106">
        <v>0</v>
      </c>
      <c r="AB72" s="106">
        <v>0</v>
      </c>
      <c r="AC72" s="105">
        <v>0</v>
      </c>
      <c r="AD72" s="285">
        <v>0</v>
      </c>
      <c r="AE72" s="285">
        <v>0</v>
      </c>
      <c r="AF72" s="286">
        <v>0</v>
      </c>
      <c r="AG72" s="285">
        <v>0</v>
      </c>
      <c r="AH72" s="285">
        <v>0</v>
      </c>
      <c r="AI72" s="285">
        <v>0</v>
      </c>
      <c r="AJ72" s="286">
        <v>0</v>
      </c>
      <c r="AK72" s="284">
        <v>0</v>
      </c>
      <c r="AL72" s="285">
        <v>0</v>
      </c>
      <c r="AM72" s="285">
        <v>0</v>
      </c>
      <c r="AN72" s="286">
        <v>0</v>
      </c>
      <c r="AO72" s="284">
        <v>0</v>
      </c>
      <c r="AP72" s="285">
        <v>0</v>
      </c>
      <c r="AQ72" s="285">
        <v>0</v>
      </c>
      <c r="AR72" s="286">
        <v>0</v>
      </c>
      <c r="AS72" s="284">
        <v>0</v>
      </c>
      <c r="AT72" s="285">
        <v>0</v>
      </c>
      <c r="AU72" s="285">
        <v>0</v>
      </c>
      <c r="AV72" s="286">
        <v>0</v>
      </c>
      <c r="AW72" s="17"/>
      <c r="BC72" s="2"/>
      <c r="BD72"/>
      <c r="BR72" s="77">
        <f t="shared" si="281"/>
        <v>69</v>
      </c>
    </row>
    <row r="73" spans="1:70" ht="12" x14ac:dyDescent="0.15">
      <c r="E73" s="105"/>
      <c r="F73" s="106"/>
      <c r="G73" s="106"/>
      <c r="H73" s="107"/>
      <c r="I73" s="105"/>
      <c r="J73" s="106"/>
      <c r="K73" s="106"/>
      <c r="L73" s="106"/>
      <c r="M73" s="105"/>
      <c r="N73" s="106"/>
      <c r="O73" s="106"/>
      <c r="P73" s="106"/>
      <c r="Q73" s="105"/>
      <c r="R73" s="106"/>
      <c r="S73" s="106"/>
      <c r="T73" s="106"/>
      <c r="U73" s="105"/>
      <c r="V73" s="106"/>
      <c r="W73" s="106"/>
      <c r="X73" s="106"/>
      <c r="Y73" s="105"/>
      <c r="Z73" s="106"/>
      <c r="AA73" s="106"/>
      <c r="AB73" s="106"/>
      <c r="AC73" s="105"/>
      <c r="AD73" s="17"/>
      <c r="AE73" s="17"/>
      <c r="AF73" s="28"/>
      <c r="AG73" s="17"/>
      <c r="AH73" s="17"/>
      <c r="AI73" s="17"/>
      <c r="AJ73" s="17"/>
      <c r="AK73" s="13"/>
      <c r="AL73" s="17"/>
      <c r="AM73" s="17"/>
      <c r="AN73" s="17"/>
      <c r="AO73" s="13"/>
      <c r="AP73" s="17"/>
      <c r="AQ73" s="17"/>
      <c r="AR73" s="28"/>
      <c r="AS73" s="13"/>
      <c r="AT73" s="17"/>
      <c r="AU73" s="17"/>
      <c r="AV73" s="28"/>
      <c r="BR73" s="77">
        <f t="shared" si="281"/>
        <v>70</v>
      </c>
    </row>
    <row r="74" spans="1:70" ht="12" x14ac:dyDescent="0.15">
      <c r="A74" s="187" t="s">
        <v>20</v>
      </c>
      <c r="B74" s="10"/>
      <c r="E74" s="317"/>
      <c r="F74" s="318"/>
      <c r="G74" s="318"/>
      <c r="H74" s="319"/>
      <c r="I74" s="317"/>
      <c r="J74" s="318"/>
      <c r="K74" s="318"/>
      <c r="L74" s="318"/>
      <c r="M74" s="317">
        <f t="shared" ref="M74:AA74" si="333">M54-M62+M71+M72</f>
        <v>0</v>
      </c>
      <c r="N74" s="318">
        <f t="shared" si="333"/>
        <v>0</v>
      </c>
      <c r="O74" s="318">
        <f t="shared" si="333"/>
        <v>0</v>
      </c>
      <c r="P74" s="318">
        <f t="shared" si="333"/>
        <v>0</v>
      </c>
      <c r="Q74" s="317">
        <f t="shared" si="333"/>
        <v>0</v>
      </c>
      <c r="R74" s="318">
        <f t="shared" si="333"/>
        <v>0</v>
      </c>
      <c r="S74" s="318">
        <f t="shared" si="333"/>
        <v>0</v>
      </c>
      <c r="T74" s="318">
        <f t="shared" si="333"/>
        <v>0</v>
      </c>
      <c r="U74" s="317">
        <f t="shared" si="333"/>
        <v>0</v>
      </c>
      <c r="V74" s="318">
        <f t="shared" si="333"/>
        <v>0</v>
      </c>
      <c r="W74" s="318">
        <f t="shared" si="333"/>
        <v>0</v>
      </c>
      <c r="X74" s="318">
        <f t="shared" si="333"/>
        <v>0</v>
      </c>
      <c r="Y74" s="317">
        <f t="shared" si="333"/>
        <v>0</v>
      </c>
      <c r="Z74" s="318">
        <f t="shared" si="333"/>
        <v>0</v>
      </c>
      <c r="AA74" s="318">
        <f t="shared" si="333"/>
        <v>0</v>
      </c>
      <c r="AB74" s="318">
        <f>AB54-AB62+AB71+AB72</f>
        <v>0</v>
      </c>
      <c r="AC74" s="317">
        <f t="shared" ref="AC74" si="334">AC54-AC62+AC71+AC72</f>
        <v>0</v>
      </c>
      <c r="AD74" s="49">
        <f t="shared" ref="AD74:AR74" si="335">AD54-AD62+AD71+AD72</f>
        <v>0</v>
      </c>
      <c r="AE74" s="49">
        <f t="shared" si="335"/>
        <v>0</v>
      </c>
      <c r="AF74" s="50">
        <f t="shared" si="335"/>
        <v>0</v>
      </c>
      <c r="AG74" s="49">
        <f t="shared" si="335"/>
        <v>0</v>
      </c>
      <c r="AH74" s="49">
        <f t="shared" si="335"/>
        <v>0</v>
      </c>
      <c r="AI74" s="49">
        <f t="shared" si="335"/>
        <v>0</v>
      </c>
      <c r="AJ74" s="49">
        <f t="shared" si="335"/>
        <v>0</v>
      </c>
      <c r="AK74" s="24">
        <f t="shared" si="335"/>
        <v>0</v>
      </c>
      <c r="AL74" s="49">
        <f t="shared" si="335"/>
        <v>0</v>
      </c>
      <c r="AM74" s="49">
        <f t="shared" si="335"/>
        <v>0</v>
      </c>
      <c r="AN74" s="49">
        <f t="shared" si="335"/>
        <v>0</v>
      </c>
      <c r="AO74" s="24">
        <f t="shared" si="335"/>
        <v>0</v>
      </c>
      <c r="AP74" s="49">
        <f t="shared" si="335"/>
        <v>0</v>
      </c>
      <c r="AQ74" s="49">
        <f t="shared" si="335"/>
        <v>0</v>
      </c>
      <c r="AR74" s="50">
        <f t="shared" si="335"/>
        <v>0</v>
      </c>
      <c r="AS74" s="24">
        <f t="shared" ref="AS74:AV74" si="336">AS54-AS62+AS71+AS72</f>
        <v>0</v>
      </c>
      <c r="AT74" s="49">
        <f t="shared" si="336"/>
        <v>0</v>
      </c>
      <c r="AU74" s="49">
        <f t="shared" si="336"/>
        <v>0</v>
      </c>
      <c r="AV74" s="50">
        <f t="shared" si="336"/>
        <v>0</v>
      </c>
      <c r="AX74" s="161"/>
      <c r="AY74" s="161"/>
      <c r="AZ74" s="161"/>
      <c r="BA74" s="161"/>
      <c r="BB74" s="162"/>
      <c r="BR74" s="77">
        <f t="shared" si="281"/>
        <v>71</v>
      </c>
    </row>
    <row r="75" spans="1:70" ht="12" x14ac:dyDescent="0.15">
      <c r="A75" s="6"/>
      <c r="B75" s="185" t="s">
        <v>24</v>
      </c>
      <c r="E75" s="317"/>
      <c r="F75" s="318"/>
      <c r="G75" s="318"/>
      <c r="H75" s="319"/>
      <c r="I75" s="317"/>
      <c r="J75" s="318"/>
      <c r="K75" s="318"/>
      <c r="L75" s="318"/>
      <c r="M75" s="317"/>
      <c r="N75" s="318"/>
      <c r="O75" s="318"/>
      <c r="P75" s="443">
        <f t="shared" ref="P75:AR75" si="337">SUM(M74:P74)</f>
        <v>0</v>
      </c>
      <c r="Q75" s="444">
        <f t="shared" si="337"/>
        <v>0</v>
      </c>
      <c r="R75" s="443">
        <f t="shared" si="337"/>
        <v>0</v>
      </c>
      <c r="S75" s="443">
        <f t="shared" si="337"/>
        <v>0</v>
      </c>
      <c r="T75" s="443">
        <f t="shared" si="337"/>
        <v>0</v>
      </c>
      <c r="U75" s="444">
        <f t="shared" si="337"/>
        <v>0</v>
      </c>
      <c r="V75" s="443">
        <f t="shared" si="337"/>
        <v>0</v>
      </c>
      <c r="W75" s="443">
        <f t="shared" si="337"/>
        <v>0</v>
      </c>
      <c r="X75" s="443">
        <f t="shared" si="337"/>
        <v>0</v>
      </c>
      <c r="Y75" s="444">
        <f t="shared" si="337"/>
        <v>0</v>
      </c>
      <c r="Z75" s="443">
        <f t="shared" si="337"/>
        <v>0</v>
      </c>
      <c r="AA75" s="443">
        <f t="shared" si="337"/>
        <v>0</v>
      </c>
      <c r="AB75" s="443">
        <f t="shared" si="337"/>
        <v>0</v>
      </c>
      <c r="AC75" s="444">
        <f t="shared" si="337"/>
        <v>0</v>
      </c>
      <c r="AD75" s="86">
        <f t="shared" si="337"/>
        <v>0</v>
      </c>
      <c r="AE75" s="86">
        <f t="shared" si="337"/>
        <v>0</v>
      </c>
      <c r="AF75" s="445">
        <f t="shared" si="337"/>
        <v>0</v>
      </c>
      <c r="AG75" s="86">
        <f t="shared" si="337"/>
        <v>0</v>
      </c>
      <c r="AH75" s="86">
        <f t="shared" si="337"/>
        <v>0</v>
      </c>
      <c r="AI75" s="86">
        <f t="shared" si="337"/>
        <v>0</v>
      </c>
      <c r="AJ75" s="86">
        <f t="shared" si="337"/>
        <v>0</v>
      </c>
      <c r="AK75" s="88">
        <f t="shared" si="337"/>
        <v>0</v>
      </c>
      <c r="AL75" s="86">
        <f t="shared" si="337"/>
        <v>0</v>
      </c>
      <c r="AM75" s="86">
        <f t="shared" si="337"/>
        <v>0</v>
      </c>
      <c r="AN75" s="86">
        <f t="shared" si="337"/>
        <v>0</v>
      </c>
      <c r="AO75" s="88">
        <f t="shared" si="337"/>
        <v>0</v>
      </c>
      <c r="AP75" s="86">
        <f t="shared" si="337"/>
        <v>0</v>
      </c>
      <c r="AQ75" s="86">
        <f t="shared" si="337"/>
        <v>0</v>
      </c>
      <c r="AR75" s="445">
        <f t="shared" si="337"/>
        <v>0</v>
      </c>
      <c r="AS75" s="88">
        <f t="shared" ref="AS75" si="338">SUM(AP74:AS74)</f>
        <v>0</v>
      </c>
      <c r="AT75" s="86">
        <f t="shared" ref="AT75" si="339">SUM(AQ74:AT74)</f>
        <v>0</v>
      </c>
      <c r="AU75" s="86">
        <f t="shared" ref="AU75" si="340">SUM(AR74:AU74)</f>
        <v>0</v>
      </c>
      <c r="AV75" s="445">
        <f t="shared" ref="AV75" si="341">SUM(AS74:AV74)</f>
        <v>0</v>
      </c>
      <c r="AX75" s="161"/>
      <c r="AY75" s="161"/>
      <c r="AZ75" s="161"/>
      <c r="BA75" s="161"/>
      <c r="BB75" s="162"/>
      <c r="BR75" s="77">
        <f t="shared" si="281"/>
        <v>72</v>
      </c>
    </row>
    <row r="76" spans="1:70" ht="12" x14ac:dyDescent="0.15">
      <c r="B76" s="188" t="s">
        <v>49</v>
      </c>
      <c r="E76" s="114">
        <f t="shared" ref="E76:AU76" si="342">IFERROR(E74/E48,0)</f>
        <v>0</v>
      </c>
      <c r="F76" s="115">
        <f t="shared" si="342"/>
        <v>0</v>
      </c>
      <c r="G76" s="115">
        <f t="shared" si="342"/>
        <v>0</v>
      </c>
      <c r="H76" s="181">
        <f t="shared" si="342"/>
        <v>0</v>
      </c>
      <c r="I76" s="114">
        <f t="shared" si="342"/>
        <v>0</v>
      </c>
      <c r="J76" s="115">
        <f t="shared" si="342"/>
        <v>0</v>
      </c>
      <c r="K76" s="115">
        <f t="shared" si="342"/>
        <v>0</v>
      </c>
      <c r="L76" s="115">
        <f t="shared" si="342"/>
        <v>0</v>
      </c>
      <c r="M76" s="114">
        <f t="shared" si="342"/>
        <v>0</v>
      </c>
      <c r="N76" s="115">
        <f t="shared" si="342"/>
        <v>0</v>
      </c>
      <c r="O76" s="115">
        <f t="shared" si="342"/>
        <v>0</v>
      </c>
      <c r="P76" s="115">
        <f t="shared" si="342"/>
        <v>0</v>
      </c>
      <c r="Q76" s="114">
        <f t="shared" si="342"/>
        <v>0</v>
      </c>
      <c r="R76" s="115">
        <f t="shared" si="342"/>
        <v>0</v>
      </c>
      <c r="S76" s="115">
        <f t="shared" si="342"/>
        <v>0</v>
      </c>
      <c r="T76" s="115">
        <f t="shared" si="342"/>
        <v>0</v>
      </c>
      <c r="U76" s="114">
        <f t="shared" si="342"/>
        <v>0</v>
      </c>
      <c r="V76" s="115">
        <f t="shared" si="342"/>
        <v>0</v>
      </c>
      <c r="W76" s="115">
        <f t="shared" si="342"/>
        <v>0</v>
      </c>
      <c r="X76" s="115">
        <f t="shared" si="342"/>
        <v>0</v>
      </c>
      <c r="Y76" s="114">
        <f t="shared" si="342"/>
        <v>0</v>
      </c>
      <c r="Z76" s="115">
        <f t="shared" si="342"/>
        <v>0</v>
      </c>
      <c r="AA76" s="115">
        <f t="shared" si="342"/>
        <v>0</v>
      </c>
      <c r="AB76" s="115">
        <f t="shared" si="342"/>
        <v>0</v>
      </c>
      <c r="AC76" s="114">
        <f t="shared" ref="AC76" si="343">IFERROR(AC74/AC48,0)</f>
        <v>0</v>
      </c>
      <c r="AD76" s="82">
        <f t="shared" si="342"/>
        <v>0</v>
      </c>
      <c r="AE76" s="82">
        <f t="shared" si="342"/>
        <v>0</v>
      </c>
      <c r="AF76" s="83">
        <f t="shared" si="342"/>
        <v>0</v>
      </c>
      <c r="AG76" s="82">
        <f t="shared" si="342"/>
        <v>0</v>
      </c>
      <c r="AH76" s="82">
        <f t="shared" si="342"/>
        <v>0</v>
      </c>
      <c r="AI76" s="82">
        <f t="shared" si="342"/>
        <v>0</v>
      </c>
      <c r="AJ76" s="83">
        <f t="shared" si="342"/>
        <v>0</v>
      </c>
      <c r="AK76" s="81">
        <f t="shared" si="342"/>
        <v>0</v>
      </c>
      <c r="AL76" s="82">
        <f t="shared" si="342"/>
        <v>0</v>
      </c>
      <c r="AM76" s="82">
        <f t="shared" si="342"/>
        <v>0</v>
      </c>
      <c r="AN76" s="83">
        <f t="shared" si="342"/>
        <v>0</v>
      </c>
      <c r="AO76" s="81">
        <f t="shared" si="342"/>
        <v>0</v>
      </c>
      <c r="AP76" s="82">
        <f t="shared" si="342"/>
        <v>0</v>
      </c>
      <c r="AQ76" s="82">
        <f t="shared" si="342"/>
        <v>0</v>
      </c>
      <c r="AR76" s="68">
        <f t="shared" si="342"/>
        <v>0</v>
      </c>
      <c r="AS76" s="81">
        <f t="shared" si="342"/>
        <v>0</v>
      </c>
      <c r="AT76" s="82">
        <f t="shared" si="342"/>
        <v>0</v>
      </c>
      <c r="AU76" s="82">
        <f t="shared" si="342"/>
        <v>0</v>
      </c>
      <c r="AV76" s="68">
        <f>IFERROR(AV74/AV48,0)</f>
        <v>0</v>
      </c>
      <c r="BR76" s="77">
        <f t="shared" si="281"/>
        <v>73</v>
      </c>
    </row>
    <row r="77" spans="1:70" ht="12" x14ac:dyDescent="0.15">
      <c r="B77" s="188"/>
      <c r="E77" s="114"/>
      <c r="F77" s="115"/>
      <c r="G77" s="115"/>
      <c r="H77" s="181"/>
      <c r="I77" s="114"/>
      <c r="J77" s="115"/>
      <c r="K77" s="115"/>
      <c r="L77" s="115"/>
      <c r="M77" s="114"/>
      <c r="N77" s="115"/>
      <c r="O77" s="115"/>
      <c r="P77" s="115"/>
      <c r="Q77" s="114"/>
      <c r="R77" s="115"/>
      <c r="S77" s="115"/>
      <c r="T77" s="115"/>
      <c r="U77" s="114"/>
      <c r="V77" s="115"/>
      <c r="W77" s="115"/>
      <c r="X77" s="115"/>
      <c r="Y77" s="114"/>
      <c r="Z77" s="115"/>
      <c r="AA77" s="115"/>
      <c r="AB77" s="115"/>
      <c r="AC77" s="114"/>
      <c r="AD77" s="82"/>
      <c r="AE77" s="82"/>
      <c r="AF77" s="83"/>
      <c r="AG77" s="82"/>
      <c r="AH77" s="82"/>
      <c r="AI77" s="82"/>
      <c r="AJ77" s="83"/>
      <c r="AK77" s="81"/>
      <c r="AL77" s="82"/>
      <c r="AM77" s="82"/>
      <c r="AN77" s="83"/>
      <c r="AO77" s="81"/>
      <c r="AP77" s="82"/>
      <c r="AQ77" s="82"/>
      <c r="AR77" s="68"/>
      <c r="AS77" s="81"/>
      <c r="AT77" s="82"/>
      <c r="AU77" s="82"/>
      <c r="AV77" s="68"/>
      <c r="BR77" s="77">
        <f t="shared" si="281"/>
        <v>74</v>
      </c>
    </row>
    <row r="78" spans="1:70" ht="12" x14ac:dyDescent="0.15">
      <c r="A78" s="6" t="s">
        <v>30</v>
      </c>
      <c r="B78" s="189"/>
      <c r="E78" s="105"/>
      <c r="F78" s="106"/>
      <c r="G78" s="106"/>
      <c r="H78" s="107"/>
      <c r="I78" s="112"/>
      <c r="J78" s="113"/>
      <c r="K78" s="113"/>
      <c r="L78" s="113"/>
      <c r="M78" s="112"/>
      <c r="N78" s="113"/>
      <c r="O78" s="113"/>
      <c r="P78" s="113"/>
      <c r="Q78" s="112"/>
      <c r="R78" s="113"/>
      <c r="S78" s="113"/>
      <c r="T78" s="113"/>
      <c r="U78" s="112"/>
      <c r="V78" s="113"/>
      <c r="W78" s="113"/>
      <c r="X78" s="113"/>
      <c r="Y78" s="112"/>
      <c r="Z78" s="113"/>
      <c r="AA78" s="113"/>
      <c r="AB78" s="113"/>
      <c r="AC78" s="112"/>
      <c r="AD78" s="29"/>
      <c r="AE78" s="29"/>
      <c r="AF78" s="30"/>
      <c r="AG78" s="29"/>
      <c r="AH78" s="29"/>
      <c r="AI78" s="29"/>
      <c r="AJ78" s="30"/>
      <c r="AK78" s="14"/>
      <c r="AL78" s="29"/>
      <c r="AM78" s="29"/>
      <c r="AN78" s="30"/>
      <c r="AO78" s="14"/>
      <c r="AP78" s="29"/>
      <c r="AQ78" s="29"/>
      <c r="AR78" s="30"/>
      <c r="AS78" s="14"/>
      <c r="AT78" s="29"/>
      <c r="AU78" s="29"/>
      <c r="AV78" s="30"/>
      <c r="BR78" s="77">
        <f t="shared" si="281"/>
        <v>75</v>
      </c>
    </row>
    <row r="79" spans="1:70" ht="11.25" customHeight="1" x14ac:dyDescent="0.2">
      <c r="B79" s="234" t="s">
        <v>93</v>
      </c>
      <c r="E79" s="276">
        <f>Reported!C79</f>
        <v>0</v>
      </c>
      <c r="F79" s="277">
        <f>Reported!D79</f>
        <v>0</v>
      </c>
      <c r="G79" s="277">
        <f>Reported!E79</f>
        <v>0</v>
      </c>
      <c r="H79" s="278">
        <f>Reported!F79</f>
        <v>0</v>
      </c>
      <c r="I79" s="279">
        <f>Reported!G79</f>
        <v>0</v>
      </c>
      <c r="J79" s="280">
        <f>Reported!H79</f>
        <v>0</v>
      </c>
      <c r="K79" s="280">
        <f>Reported!I79</f>
        <v>0</v>
      </c>
      <c r="L79" s="280">
        <f>Reported!J79</f>
        <v>0</v>
      </c>
      <c r="M79" s="279">
        <f>Reported!K79</f>
        <v>0</v>
      </c>
      <c r="N79" s="280">
        <f>Reported!L79</f>
        <v>0</v>
      </c>
      <c r="O79" s="280">
        <f>Reported!M79</f>
        <v>0</v>
      </c>
      <c r="P79" s="280">
        <f>Reported!N79</f>
        <v>0</v>
      </c>
      <c r="Q79" s="279">
        <f>Reported!O79</f>
        <v>0</v>
      </c>
      <c r="R79" s="280">
        <f>Reported!P79</f>
        <v>0</v>
      </c>
      <c r="S79" s="280">
        <f>Reported!Q79</f>
        <v>0</v>
      </c>
      <c r="T79" s="280">
        <f>Reported!R79</f>
        <v>0</v>
      </c>
      <c r="U79" s="279">
        <f>Reported!S79</f>
        <v>0</v>
      </c>
      <c r="V79" s="280">
        <f>Reported!T79</f>
        <v>0</v>
      </c>
      <c r="W79" s="280">
        <f>Reported!U79</f>
        <v>0</v>
      </c>
      <c r="X79" s="280">
        <f>Reported!V79</f>
        <v>0</v>
      </c>
      <c r="Y79" s="279">
        <f>Reported!W79</f>
        <v>0</v>
      </c>
      <c r="Z79" s="280">
        <f>Reported!X79</f>
        <v>0</v>
      </c>
      <c r="AA79" s="280">
        <f>Reported!Y79</f>
        <v>0</v>
      </c>
      <c r="AB79" s="280">
        <f>Reported!Z79</f>
        <v>0</v>
      </c>
      <c r="AC79" s="279">
        <f>Reported!AA79</f>
        <v>0</v>
      </c>
      <c r="AD79" s="72">
        <f t="shared" ref="AD79:AF82" si="344">IFERROR((SUM(Z79:AC79)*(1+$BK79))*AY79/4,0)</f>
        <v>0</v>
      </c>
      <c r="AE79" s="72">
        <f t="shared" si="344"/>
        <v>0</v>
      </c>
      <c r="AF79" s="73">
        <f t="shared" si="344"/>
        <v>0</v>
      </c>
      <c r="AG79" s="72">
        <f t="shared" ref="AG79:AJ82" si="345">IFERROR((SUM(AC79:AF79)*(1+$BL79))*AX79/4,0)</f>
        <v>0</v>
      </c>
      <c r="AH79" s="72">
        <f t="shared" si="345"/>
        <v>0</v>
      </c>
      <c r="AI79" s="72">
        <f t="shared" si="345"/>
        <v>0</v>
      </c>
      <c r="AJ79" s="73">
        <f t="shared" si="345"/>
        <v>0</v>
      </c>
      <c r="AK79" s="71">
        <f t="shared" ref="AK79:AN82" si="346">IFERROR((SUM(AG79:AJ79)*(1+$BM79))*AX79/4,0)</f>
        <v>0</v>
      </c>
      <c r="AL79" s="72">
        <f t="shared" si="346"/>
        <v>0</v>
      </c>
      <c r="AM79" s="72">
        <f t="shared" si="346"/>
        <v>0</v>
      </c>
      <c r="AN79" s="73">
        <f t="shared" si="346"/>
        <v>0</v>
      </c>
      <c r="AO79" s="71">
        <f t="shared" ref="AO79:AR82" si="347">IFERROR((SUM(AK79:AN79)*(1+$BN79))*AX79/4,0)</f>
        <v>0</v>
      </c>
      <c r="AP79" s="72">
        <f t="shared" si="347"/>
        <v>0</v>
      </c>
      <c r="AQ79" s="72">
        <f t="shared" si="347"/>
        <v>0</v>
      </c>
      <c r="AR79" s="73">
        <f t="shared" si="347"/>
        <v>0</v>
      </c>
      <c r="AS79" s="71">
        <f>IFERROR((SUM(AO79:AR79)*(1+$BN79))*AX79/4,0)</f>
        <v>0</v>
      </c>
      <c r="AT79" s="72">
        <f t="shared" ref="AT79:AV82" si="348">IFERROR((SUM(AP79:AS79)*(1+$BN79))*AY79/4,0)</f>
        <v>0</v>
      </c>
      <c r="AU79" s="72">
        <f t="shared" si="348"/>
        <v>0</v>
      </c>
      <c r="AV79" s="73">
        <f t="shared" si="348"/>
        <v>0</v>
      </c>
      <c r="AW79" s="17"/>
      <c r="AX79" s="293">
        <v>1</v>
      </c>
      <c r="AY79" s="293">
        <v>1</v>
      </c>
      <c r="AZ79" s="293">
        <v>1</v>
      </c>
      <c r="BA79" s="293">
        <v>1</v>
      </c>
      <c r="BB79" s="70">
        <v>0</v>
      </c>
      <c r="BC79" s="2"/>
      <c r="BD79"/>
      <c r="BE79" s="188" t="str">
        <f>"Growth in "&amp;B79</f>
        <v>Growth in Depreciation</v>
      </c>
      <c r="BF79" s="59">
        <f>IFERROR(SUM(I79:L79)/SUM(E79:H79)-1,0)</f>
        <v>0</v>
      </c>
      <c r="BG79" s="59">
        <f>IFERROR(SUM(M79:P79)/SUM(I79:L79)-1,0)</f>
        <v>0</v>
      </c>
      <c r="BH79" s="59">
        <f>IFERROR(SUM(Q79:T79)/SUM(M79:P79)-1,0)</f>
        <v>0</v>
      </c>
      <c r="BI79" s="59">
        <f t="shared" ref="BI79:BI83" si="349">IFERROR(SUM(U79:X79)/SUM(Q79:T79)-1,0)</f>
        <v>0</v>
      </c>
      <c r="BJ79" s="59">
        <f t="shared" ref="BJ79:BJ83" si="350">IFERROR(SUM(Y79:AB79)/SUM(U79:X79)-1,0)</f>
        <v>0</v>
      </c>
      <c r="BK79" s="207">
        <v>0.1</v>
      </c>
      <c r="BL79" s="207">
        <v>0.1</v>
      </c>
      <c r="BM79" s="207">
        <v>0.1</v>
      </c>
      <c r="BN79" s="207">
        <v>0.1</v>
      </c>
      <c r="BO79" s="207">
        <v>0.1</v>
      </c>
      <c r="BR79" s="77">
        <f t="shared" si="281"/>
        <v>76</v>
      </c>
    </row>
    <row r="80" spans="1:70" ht="11.25" customHeight="1" x14ac:dyDescent="0.2">
      <c r="B80" s="234" t="s">
        <v>47</v>
      </c>
      <c r="E80" s="276">
        <f>Reported!C80</f>
        <v>0</v>
      </c>
      <c r="F80" s="277">
        <f>Reported!D80</f>
        <v>0</v>
      </c>
      <c r="G80" s="277">
        <f>Reported!E80</f>
        <v>0</v>
      </c>
      <c r="H80" s="278">
        <f>Reported!F80</f>
        <v>0</v>
      </c>
      <c r="I80" s="279">
        <f>Reported!G80</f>
        <v>0</v>
      </c>
      <c r="J80" s="280">
        <f>Reported!H80</f>
        <v>0</v>
      </c>
      <c r="K80" s="280">
        <f>Reported!I80</f>
        <v>0</v>
      </c>
      <c r="L80" s="280">
        <f>Reported!J80</f>
        <v>0</v>
      </c>
      <c r="M80" s="279">
        <f>Reported!K80</f>
        <v>0</v>
      </c>
      <c r="N80" s="280">
        <f>Reported!L80</f>
        <v>0</v>
      </c>
      <c r="O80" s="280">
        <f>Reported!M80</f>
        <v>0</v>
      </c>
      <c r="P80" s="280">
        <f>Reported!N80</f>
        <v>0</v>
      </c>
      <c r="Q80" s="279">
        <f>Reported!O80</f>
        <v>0</v>
      </c>
      <c r="R80" s="280">
        <f>Reported!P80</f>
        <v>0</v>
      </c>
      <c r="S80" s="280">
        <f>Reported!Q80</f>
        <v>0</v>
      </c>
      <c r="T80" s="280">
        <f>Reported!R80</f>
        <v>0</v>
      </c>
      <c r="U80" s="279">
        <f>Reported!S80</f>
        <v>0</v>
      </c>
      <c r="V80" s="280">
        <f>Reported!T80</f>
        <v>0</v>
      </c>
      <c r="W80" s="280">
        <f>Reported!U80</f>
        <v>0</v>
      </c>
      <c r="X80" s="280">
        <f>Reported!V80</f>
        <v>0</v>
      </c>
      <c r="Y80" s="279">
        <f>Reported!W80</f>
        <v>0</v>
      </c>
      <c r="Z80" s="280">
        <f>Reported!X80</f>
        <v>0</v>
      </c>
      <c r="AA80" s="280">
        <f>Reported!Y80</f>
        <v>0</v>
      </c>
      <c r="AB80" s="280">
        <f>Reported!Z80</f>
        <v>0</v>
      </c>
      <c r="AC80" s="279">
        <f>Reported!AA80</f>
        <v>0</v>
      </c>
      <c r="AD80" s="72">
        <f t="shared" si="344"/>
        <v>0</v>
      </c>
      <c r="AE80" s="72">
        <f t="shared" si="344"/>
        <v>0</v>
      </c>
      <c r="AF80" s="73">
        <f t="shared" si="344"/>
        <v>0</v>
      </c>
      <c r="AG80" s="72">
        <f t="shared" si="345"/>
        <v>0</v>
      </c>
      <c r="AH80" s="72">
        <f t="shared" si="345"/>
        <v>0</v>
      </c>
      <c r="AI80" s="72">
        <f t="shared" si="345"/>
        <v>0</v>
      </c>
      <c r="AJ80" s="73">
        <f t="shared" si="345"/>
        <v>0</v>
      </c>
      <c r="AK80" s="71">
        <f t="shared" si="346"/>
        <v>0</v>
      </c>
      <c r="AL80" s="72">
        <f t="shared" si="346"/>
        <v>0</v>
      </c>
      <c r="AM80" s="72">
        <f t="shared" si="346"/>
        <v>0</v>
      </c>
      <c r="AN80" s="73">
        <f t="shared" si="346"/>
        <v>0</v>
      </c>
      <c r="AO80" s="71">
        <f t="shared" si="347"/>
        <v>0</v>
      </c>
      <c r="AP80" s="72">
        <f t="shared" si="347"/>
        <v>0</v>
      </c>
      <c r="AQ80" s="72">
        <f t="shared" si="347"/>
        <v>0</v>
      </c>
      <c r="AR80" s="73">
        <f t="shared" si="347"/>
        <v>0</v>
      </c>
      <c r="AS80" s="71">
        <f t="shared" ref="AS80:AS83" si="351">IFERROR((SUM(AO80:AR80)*(1+$BN80))*AX80/4,0)</f>
        <v>0</v>
      </c>
      <c r="AT80" s="72">
        <f t="shared" si="348"/>
        <v>0</v>
      </c>
      <c r="AU80" s="72">
        <f t="shared" si="348"/>
        <v>0</v>
      </c>
      <c r="AV80" s="73">
        <f t="shared" si="348"/>
        <v>0</v>
      </c>
      <c r="AW80" s="17"/>
      <c r="AX80" s="293">
        <v>1</v>
      </c>
      <c r="AY80" s="293">
        <v>1</v>
      </c>
      <c r="AZ80" s="293">
        <v>1</v>
      </c>
      <c r="BA80" s="293">
        <v>1</v>
      </c>
      <c r="BB80" s="70">
        <v>0</v>
      </c>
      <c r="BC80" s="2"/>
      <c r="BD80"/>
      <c r="BE80" s="188" t="str">
        <f>"Growth in "&amp;B80</f>
        <v>Growth in Amortization</v>
      </c>
      <c r="BF80" s="59">
        <f>IFERROR(SUM(I80:L80)/SUM(E80:H80)-1,0)</f>
        <v>0</v>
      </c>
      <c r="BG80" s="59">
        <f>IFERROR(SUM(M80:P80)/SUM(I80:L80)-1,0)</f>
        <v>0</v>
      </c>
      <c r="BH80" s="59">
        <f>IFERROR(SUM(Q80:T80)/SUM(M80:P80)-1,0)</f>
        <v>0</v>
      </c>
      <c r="BI80" s="59">
        <f t="shared" si="349"/>
        <v>0</v>
      </c>
      <c r="BJ80" s="59">
        <f t="shared" si="350"/>
        <v>0</v>
      </c>
      <c r="BK80" s="207">
        <v>0</v>
      </c>
      <c r="BL80" s="207">
        <v>0</v>
      </c>
      <c r="BM80" s="207">
        <v>0</v>
      </c>
      <c r="BN80" s="207">
        <v>0</v>
      </c>
      <c r="BO80" s="207">
        <v>0</v>
      </c>
      <c r="BR80" s="77">
        <f t="shared" si="281"/>
        <v>77</v>
      </c>
    </row>
    <row r="81" spans="1:70" ht="11.25" customHeight="1" x14ac:dyDescent="0.2">
      <c r="B81" s="234" t="s">
        <v>113</v>
      </c>
      <c r="E81" s="276">
        <f>Reported!C81</f>
        <v>0</v>
      </c>
      <c r="F81" s="277">
        <f>Reported!D81</f>
        <v>0</v>
      </c>
      <c r="G81" s="277">
        <f>Reported!E81</f>
        <v>0</v>
      </c>
      <c r="H81" s="278">
        <f>Reported!F81</f>
        <v>0</v>
      </c>
      <c r="I81" s="279">
        <f>Reported!G81</f>
        <v>0</v>
      </c>
      <c r="J81" s="280">
        <f>Reported!H81</f>
        <v>0</v>
      </c>
      <c r="K81" s="280">
        <f>Reported!I81</f>
        <v>0</v>
      </c>
      <c r="L81" s="280">
        <f>Reported!J81</f>
        <v>0</v>
      </c>
      <c r="M81" s="279">
        <f>Reported!K81</f>
        <v>0</v>
      </c>
      <c r="N81" s="280">
        <f>Reported!L81</f>
        <v>0</v>
      </c>
      <c r="O81" s="280">
        <f>Reported!M81</f>
        <v>0</v>
      </c>
      <c r="P81" s="280">
        <f>Reported!N81</f>
        <v>0</v>
      </c>
      <c r="Q81" s="279">
        <f>Reported!O81</f>
        <v>0</v>
      </c>
      <c r="R81" s="280">
        <f>Reported!P81</f>
        <v>0</v>
      </c>
      <c r="S81" s="280">
        <f>Reported!Q81</f>
        <v>0</v>
      </c>
      <c r="T81" s="280">
        <f>Reported!R81</f>
        <v>0</v>
      </c>
      <c r="U81" s="279">
        <f>Reported!S81</f>
        <v>0</v>
      </c>
      <c r="V81" s="280">
        <f>Reported!T81</f>
        <v>0</v>
      </c>
      <c r="W81" s="280">
        <f>Reported!U81</f>
        <v>0</v>
      </c>
      <c r="X81" s="280">
        <f>Reported!V81</f>
        <v>0</v>
      </c>
      <c r="Y81" s="279">
        <f>Reported!W81</f>
        <v>0</v>
      </c>
      <c r="Z81" s="280">
        <f>Reported!X81</f>
        <v>0</v>
      </c>
      <c r="AA81" s="280">
        <f>Reported!Y81</f>
        <v>0</v>
      </c>
      <c r="AB81" s="280">
        <f>Reported!Z81</f>
        <v>0</v>
      </c>
      <c r="AC81" s="279">
        <f>Reported!AA81</f>
        <v>0</v>
      </c>
      <c r="AD81" s="72">
        <f t="shared" si="344"/>
        <v>0</v>
      </c>
      <c r="AE81" s="72">
        <f t="shared" si="344"/>
        <v>0</v>
      </c>
      <c r="AF81" s="73">
        <f t="shared" si="344"/>
        <v>0</v>
      </c>
      <c r="AG81" s="72">
        <f t="shared" si="345"/>
        <v>0</v>
      </c>
      <c r="AH81" s="72">
        <f t="shared" si="345"/>
        <v>0</v>
      </c>
      <c r="AI81" s="72">
        <f t="shared" si="345"/>
        <v>0</v>
      </c>
      <c r="AJ81" s="73">
        <f t="shared" si="345"/>
        <v>0</v>
      </c>
      <c r="AK81" s="71">
        <f t="shared" si="346"/>
        <v>0</v>
      </c>
      <c r="AL81" s="72">
        <f t="shared" si="346"/>
        <v>0</v>
      </c>
      <c r="AM81" s="72">
        <f t="shared" si="346"/>
        <v>0</v>
      </c>
      <c r="AN81" s="73">
        <f t="shared" si="346"/>
        <v>0</v>
      </c>
      <c r="AO81" s="71">
        <f t="shared" si="347"/>
        <v>0</v>
      </c>
      <c r="AP81" s="72">
        <f t="shared" si="347"/>
        <v>0</v>
      </c>
      <c r="AQ81" s="72">
        <f t="shared" si="347"/>
        <v>0</v>
      </c>
      <c r="AR81" s="73">
        <f t="shared" si="347"/>
        <v>0</v>
      </c>
      <c r="AS81" s="71">
        <f t="shared" si="351"/>
        <v>0</v>
      </c>
      <c r="AT81" s="72">
        <f t="shared" si="348"/>
        <v>0</v>
      </c>
      <c r="AU81" s="72">
        <f t="shared" si="348"/>
        <v>0</v>
      </c>
      <c r="AV81" s="73">
        <f t="shared" si="348"/>
        <v>0</v>
      </c>
      <c r="AW81" s="17"/>
      <c r="AX81" s="293">
        <v>1</v>
      </c>
      <c r="AY81" s="293">
        <v>1</v>
      </c>
      <c r="AZ81" s="293">
        <v>1</v>
      </c>
      <c r="BA81" s="293">
        <v>1</v>
      </c>
      <c r="BB81" s="70">
        <v>0</v>
      </c>
      <c r="BC81" s="2"/>
      <c r="BD81"/>
      <c r="BE81" s="188" t="str">
        <f>"Growth in "&amp;B81</f>
        <v>Growth in Stock Compensation</v>
      </c>
      <c r="BF81" s="59">
        <f>IFERROR(SUM(I81:L81)/SUM(E81:H81)-1,0)</f>
        <v>0</v>
      </c>
      <c r="BG81" s="59">
        <f>IFERROR(SUM(M81:P81)/SUM(I81:L81)-1,0)</f>
        <v>0</v>
      </c>
      <c r="BH81" s="59">
        <f>IFERROR(SUM(Q81:T81)/SUM(M81:P81)-1,0)</f>
        <v>0</v>
      </c>
      <c r="BI81" s="59">
        <f t="shared" si="349"/>
        <v>0</v>
      </c>
      <c r="BJ81" s="59">
        <f t="shared" si="350"/>
        <v>0</v>
      </c>
      <c r="BK81" s="207">
        <v>0.1</v>
      </c>
      <c r="BL81" s="207">
        <v>0.08</v>
      </c>
      <c r="BM81" s="207">
        <v>0.08</v>
      </c>
      <c r="BN81" s="207">
        <v>0.08</v>
      </c>
      <c r="BO81" s="207">
        <v>0.08</v>
      </c>
      <c r="BR81" s="77">
        <f t="shared" si="281"/>
        <v>78</v>
      </c>
    </row>
    <row r="82" spans="1:70" ht="11.25" customHeight="1" x14ac:dyDescent="0.2">
      <c r="B82" s="234" t="s">
        <v>30</v>
      </c>
      <c r="E82" s="276">
        <f>-Reported!C37-Reported!C38+Reported!C33</f>
        <v>0</v>
      </c>
      <c r="F82" s="277">
        <f>-Reported!D37-Reported!D38+Reported!D33</f>
        <v>0</v>
      </c>
      <c r="G82" s="277">
        <f>-Reported!E37-Reported!E38+Reported!E33</f>
        <v>0</v>
      </c>
      <c r="H82" s="278">
        <f>-Reported!F37-Reported!F38+Reported!F33</f>
        <v>0</v>
      </c>
      <c r="I82" s="279">
        <f>-Reported!G37-Reported!G38+Reported!G33</f>
        <v>0</v>
      </c>
      <c r="J82" s="280">
        <f>-Reported!H37-Reported!H38+Reported!H33</f>
        <v>0</v>
      </c>
      <c r="K82" s="280">
        <f>-Reported!I37-Reported!I38+Reported!I33</f>
        <v>0</v>
      </c>
      <c r="L82" s="280">
        <f>-Reported!J37-Reported!J38+Reported!J33</f>
        <v>0</v>
      </c>
      <c r="M82" s="279">
        <f>-Reported!K37-Reported!K38+Reported!K33</f>
        <v>0</v>
      </c>
      <c r="N82" s="280">
        <f>-Reported!L37-Reported!L38+Reported!L33</f>
        <v>0</v>
      </c>
      <c r="O82" s="280">
        <f>-Reported!M37-Reported!M38+Reported!M33</f>
        <v>0</v>
      </c>
      <c r="P82" s="280">
        <f>-Reported!N37-Reported!N38+Reported!N33</f>
        <v>0</v>
      </c>
      <c r="Q82" s="279">
        <f>-Reported!O37-Reported!O38+Reported!O33</f>
        <v>0</v>
      </c>
      <c r="R82" s="280">
        <f>-Reported!P37-Reported!P38+Reported!P33</f>
        <v>0</v>
      </c>
      <c r="S82" s="280">
        <f>-Reported!Q37-Reported!Q38+Reported!Q33</f>
        <v>0</v>
      </c>
      <c r="T82" s="280">
        <f>-Reported!R37-Reported!R38+Reported!R33</f>
        <v>0</v>
      </c>
      <c r="U82" s="279">
        <f>-Reported!S37-Reported!S38+Reported!S33</f>
        <v>0</v>
      </c>
      <c r="V82" s="280">
        <f>-Reported!T37-Reported!T38+Reported!T33</f>
        <v>0</v>
      </c>
      <c r="W82" s="280">
        <f>-Reported!U37-Reported!U38+Reported!U33</f>
        <v>0</v>
      </c>
      <c r="X82" s="280">
        <f>-Reported!V37-Reported!V38+Reported!V33</f>
        <v>0</v>
      </c>
      <c r="Y82" s="279">
        <f>-Reported!W37-Reported!W38+Reported!W33</f>
        <v>0</v>
      </c>
      <c r="Z82" s="280">
        <f>-Reported!X37-Reported!X38+Reported!X33</f>
        <v>0</v>
      </c>
      <c r="AA82" s="280">
        <f>-Reported!Y37-Reported!Y38+Reported!Y33</f>
        <v>0</v>
      </c>
      <c r="AB82" s="280">
        <f>-Reported!Z37-Reported!Z38+Reported!Z33</f>
        <v>0</v>
      </c>
      <c r="AC82" s="279">
        <f>-Reported!AA37-Reported!AA38+Reported!AA33</f>
        <v>0</v>
      </c>
      <c r="AD82" s="72">
        <f t="shared" si="344"/>
        <v>0</v>
      </c>
      <c r="AE82" s="72">
        <f t="shared" si="344"/>
        <v>0</v>
      </c>
      <c r="AF82" s="73">
        <f t="shared" si="344"/>
        <v>0</v>
      </c>
      <c r="AG82" s="72">
        <f t="shared" si="345"/>
        <v>0</v>
      </c>
      <c r="AH82" s="72">
        <f t="shared" si="345"/>
        <v>0</v>
      </c>
      <c r="AI82" s="72">
        <f t="shared" si="345"/>
        <v>0</v>
      </c>
      <c r="AJ82" s="73">
        <f t="shared" si="345"/>
        <v>0</v>
      </c>
      <c r="AK82" s="71">
        <f t="shared" si="346"/>
        <v>0</v>
      </c>
      <c r="AL82" s="72">
        <f t="shared" si="346"/>
        <v>0</v>
      </c>
      <c r="AM82" s="72">
        <f t="shared" si="346"/>
        <v>0</v>
      </c>
      <c r="AN82" s="73">
        <f t="shared" si="346"/>
        <v>0</v>
      </c>
      <c r="AO82" s="71">
        <f t="shared" si="347"/>
        <v>0</v>
      </c>
      <c r="AP82" s="72">
        <f t="shared" si="347"/>
        <v>0</v>
      </c>
      <c r="AQ82" s="72">
        <f t="shared" si="347"/>
        <v>0</v>
      </c>
      <c r="AR82" s="73">
        <f t="shared" si="347"/>
        <v>0</v>
      </c>
      <c r="AS82" s="71">
        <f t="shared" si="351"/>
        <v>0</v>
      </c>
      <c r="AT82" s="72">
        <f t="shared" si="348"/>
        <v>0</v>
      </c>
      <c r="AU82" s="72">
        <f t="shared" si="348"/>
        <v>0</v>
      </c>
      <c r="AV82" s="73">
        <f t="shared" si="348"/>
        <v>0</v>
      </c>
      <c r="AW82" s="17"/>
      <c r="AX82" s="293">
        <v>1</v>
      </c>
      <c r="AY82" s="293">
        <v>1</v>
      </c>
      <c r="AZ82" s="293">
        <v>1</v>
      </c>
      <c r="BA82" s="293">
        <v>1</v>
      </c>
      <c r="BB82" s="70">
        <v>0</v>
      </c>
      <c r="BC82" s="2"/>
      <c r="BD82"/>
      <c r="BE82" s="188" t="str">
        <f>"Growth in "&amp;B82</f>
        <v>Growth in Other</v>
      </c>
      <c r="BF82" s="59">
        <f>IFERROR(SUM(I82:L82)/SUM(E82:H82)-1,0)</f>
        <v>0</v>
      </c>
      <c r="BG82" s="59">
        <f>IFERROR(SUM(M82:P82)/SUM(I82:L82)-1,0)</f>
        <v>0</v>
      </c>
      <c r="BH82" s="59">
        <f>IFERROR(SUM(Q82:T82)/SUM(M82:P82)-1,0)</f>
        <v>0</v>
      </c>
      <c r="BI82" s="59">
        <f t="shared" si="349"/>
        <v>0</v>
      </c>
      <c r="BJ82" s="59">
        <f t="shared" si="350"/>
        <v>0</v>
      </c>
      <c r="BK82" s="207">
        <v>0</v>
      </c>
      <c r="BL82" s="207">
        <v>0</v>
      </c>
      <c r="BM82" s="207">
        <v>0</v>
      </c>
      <c r="BN82" s="207">
        <v>0</v>
      </c>
      <c r="BO82" s="207">
        <v>0</v>
      </c>
      <c r="BR82" s="77">
        <f t="shared" si="281"/>
        <v>79</v>
      </c>
    </row>
    <row r="83" spans="1:70" ht="13.5" x14ac:dyDescent="0.25">
      <c r="B83" s="234" t="s">
        <v>114</v>
      </c>
      <c r="E83" s="287">
        <f>Reported!C40</f>
        <v>0</v>
      </c>
      <c r="F83" s="288">
        <f>Reported!D40</f>
        <v>0</v>
      </c>
      <c r="G83" s="288">
        <f>Reported!E40</f>
        <v>0</v>
      </c>
      <c r="H83" s="289">
        <f>Reported!F40</f>
        <v>0</v>
      </c>
      <c r="I83" s="290">
        <f>Reported!G40</f>
        <v>0</v>
      </c>
      <c r="J83" s="291">
        <f>Reported!H40</f>
        <v>0</v>
      </c>
      <c r="K83" s="291">
        <f>Reported!I40</f>
        <v>0</v>
      </c>
      <c r="L83" s="291">
        <f>Reported!J40</f>
        <v>0</v>
      </c>
      <c r="M83" s="290">
        <f>Reported!K40</f>
        <v>0</v>
      </c>
      <c r="N83" s="291">
        <f>Reported!L40</f>
        <v>0</v>
      </c>
      <c r="O83" s="291">
        <f>Reported!M40</f>
        <v>0</v>
      </c>
      <c r="P83" s="291">
        <f>Reported!N40</f>
        <v>0</v>
      </c>
      <c r="Q83" s="290">
        <f>Reported!O40</f>
        <v>0</v>
      </c>
      <c r="R83" s="291">
        <f>Reported!P40</f>
        <v>0</v>
      </c>
      <c r="S83" s="291">
        <f>Reported!Q40</f>
        <v>0</v>
      </c>
      <c r="T83" s="291">
        <f>Reported!R40</f>
        <v>0</v>
      </c>
      <c r="U83" s="290">
        <f>Reported!S40</f>
        <v>0</v>
      </c>
      <c r="V83" s="291">
        <f>Reported!T40</f>
        <v>0</v>
      </c>
      <c r="W83" s="291">
        <f>Reported!U40</f>
        <v>0</v>
      </c>
      <c r="X83" s="291">
        <f>Reported!V40</f>
        <v>0</v>
      </c>
      <c r="Y83" s="290">
        <f>Reported!W40</f>
        <v>0</v>
      </c>
      <c r="Z83" s="291">
        <f>Reported!X40</f>
        <v>0</v>
      </c>
      <c r="AA83" s="291">
        <f>Reported!Y40</f>
        <v>0</v>
      </c>
      <c r="AB83" s="291">
        <f>Reported!Z40</f>
        <v>0</v>
      </c>
      <c r="AC83" s="290">
        <f>Reported!AA40</f>
        <v>0</v>
      </c>
      <c r="AD83" s="75">
        <f>(AD74-SUM(AD79:AD82))*$BK83</f>
        <v>0</v>
      </c>
      <c r="AE83" s="75">
        <f>(AE74-SUM(AE79:AE82))*$BK83</f>
        <v>0</v>
      </c>
      <c r="AF83" s="76">
        <f>(AF74-SUM(AF79:AF82))*$BK83</f>
        <v>0</v>
      </c>
      <c r="AG83" s="75">
        <f>(AG74-SUM(AG79:AG82))*$BL83</f>
        <v>0</v>
      </c>
      <c r="AH83" s="75">
        <f>(AH74-SUM(AH79:AH82))*$BL83</f>
        <v>0</v>
      </c>
      <c r="AI83" s="75">
        <f>(AI74-SUM(AI79:AI82))*$BL83</f>
        <v>0</v>
      </c>
      <c r="AJ83" s="76">
        <f>(AJ74-SUM(AJ79:AJ82))*$BL83</f>
        <v>0</v>
      </c>
      <c r="AK83" s="74">
        <f>(AK74-SUM(AK79:AK82))*$BM83</f>
        <v>0</v>
      </c>
      <c r="AL83" s="75">
        <f>(AL74-SUM(AL79:AL82))*$BM83</f>
        <v>0</v>
      </c>
      <c r="AM83" s="75">
        <f>(AM74-SUM(AM79:AM82))*$BM83</f>
        <v>0</v>
      </c>
      <c r="AN83" s="76">
        <f>(AN74-SUM(AN79:AN82))*$BM83</f>
        <v>0</v>
      </c>
      <c r="AO83" s="74">
        <f>(AO74-SUM(AO79:AO82))*$BN83</f>
        <v>0</v>
      </c>
      <c r="AP83" s="75">
        <f>(AP74-SUM(AP79:AP82))*$BN83</f>
        <v>0</v>
      </c>
      <c r="AQ83" s="75">
        <f>(AQ74-SUM(AQ79:AQ82))*$BN83</f>
        <v>0</v>
      </c>
      <c r="AR83" s="76">
        <f>(AR74-SUM(AR79:AR82))*$BN83</f>
        <v>0</v>
      </c>
      <c r="AS83" s="74">
        <f t="shared" si="351"/>
        <v>0</v>
      </c>
      <c r="AT83" s="75">
        <f>(AT74-SUM(AT79:AT82))*$BN83</f>
        <v>0</v>
      </c>
      <c r="AU83" s="75">
        <f>(AU74-SUM(AU79:AU82))*$BN83</f>
        <v>0</v>
      </c>
      <c r="AV83" s="76">
        <f>(AV74-SUM(AV79:AV82))*$BN83</f>
        <v>0</v>
      </c>
      <c r="BE83" s="188" t="s">
        <v>116</v>
      </c>
      <c r="BF83" s="59">
        <f>IFERROR(SUM(I83:L83)/(SUM(I85:L85)-SUM(I83:L83)),0)</f>
        <v>0</v>
      </c>
      <c r="BG83" s="59">
        <f>IFERROR(SUM(M83:P83)/(SUM(M85:P85)-SUM(M83:P83)),0)</f>
        <v>0</v>
      </c>
      <c r="BH83" s="59">
        <f>IFERROR(SUM(Q83:T83)/(SUM(Q85:T85)-SUM(Q83:T83)),0)</f>
        <v>0</v>
      </c>
      <c r="BI83" s="59">
        <f t="shared" si="349"/>
        <v>0</v>
      </c>
      <c r="BJ83" s="59">
        <f t="shared" si="350"/>
        <v>0</v>
      </c>
      <c r="BK83" s="207">
        <v>0</v>
      </c>
      <c r="BL83" s="207">
        <v>0</v>
      </c>
      <c r="BM83" s="207">
        <v>0</v>
      </c>
      <c r="BN83" s="207">
        <v>0</v>
      </c>
      <c r="BO83" s="207">
        <v>0</v>
      </c>
      <c r="BR83" s="77">
        <f t="shared" si="281"/>
        <v>80</v>
      </c>
    </row>
    <row r="84" spans="1:70" ht="12" x14ac:dyDescent="0.15">
      <c r="B84" s="234"/>
      <c r="E84" s="276"/>
      <c r="F84" s="277"/>
      <c r="G84" s="277"/>
      <c r="H84" s="278"/>
      <c r="I84" s="279"/>
      <c r="J84" s="280"/>
      <c r="K84" s="280"/>
      <c r="L84" s="280"/>
      <c r="M84" s="279"/>
      <c r="N84" s="280"/>
      <c r="O84" s="280"/>
      <c r="P84" s="280"/>
      <c r="Q84" s="279"/>
      <c r="R84" s="280"/>
      <c r="S84" s="280"/>
      <c r="T84" s="280"/>
      <c r="U84" s="279"/>
      <c r="V84" s="280"/>
      <c r="W84" s="280"/>
      <c r="X84" s="280"/>
      <c r="Y84" s="279"/>
      <c r="Z84" s="280"/>
      <c r="AA84" s="280"/>
      <c r="AB84" s="280"/>
      <c r="AC84" s="279"/>
      <c r="AD84" s="47"/>
      <c r="AE84" s="47"/>
      <c r="AF84" s="48"/>
      <c r="AG84" s="47"/>
      <c r="AH84" s="47"/>
      <c r="AI84" s="47"/>
      <c r="AJ84" s="48"/>
      <c r="AK84" s="22"/>
      <c r="AL84" s="47"/>
      <c r="AM84" s="47"/>
      <c r="AN84" s="48"/>
      <c r="AO84" s="22"/>
      <c r="AP84" s="47"/>
      <c r="AQ84" s="47"/>
      <c r="AR84" s="48"/>
      <c r="AS84" s="22"/>
      <c r="AT84" s="47"/>
      <c r="AU84" s="47"/>
      <c r="AV84" s="48"/>
      <c r="BR84" s="77">
        <f t="shared" si="281"/>
        <v>81</v>
      </c>
    </row>
    <row r="85" spans="1:70" ht="12" x14ac:dyDescent="0.15">
      <c r="A85" s="6" t="s">
        <v>2</v>
      </c>
      <c r="B85" s="189"/>
      <c r="E85" s="317">
        <f t="shared" ref="E85:AV85" si="352">E74-SUM(E79:E83)</f>
        <v>0</v>
      </c>
      <c r="F85" s="318">
        <f t="shared" si="352"/>
        <v>0</v>
      </c>
      <c r="G85" s="318">
        <f t="shared" si="352"/>
        <v>0</v>
      </c>
      <c r="H85" s="319">
        <f t="shared" si="352"/>
        <v>0</v>
      </c>
      <c r="I85" s="448">
        <f t="shared" si="352"/>
        <v>0</v>
      </c>
      <c r="J85" s="449">
        <f t="shared" si="352"/>
        <v>0</v>
      </c>
      <c r="K85" s="449">
        <f t="shared" si="352"/>
        <v>0</v>
      </c>
      <c r="L85" s="449">
        <f t="shared" si="352"/>
        <v>0</v>
      </c>
      <c r="M85" s="448">
        <f t="shared" si="352"/>
        <v>0</v>
      </c>
      <c r="N85" s="449">
        <f t="shared" si="352"/>
        <v>0</v>
      </c>
      <c r="O85" s="449">
        <f t="shared" si="352"/>
        <v>0</v>
      </c>
      <c r="P85" s="449">
        <f t="shared" si="352"/>
        <v>0</v>
      </c>
      <c r="Q85" s="448">
        <f t="shared" si="352"/>
        <v>0</v>
      </c>
      <c r="R85" s="449">
        <f t="shared" si="352"/>
        <v>0</v>
      </c>
      <c r="S85" s="449">
        <f t="shared" si="352"/>
        <v>0</v>
      </c>
      <c r="T85" s="449">
        <f t="shared" si="352"/>
        <v>0</v>
      </c>
      <c r="U85" s="448">
        <f t="shared" si="352"/>
        <v>0</v>
      </c>
      <c r="V85" s="449">
        <f t="shared" si="352"/>
        <v>0</v>
      </c>
      <c r="W85" s="449">
        <f t="shared" si="352"/>
        <v>0</v>
      </c>
      <c r="X85" s="449">
        <f t="shared" si="352"/>
        <v>0</v>
      </c>
      <c r="Y85" s="448">
        <f t="shared" si="352"/>
        <v>0</v>
      </c>
      <c r="Z85" s="449">
        <f t="shared" si="352"/>
        <v>0</v>
      </c>
      <c r="AA85" s="449">
        <f t="shared" si="352"/>
        <v>0</v>
      </c>
      <c r="AB85" s="449">
        <f t="shared" si="352"/>
        <v>0</v>
      </c>
      <c r="AC85" s="448">
        <f t="shared" ref="AC85" si="353">AC74-SUM(AC79:AC83)</f>
        <v>0</v>
      </c>
      <c r="AD85" s="451">
        <f t="shared" si="352"/>
        <v>0</v>
      </c>
      <c r="AE85" s="451">
        <f t="shared" si="352"/>
        <v>0</v>
      </c>
      <c r="AF85" s="452">
        <f t="shared" si="352"/>
        <v>0</v>
      </c>
      <c r="AG85" s="451">
        <f t="shared" si="352"/>
        <v>0</v>
      </c>
      <c r="AH85" s="451">
        <f t="shared" si="352"/>
        <v>0</v>
      </c>
      <c r="AI85" s="451">
        <f t="shared" si="352"/>
        <v>0</v>
      </c>
      <c r="AJ85" s="452">
        <f t="shared" si="352"/>
        <v>0</v>
      </c>
      <c r="AK85" s="450">
        <f t="shared" si="352"/>
        <v>0</v>
      </c>
      <c r="AL85" s="451">
        <f t="shared" si="352"/>
        <v>0</v>
      </c>
      <c r="AM85" s="451">
        <f t="shared" si="352"/>
        <v>0</v>
      </c>
      <c r="AN85" s="452">
        <f t="shared" si="352"/>
        <v>0</v>
      </c>
      <c r="AO85" s="450">
        <f t="shared" si="352"/>
        <v>0</v>
      </c>
      <c r="AP85" s="451">
        <f t="shared" si="352"/>
        <v>0</v>
      </c>
      <c r="AQ85" s="451">
        <f t="shared" si="352"/>
        <v>0</v>
      </c>
      <c r="AR85" s="452">
        <f t="shared" si="352"/>
        <v>0</v>
      </c>
      <c r="AS85" s="450">
        <f t="shared" si="352"/>
        <v>0</v>
      </c>
      <c r="AT85" s="451">
        <f t="shared" si="352"/>
        <v>0</v>
      </c>
      <c r="AU85" s="451">
        <f t="shared" si="352"/>
        <v>0</v>
      </c>
      <c r="AV85" s="452">
        <f t="shared" si="352"/>
        <v>0</v>
      </c>
      <c r="BR85" s="77">
        <f t="shared" si="281"/>
        <v>82</v>
      </c>
    </row>
    <row r="86" spans="1:70" ht="12" x14ac:dyDescent="0.15">
      <c r="A86" s="453" t="s">
        <v>115</v>
      </c>
      <c r="B86" s="10"/>
      <c r="C86" s="2"/>
      <c r="E86" s="116">
        <f>E85-Reported!C41</f>
        <v>0</v>
      </c>
      <c r="F86" s="117">
        <f>F85-Reported!D41</f>
        <v>0</v>
      </c>
      <c r="G86" s="117">
        <f>G85-Reported!E41</f>
        <v>0</v>
      </c>
      <c r="H86" s="182">
        <f>H85-Reported!F41</f>
        <v>0</v>
      </c>
      <c r="I86" s="116">
        <f>I85-Reported!G41</f>
        <v>0</v>
      </c>
      <c r="J86" s="117">
        <f>J85-Reported!H41</f>
        <v>0</v>
      </c>
      <c r="K86" s="117">
        <f>K85-Reported!I41</f>
        <v>0</v>
      </c>
      <c r="L86" s="117">
        <f>L85-Reported!J41</f>
        <v>0</v>
      </c>
      <c r="M86" s="116">
        <f>M85-Reported!K41</f>
        <v>0</v>
      </c>
      <c r="N86" s="117">
        <f>N85-Reported!L41</f>
        <v>0</v>
      </c>
      <c r="O86" s="117">
        <f>O85-Reported!M41</f>
        <v>0</v>
      </c>
      <c r="P86" s="117">
        <f>P85-Reported!N41</f>
        <v>0</v>
      </c>
      <c r="Q86" s="116">
        <f>Q85-Reported!O41</f>
        <v>0</v>
      </c>
      <c r="R86" s="117">
        <f>R85-Reported!P41</f>
        <v>0</v>
      </c>
      <c r="S86" s="117">
        <f>S85-Reported!Q41</f>
        <v>0</v>
      </c>
      <c r="T86" s="117">
        <f>T85-Reported!R41</f>
        <v>0</v>
      </c>
      <c r="U86" s="116">
        <f>U85-Reported!S41</f>
        <v>0</v>
      </c>
      <c r="V86" s="117">
        <f>V85-Reported!T41</f>
        <v>0</v>
      </c>
      <c r="W86" s="117">
        <f>W85-Reported!U41</f>
        <v>0</v>
      </c>
      <c r="X86" s="117">
        <f>X85-Reported!V41</f>
        <v>0</v>
      </c>
      <c r="Y86" s="116">
        <f>Y85-Reported!W41</f>
        <v>0</v>
      </c>
      <c r="Z86" s="117">
        <f>Z85-Reported!X41</f>
        <v>0</v>
      </c>
      <c r="AA86" s="117">
        <f>AA85-Reported!Y41</f>
        <v>0</v>
      </c>
      <c r="AB86" s="117">
        <f>AB85-Reported!Z41</f>
        <v>0</v>
      </c>
      <c r="AC86" s="116">
        <f>AC85-Reported!AA41</f>
        <v>0</v>
      </c>
      <c r="AD86" s="282"/>
      <c r="AE86" s="282"/>
      <c r="AF86" s="283"/>
      <c r="AG86" s="282"/>
      <c r="AH86" s="282"/>
      <c r="AI86" s="282"/>
      <c r="AJ86" s="283"/>
      <c r="AK86" s="281"/>
      <c r="AL86" s="282"/>
      <c r="AM86" s="282"/>
      <c r="AN86" s="283"/>
      <c r="AO86" s="281"/>
      <c r="AP86" s="282"/>
      <c r="AQ86" s="282"/>
      <c r="AR86" s="283"/>
      <c r="AS86" s="281"/>
      <c r="AT86" s="282"/>
      <c r="AU86" s="282"/>
      <c r="AV86" s="283"/>
      <c r="BR86" s="77">
        <f t="shared" si="281"/>
        <v>83</v>
      </c>
    </row>
    <row r="87" spans="1:70" s="184" customFormat="1" ht="12" x14ac:dyDescent="0.15">
      <c r="A87" s="453" t="s">
        <v>85</v>
      </c>
      <c r="C87" s="183"/>
      <c r="E87" s="235">
        <f>E74-Reported!C74</f>
        <v>0</v>
      </c>
      <c r="F87" s="236">
        <f>F74-Reported!D74</f>
        <v>0</v>
      </c>
      <c r="G87" s="236">
        <f>G74-Reported!E74</f>
        <v>0</v>
      </c>
      <c r="H87" s="237">
        <f>H74-Reported!F74</f>
        <v>0</v>
      </c>
      <c r="I87" s="235">
        <f>I74-Reported!G74</f>
        <v>0</v>
      </c>
      <c r="J87" s="236">
        <f>J74-Reported!H74</f>
        <v>0</v>
      </c>
      <c r="K87" s="236">
        <f>K74-Reported!I74</f>
        <v>0</v>
      </c>
      <c r="L87" s="236">
        <f>L74-Reported!J74</f>
        <v>0</v>
      </c>
      <c r="M87" s="235">
        <f>M74-Reported!K74</f>
        <v>0</v>
      </c>
      <c r="N87" s="236">
        <f>N74-Reported!L74</f>
        <v>0</v>
      </c>
      <c r="O87" s="236">
        <f>O74-Reported!M74</f>
        <v>0</v>
      </c>
      <c r="P87" s="236">
        <f>P74-Reported!N74</f>
        <v>0</v>
      </c>
      <c r="Q87" s="235">
        <f>Q74-Reported!O74</f>
        <v>0</v>
      </c>
      <c r="R87" s="236">
        <f>R74-Reported!P74</f>
        <v>0</v>
      </c>
      <c r="S87" s="236">
        <f>S74-Reported!Q74</f>
        <v>0</v>
      </c>
      <c r="T87" s="236">
        <f>T74-Reported!R74</f>
        <v>0</v>
      </c>
      <c r="U87" s="235">
        <f>U74-Reported!S74</f>
        <v>0</v>
      </c>
      <c r="V87" s="236">
        <f>V74-Reported!T74</f>
        <v>0</v>
      </c>
      <c r="W87" s="236">
        <f>W74-Reported!U74</f>
        <v>0</v>
      </c>
      <c r="X87" s="236">
        <f>X74-Reported!V74</f>
        <v>0</v>
      </c>
      <c r="Y87" s="235">
        <f>Y74-Reported!W74</f>
        <v>0</v>
      </c>
      <c r="Z87" s="236">
        <f>Z74-Reported!X74</f>
        <v>0</v>
      </c>
      <c r="AA87" s="236">
        <f>AA74-Reported!Y74</f>
        <v>0</v>
      </c>
      <c r="AB87" s="236">
        <f>AB74-Reported!Z74</f>
        <v>0</v>
      </c>
      <c r="AC87" s="235">
        <f>AC74-Reported!AA74</f>
        <v>0</v>
      </c>
      <c r="AD87" s="54"/>
      <c r="AE87" s="54"/>
      <c r="AF87" s="55"/>
      <c r="AG87" s="54"/>
      <c r="AH87" s="54"/>
      <c r="AI87" s="54"/>
      <c r="AJ87" s="55"/>
      <c r="AK87" s="53"/>
      <c r="AL87" s="54"/>
      <c r="AM87" s="54"/>
      <c r="AN87" s="55"/>
      <c r="AO87" s="53"/>
      <c r="AP87" s="54"/>
      <c r="AQ87" s="54"/>
      <c r="AR87" s="55"/>
      <c r="AS87" s="53"/>
      <c r="AT87" s="54"/>
      <c r="AU87" s="54"/>
      <c r="AV87" s="55"/>
      <c r="BE87" s="203"/>
      <c r="BR87" s="77">
        <f t="shared" si="281"/>
        <v>84</v>
      </c>
    </row>
    <row r="88" spans="1:70" s="184" customFormat="1" ht="12" x14ac:dyDescent="0.15">
      <c r="A88" s="453"/>
      <c r="C88" s="183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  <c r="Z88" s="477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  <c r="AK88" s="477"/>
      <c r="AL88" s="477"/>
      <c r="AM88" s="477"/>
      <c r="AN88" s="477"/>
      <c r="AO88" s="477"/>
      <c r="AP88" s="477"/>
      <c r="AQ88" s="477"/>
      <c r="AR88" s="477"/>
      <c r="AS88" s="477"/>
      <c r="AT88" s="477"/>
      <c r="AU88" s="477"/>
      <c r="AV88" s="477"/>
      <c r="BE88" s="203"/>
      <c r="BR88" s="77"/>
    </row>
    <row r="89" spans="1:70" customFormat="1" ht="11.25" customHeight="1" x14ac:dyDescent="0.2">
      <c r="A89" s="6" t="s">
        <v>194</v>
      </c>
      <c r="B89" s="188"/>
      <c r="C89" s="85"/>
      <c r="D89" s="85"/>
      <c r="AW89" s="546"/>
      <c r="BE89" s="190"/>
      <c r="BR89" s="77">
        <f t="shared" ref="BR89:BR156" si="354">ROW()-3</f>
        <v>86</v>
      </c>
    </row>
    <row r="90" spans="1:70" ht="12" x14ac:dyDescent="0.15">
      <c r="A90" s="95"/>
      <c r="B90" s="191" t="e">
        <f>"Actual Share Price "&amp;IF(#REF!=2,"(USD)","(CAD)")</f>
        <v>#REF!</v>
      </c>
      <c r="C90" s="85"/>
      <c r="D90" s="85"/>
      <c r="E90" s="320">
        <f>IFERROR(INDEX(#REF!,MATCH(E$4,#REF!,1)),0)</f>
        <v>0</v>
      </c>
      <c r="F90" s="321">
        <f>IFERROR(INDEX(#REF!,MATCH(F$4,#REF!,1)),0)</f>
        <v>0</v>
      </c>
      <c r="G90" s="321">
        <f>IFERROR(INDEX(#REF!,MATCH(G$4,#REF!,1)),0)</f>
        <v>0</v>
      </c>
      <c r="H90" s="321">
        <f>IFERROR(INDEX(#REF!,MATCH(H$4,#REF!,1)),0)</f>
        <v>0</v>
      </c>
      <c r="I90" s="320">
        <f>IFERROR(INDEX(#REF!,MATCH(I$4,#REF!,1)),0)</f>
        <v>0</v>
      </c>
      <c r="J90" s="321">
        <f>IFERROR(INDEX(#REF!,MATCH(J$4,#REF!,1)),0)</f>
        <v>0</v>
      </c>
      <c r="K90" s="321">
        <f>IFERROR(INDEX(#REF!,MATCH(K$4,#REF!,1)),0)</f>
        <v>0</v>
      </c>
      <c r="L90" s="321">
        <f>IFERROR(INDEX(#REF!,MATCH(L$4,#REF!,1)),0)</f>
        <v>0</v>
      </c>
      <c r="M90" s="505">
        <f>IFERROR(INDEX(#REF!,MATCH(M$4,#REF!,1)),0)</f>
        <v>0</v>
      </c>
      <c r="N90" s="506">
        <f>IFERROR(INDEX(#REF!,MATCH(N$4,#REF!,1)),0)</f>
        <v>0</v>
      </c>
      <c r="O90" s="506">
        <f>IFERROR(INDEX(#REF!,MATCH(O$4,#REF!,1)),0)</f>
        <v>0</v>
      </c>
      <c r="P90" s="506">
        <f>IFERROR(INDEX(#REF!,MATCH(P$4,#REF!,1)),0)</f>
        <v>0</v>
      </c>
      <c r="Q90" s="505">
        <f>IFERROR(INDEX(#REF!,MATCH(Q$4,#REF!,1)),0)</f>
        <v>0</v>
      </c>
      <c r="R90" s="506">
        <f>IFERROR(INDEX(#REF!,MATCH(R$4,#REF!,1)),0)</f>
        <v>0</v>
      </c>
      <c r="S90" s="506">
        <f>IFERROR(INDEX(#REF!,MATCH(S$4,#REF!,1)),0)</f>
        <v>0</v>
      </c>
      <c r="T90" s="506">
        <f>IFERROR(INDEX(#REF!,MATCH(T$4,#REF!,1)),0)</f>
        <v>0</v>
      </c>
      <c r="U90" s="505">
        <f>IFERROR(INDEX(#REF!,MATCH(U$4,#REF!,1)),0)</f>
        <v>0</v>
      </c>
      <c r="V90" s="506">
        <f>IFERROR(INDEX(#REF!,MATCH(V$4,#REF!,1)),0)</f>
        <v>0</v>
      </c>
      <c r="W90" s="506">
        <f>IFERROR(INDEX(#REF!,MATCH(W$4,#REF!,1)),0)</f>
        <v>0</v>
      </c>
      <c r="X90" s="506">
        <f>IFERROR(INDEX(#REF!,MATCH(X$4,#REF!,1)),0)</f>
        <v>0</v>
      </c>
      <c r="Y90" s="505">
        <f>IFERROR(INDEX(#REF!,MATCH(Y$4,#REF!,1)),0)</f>
        <v>0</v>
      </c>
      <c r="Z90" s="506">
        <f>IFERROR(INDEX(#REF!,MATCH(Z$4,#REF!,1)),0)</f>
        <v>0</v>
      </c>
      <c r="AA90" s="506">
        <f>IFERROR(INDEX(#REF!,MATCH(AA$4,#REF!,1)),0)</f>
        <v>0</v>
      </c>
      <c r="AB90" s="506">
        <f>IFERROR(INDEX(#REF!,MATCH(AB$4,#REF!,1)),0)</f>
        <v>0</v>
      </c>
      <c r="AC90" s="505">
        <f>IFERROR(INDEX(#REF!,MATCH(AC$4,#REF!,1)),0)</f>
        <v>0</v>
      </c>
      <c r="AD90" s="508">
        <f>IFERROR(INDEX(#REF!,MATCH(AD$4,#REF!,1)),0)</f>
        <v>0</v>
      </c>
      <c r="AE90" s="508">
        <f>IFERROR(INDEX(#REF!,MATCH(AE$4,#REF!,1)),0)</f>
        <v>0</v>
      </c>
      <c r="AF90" s="508">
        <f>IFERROR(INDEX(#REF!,MATCH(AF$4,#REF!,1)),0)</f>
        <v>0</v>
      </c>
      <c r="AG90" s="507">
        <f>IFERROR(INDEX(#REF!,MATCH(AG$4,#REF!,1)),0)</f>
        <v>0</v>
      </c>
      <c r="AH90" s="508">
        <f>IFERROR(INDEX(#REF!,MATCH(AH$4,#REF!,1)),0)</f>
        <v>0</v>
      </c>
      <c r="AI90" s="508">
        <f>IFERROR(INDEX(#REF!,MATCH(AI$4,#REF!,1)),0)</f>
        <v>0</v>
      </c>
      <c r="AJ90" s="508">
        <f>IFERROR(INDEX(#REF!,MATCH(AJ$4,#REF!,1)),0)</f>
        <v>0</v>
      </c>
      <c r="AK90" s="507">
        <f>IFERROR(INDEX(#REF!,MATCH(AK$4,#REF!,1)),0)</f>
        <v>0</v>
      </c>
      <c r="AL90" s="508">
        <f>IFERROR(INDEX(#REF!,MATCH(AL$4,#REF!,1)),0)</f>
        <v>0</v>
      </c>
      <c r="AM90" s="508">
        <f>IFERROR(INDEX(#REF!,MATCH(AM$4,#REF!,1)),0)</f>
        <v>0</v>
      </c>
      <c r="AN90" s="508">
        <f>IFERROR(INDEX(#REF!,MATCH(AN$4,#REF!,1)),0)</f>
        <v>0</v>
      </c>
      <c r="AO90" s="507">
        <f>IFERROR(INDEX(#REF!,MATCH(AO$4,#REF!,1)),0)</f>
        <v>0</v>
      </c>
      <c r="AP90" s="508">
        <f>IFERROR(INDEX(#REF!,MATCH(AP$4,#REF!,1)),0)</f>
        <v>0</v>
      </c>
      <c r="AQ90" s="508">
        <f>IFERROR(INDEX(#REF!,MATCH(AQ$4,#REF!,1)),0)</f>
        <v>0</v>
      </c>
      <c r="AR90" s="508">
        <f>IFERROR(INDEX(#REF!,MATCH(AR$4,#REF!,1)),0)</f>
        <v>0</v>
      </c>
      <c r="AS90" s="507">
        <f>IFERROR(INDEX(#REF!,MATCH(AS$4,#REF!,1)),0)</f>
        <v>0</v>
      </c>
      <c r="AT90" s="508">
        <f>IFERROR(INDEX(#REF!,MATCH(AT$4,#REF!,1)),0)</f>
        <v>0</v>
      </c>
      <c r="AU90" s="508">
        <f>IFERROR(INDEX(#REF!,MATCH(AU$4,#REF!,1)),0)</f>
        <v>0</v>
      </c>
      <c r="AV90" s="509">
        <f>IFERROR(INDEX(#REF!,MATCH(AV$4,#REF!,1)),0)</f>
        <v>0</v>
      </c>
      <c r="AW90" s="126"/>
      <c r="BR90" s="77">
        <f t="shared" si="354"/>
        <v>87</v>
      </c>
    </row>
    <row r="91" spans="1:70" ht="12" x14ac:dyDescent="0.15">
      <c r="A91" s="95"/>
      <c r="B91" s="191" t="s">
        <v>140</v>
      </c>
      <c r="C91" s="85"/>
      <c r="D91" s="85"/>
      <c r="E91" s="166" t="e">
        <f>IF(OR(#REF!="NASD",#REF!="NYSE"),1,INDEX(#REF!,MATCH(E$4,#REF!,1)))</f>
        <v>#REF!</v>
      </c>
      <c r="F91" s="294" t="e">
        <f>IF(OR(#REF!="NASD",#REF!="NYSE"),1,INDEX(#REF!,MATCH(F$4,#REF!,1)))</f>
        <v>#REF!</v>
      </c>
      <c r="G91" s="294" t="e">
        <f>IF(OR(#REF!="NASD",#REF!="NYSE"),1,INDEX(#REF!,MATCH(G$4,#REF!,1)))</f>
        <v>#REF!</v>
      </c>
      <c r="H91" s="294" t="e">
        <f>IF(OR(#REF!="NASD",#REF!="NYSE"),1,INDEX(#REF!,MATCH(H$4,#REF!,1)))</f>
        <v>#REF!</v>
      </c>
      <c r="I91" s="166" t="e">
        <f>IF(OR(#REF!="NASD",#REF!="NYSE"),1,INDEX(#REF!,MATCH(I$4,#REF!,1)))</f>
        <v>#REF!</v>
      </c>
      <c r="J91" s="294" t="e">
        <f>IF(OR(#REF!="NASD",#REF!="NYSE"),1,INDEX(#REF!,MATCH(J$4,#REF!,1)))</f>
        <v>#REF!</v>
      </c>
      <c r="K91" s="294" t="e">
        <f>IF(OR(#REF!="NASD",#REF!="NYSE"),1,INDEX(#REF!,MATCH(K$4,#REF!,1)))</f>
        <v>#REF!</v>
      </c>
      <c r="L91" s="294" t="e">
        <f>IF(OR(#REF!="NASD",#REF!="NYSE"),1,INDEX(#REF!,MATCH(L$4,#REF!,1)))</f>
        <v>#REF!</v>
      </c>
      <c r="M91" s="166" t="e">
        <f>IF(OR(#REF!="NASD",#REF!="NYSE"),1,INDEX(#REF!,MATCH(M$4,#REF!,1)))</f>
        <v>#REF!</v>
      </c>
      <c r="N91" s="294" t="e">
        <f>IF(OR(#REF!="NASD",#REF!="NYSE"),1,INDEX(#REF!,MATCH(N$4,#REF!,1)))</f>
        <v>#REF!</v>
      </c>
      <c r="O91" s="294" t="e">
        <f>IF(OR(#REF!="NASD",#REF!="NYSE"),1,INDEX(#REF!,MATCH(O$4,#REF!,1)))</f>
        <v>#REF!</v>
      </c>
      <c r="P91" s="294" t="e">
        <f>IF(OR(#REF!="NASD",#REF!="NYSE"),1,INDEX(#REF!,MATCH(P$4,#REF!,1)))</f>
        <v>#REF!</v>
      </c>
      <c r="Q91" s="166" t="e">
        <f>IF(OR(#REF!="NASD",#REF!="NYSE"),1,INDEX(#REF!,MATCH(Q$4,#REF!,1)))</f>
        <v>#REF!</v>
      </c>
      <c r="R91" s="294" t="e">
        <f>IF(OR(#REF!="NASD",#REF!="NYSE"),1,INDEX(#REF!,MATCH(R$4,#REF!,1)))</f>
        <v>#REF!</v>
      </c>
      <c r="S91" s="294" t="e">
        <f>IF(OR(#REF!="NASD",#REF!="NYSE"),1,INDEX(#REF!,MATCH(S$4,#REF!,1)))</f>
        <v>#REF!</v>
      </c>
      <c r="T91" s="294" t="e">
        <f>IF(OR(#REF!="NASD",#REF!="NYSE"),1,INDEX(#REF!,MATCH(T$4,#REF!,1)))</f>
        <v>#REF!</v>
      </c>
      <c r="U91" s="166" t="e">
        <f>IF(OR(#REF!="NASD",#REF!="NYSE"),1,INDEX(#REF!,MATCH(U$4,#REF!,1)))</f>
        <v>#REF!</v>
      </c>
      <c r="V91" s="294" t="e">
        <f>IF(OR(#REF!="NASD",#REF!="NYSE"),1,INDEX(#REF!,MATCH(V$4,#REF!,1)))</f>
        <v>#REF!</v>
      </c>
      <c r="W91" s="294" t="e">
        <f>IF(OR(#REF!="NASD",#REF!="NYSE"),1,INDEX(#REF!,MATCH(W$4,#REF!,1)))</f>
        <v>#REF!</v>
      </c>
      <c r="X91" s="294" t="e">
        <f>IF(OR(#REF!="NASD",#REF!="NYSE"),1,INDEX(#REF!,MATCH(X$4,#REF!,1)))</f>
        <v>#REF!</v>
      </c>
      <c r="Y91" s="166" t="e">
        <f>IF(OR(#REF!="NASD",#REF!="NYSE"),1,INDEX(#REF!,MATCH(Y$4,#REF!,1)))</f>
        <v>#REF!</v>
      </c>
      <c r="Z91" s="294" t="e">
        <f>IF(OR(#REF!="NASD",#REF!="NYSE"),1,INDEX(#REF!,MATCH(Z$4,#REF!,1)))</f>
        <v>#REF!</v>
      </c>
      <c r="AA91" s="294" t="e">
        <f>IF(OR(#REF!="NASD",#REF!="NYSE"),1,INDEX(#REF!,MATCH(AA$4,#REF!,1)))</f>
        <v>#REF!</v>
      </c>
      <c r="AB91" s="294" t="e">
        <f>IF(OR(#REF!="NASD",#REF!="NYSE"),1,INDEX(#REF!,MATCH(AB$4,#REF!,1)))</f>
        <v>#REF!</v>
      </c>
      <c r="AC91" s="166" t="e">
        <f>IF(OR(#REF!="NASD",#REF!="NYSE"),1,INDEX(#REF!,MATCH(AC$4,#REF!,1)))</f>
        <v>#REF!</v>
      </c>
      <c r="AD91" s="295" t="e">
        <f>IF(OR(#REF!="NASD",#REF!="NYSE"),1,INDEX(#REF!,MATCH(AD$4,#REF!,1)))</f>
        <v>#REF!</v>
      </c>
      <c r="AE91" s="295" t="e">
        <f>IF(OR(#REF!="NASD",#REF!="NYSE"),1,INDEX(#REF!,MATCH(AE$4,#REF!,1)))</f>
        <v>#REF!</v>
      </c>
      <c r="AF91" s="295" t="e">
        <f>IF(OR(#REF!="NASD",#REF!="NYSE"),1,INDEX(#REF!,MATCH(AF$4,#REF!,1)))</f>
        <v>#REF!</v>
      </c>
      <c r="AG91" s="168" t="e">
        <f>IF(OR(#REF!="NASD",#REF!="NYSE"),1,INDEX(#REF!,MATCH(AG$4,#REF!,1)))</f>
        <v>#REF!</v>
      </c>
      <c r="AH91" s="295" t="e">
        <f>IF(OR(#REF!="NASD",#REF!="NYSE"),1,INDEX(#REF!,MATCH(AH$4,#REF!,1)))</f>
        <v>#REF!</v>
      </c>
      <c r="AI91" s="295" t="e">
        <f>IF(OR(#REF!="NASD",#REF!="NYSE"),1,INDEX(#REF!,MATCH(AI$4,#REF!,1)))</f>
        <v>#REF!</v>
      </c>
      <c r="AJ91" s="295" t="e">
        <f>IF(OR(#REF!="NASD",#REF!="NYSE"),1,INDEX(#REF!,MATCH(AJ$4,#REF!,1)))</f>
        <v>#REF!</v>
      </c>
      <c r="AK91" s="168" t="e">
        <f>IF(OR(#REF!="NASD",#REF!="NYSE"),1,INDEX(#REF!,MATCH(AK$4,#REF!,1)))</f>
        <v>#REF!</v>
      </c>
      <c r="AL91" s="295" t="e">
        <f>IF(OR(#REF!="NASD",#REF!="NYSE"),1,INDEX(#REF!,MATCH(AL$4,#REF!,1)))</f>
        <v>#REF!</v>
      </c>
      <c r="AM91" s="295" t="e">
        <f>IF(OR(#REF!="NASD",#REF!="NYSE"),1,INDEX(#REF!,MATCH(AM$4,#REF!,1)))</f>
        <v>#REF!</v>
      </c>
      <c r="AN91" s="295" t="e">
        <f>IF(OR(#REF!="NASD",#REF!="NYSE"),1,INDEX(#REF!,MATCH(AN$4,#REF!,1)))</f>
        <v>#REF!</v>
      </c>
      <c r="AO91" s="168" t="e">
        <f>IF(OR(#REF!="NASD",#REF!="NYSE"),1,INDEX(#REF!,MATCH(AO$4,#REF!,1)))</f>
        <v>#REF!</v>
      </c>
      <c r="AP91" s="295" t="e">
        <f>IF(OR(#REF!="NASD",#REF!="NYSE"),1,INDEX(#REF!,MATCH(AP$4,#REF!,1)))</f>
        <v>#REF!</v>
      </c>
      <c r="AQ91" s="295" t="e">
        <f>IF(OR(#REF!="NASD",#REF!="NYSE"),1,INDEX(#REF!,MATCH(AQ$4,#REF!,1)))</f>
        <v>#REF!</v>
      </c>
      <c r="AR91" s="295" t="e">
        <f>IF(OR(#REF!="NASD",#REF!="NYSE"),1,INDEX(#REF!,MATCH(AR$4,#REF!,1)))</f>
        <v>#REF!</v>
      </c>
      <c r="AS91" s="168" t="e">
        <f>IF(OR(#REF!="NASD",#REF!="NYSE"),1,INDEX(#REF!,MATCH(AS$4,#REF!,1)))</f>
        <v>#REF!</v>
      </c>
      <c r="AT91" s="295" t="e">
        <f>IF(OR(#REF!="NASD",#REF!="NYSE"),1,INDEX(#REF!,MATCH(AT$4,#REF!,1)))</f>
        <v>#REF!</v>
      </c>
      <c r="AU91" s="295" t="e">
        <f>IF(OR(#REF!="NASD",#REF!="NYSE"),1,INDEX(#REF!,MATCH(AU$4,#REF!,1)))</f>
        <v>#REF!</v>
      </c>
      <c r="AV91" s="295" t="e">
        <f>IF(OR(#REF!="NASD",#REF!="NYSE"),1,INDEX(#REF!,MATCH(AV$4,#REF!,1)))</f>
        <v>#REF!</v>
      </c>
      <c r="AW91" s="126"/>
      <c r="BR91" s="77">
        <f t="shared" si="354"/>
        <v>88</v>
      </c>
    </row>
    <row r="92" spans="1:70" ht="12" x14ac:dyDescent="0.15">
      <c r="A92" s="95"/>
      <c r="B92" s="191" t="str">
        <f>"Share Price ("&amp;Reported!$A$3&amp;")"</f>
        <v>Share Price ()</v>
      </c>
      <c r="C92" s="85"/>
      <c r="D92" s="85"/>
      <c r="E92" s="166">
        <f>IFERROR(INDEX(#REF!,MATCH(E$4,#REF!,1)),0)</f>
        <v>0</v>
      </c>
      <c r="F92" s="294">
        <f>IFERROR(INDEX(#REF!,MATCH(F$4,#REF!,1)),0)</f>
        <v>0</v>
      </c>
      <c r="G92" s="294">
        <f>IFERROR(INDEX(#REF!,MATCH(G$4,#REF!,1)),0)</f>
        <v>0</v>
      </c>
      <c r="H92" s="294">
        <f>IFERROR(INDEX(#REF!,MATCH(H$4,#REF!,1)),0)</f>
        <v>0</v>
      </c>
      <c r="I92" s="166">
        <f>IFERROR(INDEX(#REF!,MATCH(I$4,#REF!,1)),0)</f>
        <v>0</v>
      </c>
      <c r="J92" s="294">
        <f>IFERROR(INDEX(#REF!,MATCH(J$4,#REF!,1)),0)</f>
        <v>0</v>
      </c>
      <c r="K92" s="294">
        <f>IFERROR(INDEX(#REF!,MATCH(K$4,#REF!,1)),0)</f>
        <v>0</v>
      </c>
      <c r="L92" s="294">
        <f>IFERROR(INDEX(#REF!,MATCH(L$4,#REF!,1)),0)</f>
        <v>0</v>
      </c>
      <c r="M92" s="166">
        <f>IFERROR(INDEX(#REF!,MATCH(M$4,#REF!,1)),0)</f>
        <v>0</v>
      </c>
      <c r="N92" s="294">
        <f>IFERROR(INDEX(#REF!,MATCH(N$4,#REF!,1)),0)</f>
        <v>0</v>
      </c>
      <c r="O92" s="294">
        <f>IFERROR(INDEX(#REF!,MATCH(O$4,#REF!,1)),0)</f>
        <v>0</v>
      </c>
      <c r="P92" s="294">
        <f>IFERROR(INDEX(#REF!,MATCH(P$4,#REF!,1)),0)</f>
        <v>0</v>
      </c>
      <c r="Q92" s="166">
        <f>IFERROR(INDEX(#REF!,MATCH(Q$4,#REF!,1)),0)</f>
        <v>0</v>
      </c>
      <c r="R92" s="294">
        <f>IFERROR(INDEX(#REF!,MATCH(R$4,#REF!,1)),0)</f>
        <v>0</v>
      </c>
      <c r="S92" s="294">
        <f>IFERROR(INDEX(#REF!,MATCH(S$4,#REF!,1)),0)</f>
        <v>0</v>
      </c>
      <c r="T92" s="294">
        <f>IFERROR(INDEX(#REF!,MATCH(T$4,#REF!,1)),0)</f>
        <v>0</v>
      </c>
      <c r="U92" s="166">
        <f>IFERROR(INDEX(#REF!,MATCH(U$4,#REF!,1)),0)</f>
        <v>0</v>
      </c>
      <c r="V92" s="294">
        <f>IFERROR(INDEX(#REF!,MATCH(V$4,#REF!,1)),0)</f>
        <v>0</v>
      </c>
      <c r="W92" s="294">
        <f>IFERROR(INDEX(#REF!,MATCH(W$4,#REF!,1)),0)</f>
        <v>0</v>
      </c>
      <c r="X92" s="294">
        <f>IFERROR(INDEX(#REF!,MATCH(X$4,#REF!,1)),0)</f>
        <v>0</v>
      </c>
      <c r="Y92" s="166">
        <f>IFERROR(INDEX(#REF!,MATCH(Y$4,#REF!,1)),0)</f>
        <v>0</v>
      </c>
      <c r="Z92" s="294">
        <f>IFERROR(INDEX(#REF!,MATCH(Z$4,#REF!,1)),0)</f>
        <v>0</v>
      </c>
      <c r="AA92" s="294">
        <f>IFERROR(INDEX(#REF!,MATCH(AA$4,#REF!,1)),0)</f>
        <v>0</v>
      </c>
      <c r="AB92" s="294">
        <f>IFERROR(INDEX(#REF!,MATCH(AB$4,#REF!,1)),0)</f>
        <v>0</v>
      </c>
      <c r="AC92" s="166">
        <f>IFERROR(INDEX(#REF!,MATCH(AC$4,#REF!,1)),0)</f>
        <v>0</v>
      </c>
      <c r="AD92" s="295">
        <f>IFERROR(INDEX(#REF!,MATCH(AD$4,#REF!,1)),0)</f>
        <v>0</v>
      </c>
      <c r="AE92" s="295">
        <f>IFERROR(INDEX(#REF!,MATCH(AE$4,#REF!,1)),0)</f>
        <v>0</v>
      </c>
      <c r="AF92" s="295">
        <f>IFERROR(INDEX(#REF!,MATCH(AF$4,#REF!,1)),0)</f>
        <v>0</v>
      </c>
      <c r="AG92" s="168">
        <f>IFERROR(INDEX(#REF!,MATCH(AG$4,#REF!,1)),0)</f>
        <v>0</v>
      </c>
      <c r="AH92" s="295">
        <f>IFERROR(INDEX(#REF!,MATCH(AH$4,#REF!,1)),0)</f>
        <v>0</v>
      </c>
      <c r="AI92" s="295">
        <f>IFERROR(INDEX(#REF!,MATCH(AI$4,#REF!,1)),0)</f>
        <v>0</v>
      </c>
      <c r="AJ92" s="295">
        <f>IFERROR(INDEX(#REF!,MATCH(AJ$4,#REF!,1)),0)</f>
        <v>0</v>
      </c>
      <c r="AK92" s="168">
        <f>IFERROR(INDEX(#REF!,MATCH(AK$4,#REF!,1)),0)</f>
        <v>0</v>
      </c>
      <c r="AL92" s="295">
        <f>IFERROR(INDEX(#REF!,MATCH(AL$4,#REF!,1)),0)</f>
        <v>0</v>
      </c>
      <c r="AM92" s="295">
        <f>IFERROR(INDEX(#REF!,MATCH(AM$4,#REF!,1)),0)</f>
        <v>0</v>
      </c>
      <c r="AN92" s="295">
        <f>IFERROR(INDEX(#REF!,MATCH(AN$4,#REF!,1)),0)</f>
        <v>0</v>
      </c>
      <c r="AO92" s="168">
        <f>IFERROR(INDEX(#REF!,MATCH(AO$4,#REF!,1)),0)</f>
        <v>0</v>
      </c>
      <c r="AP92" s="295">
        <f>IFERROR(INDEX(#REF!,MATCH(AP$4,#REF!,1)),0)</f>
        <v>0</v>
      </c>
      <c r="AQ92" s="295">
        <f>IFERROR(INDEX(#REF!,MATCH(AQ$4,#REF!,1)),0)</f>
        <v>0</v>
      </c>
      <c r="AR92" s="295">
        <f>IFERROR(INDEX(#REF!,MATCH(AR$4,#REF!,1)),0)</f>
        <v>0</v>
      </c>
      <c r="AS92" s="168">
        <f>IFERROR(INDEX(#REF!,MATCH(AS$4,#REF!,1)),0)</f>
        <v>0</v>
      </c>
      <c r="AT92" s="295">
        <f>IFERROR(INDEX(#REF!,MATCH(AT$4,#REF!,1)),0)</f>
        <v>0</v>
      </c>
      <c r="AU92" s="295">
        <f>IFERROR(INDEX(#REF!,MATCH(AU$4,#REF!,1)),0)</f>
        <v>0</v>
      </c>
      <c r="AV92" s="295">
        <f>IFERROR(INDEX(#REF!,MATCH(AV$4,#REF!,1)),0)</f>
        <v>0</v>
      </c>
      <c r="AW92" s="126"/>
      <c r="BR92" s="77">
        <f t="shared" si="354"/>
        <v>89</v>
      </c>
    </row>
    <row r="93" spans="1:70" ht="12" x14ac:dyDescent="0.15">
      <c r="A93" s="95"/>
      <c r="B93" s="191" t="s">
        <v>162</v>
      </c>
      <c r="C93" s="85"/>
      <c r="D93" s="85"/>
      <c r="E93" s="166"/>
      <c r="F93" s="306" t="str">
        <f>IFERROR((F92/E92)^4-1,"")</f>
        <v/>
      </c>
      <c r="G93" s="306" t="str">
        <f t="shared" ref="G93:AC93" si="355">IFERROR((G92/F92)^4-1,"")</f>
        <v/>
      </c>
      <c r="H93" s="306" t="str">
        <f t="shared" si="355"/>
        <v/>
      </c>
      <c r="I93" s="305" t="str">
        <f t="shared" si="355"/>
        <v/>
      </c>
      <c r="J93" s="306" t="str">
        <f t="shared" si="355"/>
        <v/>
      </c>
      <c r="K93" s="306" t="str">
        <f t="shared" si="355"/>
        <v/>
      </c>
      <c r="L93" s="306" t="str">
        <f t="shared" si="355"/>
        <v/>
      </c>
      <c r="M93" s="305" t="str">
        <f t="shared" si="355"/>
        <v/>
      </c>
      <c r="N93" s="306" t="str">
        <f t="shared" si="355"/>
        <v/>
      </c>
      <c r="O93" s="306" t="str">
        <f t="shared" si="355"/>
        <v/>
      </c>
      <c r="P93" s="306" t="str">
        <f t="shared" si="355"/>
        <v/>
      </c>
      <c r="Q93" s="305" t="str">
        <f t="shared" si="355"/>
        <v/>
      </c>
      <c r="R93" s="306" t="str">
        <f t="shared" si="355"/>
        <v/>
      </c>
      <c r="S93" s="306" t="str">
        <f t="shared" si="355"/>
        <v/>
      </c>
      <c r="T93" s="306" t="str">
        <f t="shared" si="355"/>
        <v/>
      </c>
      <c r="U93" s="305" t="str">
        <f t="shared" si="355"/>
        <v/>
      </c>
      <c r="V93" s="306" t="str">
        <f t="shared" si="355"/>
        <v/>
      </c>
      <c r="W93" s="306" t="str">
        <f t="shared" si="355"/>
        <v/>
      </c>
      <c r="X93" s="306" t="str">
        <f t="shared" si="355"/>
        <v/>
      </c>
      <c r="Y93" s="305" t="str">
        <f t="shared" si="355"/>
        <v/>
      </c>
      <c r="Z93" s="306" t="str">
        <f t="shared" si="355"/>
        <v/>
      </c>
      <c r="AA93" s="306" t="str">
        <f t="shared" si="355"/>
        <v/>
      </c>
      <c r="AB93" s="306" t="str">
        <f t="shared" si="355"/>
        <v/>
      </c>
      <c r="AC93" s="305" t="str">
        <f t="shared" si="355"/>
        <v/>
      </c>
      <c r="AD93" s="295"/>
      <c r="AE93" s="295"/>
      <c r="AF93" s="295"/>
      <c r="AG93" s="168"/>
      <c r="AH93" s="295"/>
      <c r="AI93" s="295"/>
      <c r="AJ93" s="295"/>
      <c r="AK93" s="168"/>
      <c r="AL93" s="295"/>
      <c r="AM93" s="295"/>
      <c r="AN93" s="295"/>
      <c r="AO93" s="168"/>
      <c r="AP93" s="295"/>
      <c r="AQ93" s="295"/>
      <c r="AR93" s="295"/>
      <c r="AS93" s="168"/>
      <c r="AT93" s="295"/>
      <c r="AU93" s="295"/>
      <c r="AV93" s="295"/>
      <c r="AW93" s="126"/>
      <c r="BR93" s="77"/>
    </row>
    <row r="94" spans="1:70" ht="12" x14ac:dyDescent="0.15">
      <c r="A94" s="95"/>
      <c r="B94" s="191" t="s">
        <v>205</v>
      </c>
      <c r="C94" s="85"/>
      <c r="D94" s="85"/>
      <c r="E94" s="166"/>
      <c r="F94" s="306" t="str">
        <f ca="1">IFERROR(_xlfn.STDEV.P(OFFSET(INDIRECT("'Price History'!"&amp;ADDRESS(MATCH(F4,#REF!,1)+5,12)),0,0,-(MATCH(F$4,#REF!)-MATCH(E$4,#REF!)),1)),"")</f>
        <v/>
      </c>
      <c r="G94" s="306" t="str">
        <f ca="1">IFERROR(_xlfn.STDEV.P(OFFSET(INDIRECT("'Price History'!"&amp;ADDRESS(MATCH(G4,#REF!,1)+5,12)),0,0,-(MATCH(G$4,#REF!)-MATCH(F$4,#REF!)),1)),"")</f>
        <v/>
      </c>
      <c r="H94" s="306" t="str">
        <f ca="1">IFERROR(_xlfn.STDEV.P(OFFSET(INDIRECT("'Price History'!"&amp;ADDRESS(MATCH(H4,#REF!,1)+5,12)),0,0,-(MATCH(H$4,#REF!)-MATCH(G$4,#REF!)),1)),"")</f>
        <v/>
      </c>
      <c r="I94" s="305" t="str">
        <f ca="1">IFERROR(_xlfn.STDEV.P(OFFSET(INDIRECT("'Price History'!"&amp;ADDRESS(MATCH(I4,#REF!,1)+5,12)),0,0,-(MATCH(I$4,#REF!)-MATCH(H$4,#REF!)),1)),"")</f>
        <v/>
      </c>
      <c r="J94" s="306" t="str">
        <f ca="1">IFERROR(_xlfn.STDEV.P(OFFSET(INDIRECT("'Price History'!"&amp;ADDRESS(MATCH(J4,#REF!,1)+5,12)),0,0,-(MATCH(J$4,#REF!)-MATCH(I$4,#REF!)),1)),"")</f>
        <v/>
      </c>
      <c r="K94" s="306" t="str">
        <f ca="1">IFERROR(_xlfn.STDEV.P(OFFSET(INDIRECT("'Price History'!"&amp;ADDRESS(MATCH(K4,#REF!,1)+5,12)),0,0,-(MATCH(K$4,#REF!)-MATCH(J$4,#REF!)),1)),"")</f>
        <v/>
      </c>
      <c r="L94" s="306" t="str">
        <f ca="1">IFERROR(_xlfn.STDEV.P(OFFSET(INDIRECT("'Price History'!"&amp;ADDRESS(MATCH(L4,#REF!,1)+5,12)),0,0,-(MATCH(L$4,#REF!)-MATCH(K$4,#REF!)),1)),"")</f>
        <v/>
      </c>
      <c r="M94" s="305" t="str">
        <f ca="1">IFERROR(_xlfn.STDEV.P(OFFSET(INDIRECT("'Price History'!"&amp;ADDRESS(MATCH(M4,#REF!,1)+5,12)),0,0,-(MATCH(M$4,#REF!)-MATCH(L$4,#REF!)),1)),"")</f>
        <v/>
      </c>
      <c r="N94" s="306" t="str">
        <f ca="1">IFERROR(_xlfn.STDEV.P(OFFSET(INDIRECT("'Price History'!"&amp;ADDRESS(MATCH(N4,#REF!,1)+5,12)),0,0,-(MATCH(N$4,#REF!)-MATCH(M$4,#REF!)),1)),"")</f>
        <v/>
      </c>
      <c r="O94" s="306" t="str">
        <f ca="1">IFERROR(_xlfn.STDEV.P(OFFSET(INDIRECT("'Price History'!"&amp;ADDRESS(MATCH(O4,#REF!,1)+5,12)),0,0,-(MATCH(O$4,#REF!)-MATCH(N$4,#REF!)),1)),"")</f>
        <v/>
      </c>
      <c r="P94" s="306" t="str">
        <f ca="1">IFERROR(_xlfn.STDEV.P(OFFSET(INDIRECT("'Price History'!"&amp;ADDRESS(MATCH(P4,#REF!,1)+5,12)),0,0,-(MATCH(P$4,#REF!)-MATCH(O$4,#REF!)),1)),"")</f>
        <v/>
      </c>
      <c r="Q94" s="305" t="str">
        <f ca="1">IFERROR(_xlfn.STDEV.P(OFFSET(INDIRECT("'Price History'!"&amp;ADDRESS(MATCH(Q4,#REF!,1)+5,12)),0,0,-(MATCH(Q$4,#REF!)-MATCH(P$4,#REF!)),1)),"")</f>
        <v/>
      </c>
      <c r="R94" s="306" t="str">
        <f ca="1">IFERROR(_xlfn.STDEV.P(OFFSET(INDIRECT("'Price History'!"&amp;ADDRESS(MATCH(R4,#REF!,1)+5,12)),0,0,-(MATCH(R$4,#REF!)-MATCH(Q$4,#REF!)),1)),"")</f>
        <v/>
      </c>
      <c r="S94" s="306" t="str">
        <f ca="1">IFERROR(_xlfn.STDEV.P(OFFSET(INDIRECT("'Price History'!"&amp;ADDRESS(MATCH(S4,#REF!,1)+5,12)),0,0,-(MATCH(S$4,#REF!)-MATCH(R$4,#REF!)),1)),"")</f>
        <v/>
      </c>
      <c r="T94" s="306" t="str">
        <f ca="1">IFERROR(_xlfn.STDEV.P(OFFSET(INDIRECT("'Price History'!"&amp;ADDRESS(MATCH(T4,#REF!,1)+5,12)),0,0,-(MATCH(T$4,#REF!)-MATCH(S$4,#REF!)),1)),"")</f>
        <v/>
      </c>
      <c r="U94" s="305" t="str">
        <f ca="1">IFERROR(_xlfn.STDEV.P(OFFSET(INDIRECT("'Price History'!"&amp;ADDRESS(MATCH(U4,#REF!,1)+5,12)),0,0,-(MATCH(U$4,#REF!)-MATCH(T$4,#REF!)),1)),"")</f>
        <v/>
      </c>
      <c r="V94" s="306" t="str">
        <f ca="1">IFERROR(_xlfn.STDEV.P(OFFSET(INDIRECT("'Price History'!"&amp;ADDRESS(MATCH(V4,#REF!,1)+5,12)),0,0,-(MATCH(V$4,#REF!)-MATCH(U$4,#REF!)),1)),"")</f>
        <v/>
      </c>
      <c r="W94" s="306" t="str">
        <f ca="1">IFERROR(_xlfn.STDEV.P(OFFSET(INDIRECT("'Price History'!"&amp;ADDRESS(MATCH(W4,#REF!,1)+5,12)),0,0,-(MATCH(W$4,#REF!)-MATCH(V$4,#REF!)),1)),"")</f>
        <v/>
      </c>
      <c r="X94" s="306" t="str">
        <f ca="1">IFERROR(_xlfn.STDEV.P(OFFSET(INDIRECT("'Price History'!"&amp;ADDRESS(MATCH(X4,#REF!,1)+5,12)),0,0,-(MATCH(X$4,#REF!)-MATCH(W$4,#REF!)),1)),"")</f>
        <v/>
      </c>
      <c r="Y94" s="305" t="str">
        <f ca="1">IFERROR(_xlfn.STDEV.P(OFFSET(INDIRECT("'Price History'!"&amp;ADDRESS(MATCH(Y4,#REF!,1)+5,12)),0,0,-(MATCH(Y$4,#REF!)-MATCH(X$4,#REF!)),1)),"")</f>
        <v/>
      </c>
      <c r="Z94" s="306" t="str">
        <f ca="1">IFERROR(_xlfn.STDEV.P(OFFSET(INDIRECT("'Price History'!"&amp;ADDRESS(MATCH(Z4,#REF!,1)+5,12)),0,0,-(MATCH(Z$4,#REF!)-MATCH(Y$4,#REF!)),1)),"")</f>
        <v/>
      </c>
      <c r="AA94" s="306" t="str">
        <f ca="1">IFERROR(_xlfn.STDEV.P(OFFSET(INDIRECT("'Price History'!"&amp;ADDRESS(MATCH(AA4,#REF!,1)+5,12)),0,0,-(MATCH(AA$4,#REF!)-MATCH(Z$4,#REF!)),1)),"")</f>
        <v/>
      </c>
      <c r="AB94" s="306" t="str">
        <f ca="1">IFERROR(_xlfn.STDEV.P(OFFSET(INDIRECT("'Price History'!"&amp;ADDRESS(MATCH(AB4,#REF!,1)+5,12)),0,0,-(MATCH(AB$4,#REF!)-MATCH(AA$4,#REF!)),1)),"")</f>
        <v/>
      </c>
      <c r="AC94" s="305" t="str">
        <f ca="1">IFERROR(_xlfn.STDEV.P(OFFSET(INDIRECT("'Price History'!"&amp;ADDRESS(MATCH(AC4,#REF!,1)+5,12)),0,0,-(MATCH(AC$4,#REF!)-MATCH(AB$4,#REF!)),1)),"")</f>
        <v/>
      </c>
      <c r="AD94" s="326"/>
      <c r="AE94" s="326"/>
      <c r="AF94" s="326"/>
      <c r="AG94" s="325"/>
      <c r="AH94" s="326"/>
      <c r="AI94" s="295"/>
      <c r="AJ94" s="295"/>
      <c r="AK94" s="168"/>
      <c r="AL94" s="295"/>
      <c r="AM94" s="295"/>
      <c r="AN94" s="295"/>
      <c r="AO94" s="168"/>
      <c r="AP94" s="295"/>
      <c r="AQ94" s="295"/>
      <c r="AR94" s="295"/>
      <c r="AS94" s="168"/>
      <c r="AT94" s="295"/>
      <c r="AU94" s="295"/>
      <c r="AV94" s="295"/>
      <c r="AW94" s="126"/>
      <c r="BR94" s="77"/>
    </row>
    <row r="95" spans="1:70" ht="12" x14ac:dyDescent="0.15">
      <c r="A95" s="95"/>
      <c r="C95" s="85"/>
      <c r="D95" s="85"/>
      <c r="E95" s="125"/>
      <c r="F95" s="140"/>
      <c r="G95" s="140"/>
      <c r="H95" s="140"/>
      <c r="I95" s="125"/>
      <c r="J95" s="140"/>
      <c r="K95" s="140"/>
      <c r="L95" s="140"/>
      <c r="M95" s="125"/>
      <c r="N95" s="140"/>
      <c r="O95" s="140"/>
      <c r="P95" s="140"/>
      <c r="Q95" s="125"/>
      <c r="R95" s="140"/>
      <c r="S95" s="140"/>
      <c r="T95" s="140"/>
      <c r="U95" s="125"/>
      <c r="V95" s="140"/>
      <c r="W95" s="140"/>
      <c r="X95" s="140"/>
      <c r="Y95" s="125"/>
      <c r="Z95" s="140"/>
      <c r="AA95" s="140"/>
      <c r="AB95" s="140"/>
      <c r="AC95" s="125"/>
      <c r="AD95" s="92"/>
      <c r="AE95" s="92"/>
      <c r="AF95" s="92"/>
      <c r="AG95" s="126"/>
      <c r="AH95" s="92"/>
      <c r="AI95" s="92"/>
      <c r="AJ95" s="92"/>
      <c r="AK95" s="126"/>
      <c r="AL95" s="92"/>
      <c r="AM95" s="92"/>
      <c r="AN95" s="92"/>
      <c r="AO95" s="126"/>
      <c r="AP95" s="92"/>
      <c r="AQ95" s="92"/>
      <c r="AR95" s="92"/>
      <c r="AS95" s="126"/>
      <c r="AT95" s="92"/>
      <c r="AU95" s="92"/>
      <c r="AV95" s="92"/>
      <c r="AW95" s="126"/>
      <c r="BR95" s="77">
        <f t="shared" si="354"/>
        <v>92</v>
      </c>
    </row>
    <row r="96" spans="1:70" ht="12" x14ac:dyDescent="0.15">
      <c r="A96" s="95"/>
      <c r="B96" s="467" t="s">
        <v>160</v>
      </c>
      <c r="C96" s="85"/>
      <c r="D96" s="85"/>
      <c r="E96" s="302"/>
      <c r="F96" s="301"/>
      <c r="G96" s="301"/>
      <c r="H96" s="301"/>
      <c r="I96" s="302" t="str">
        <f t="shared" ref="I96:AV96" si="356">IFERROR(IF(I110&gt;0,I110/SUM(F52:I52),""),"")</f>
        <v/>
      </c>
      <c r="J96" s="301" t="str">
        <f t="shared" si="356"/>
        <v/>
      </c>
      <c r="K96" s="301" t="str">
        <f t="shared" si="356"/>
        <v/>
      </c>
      <c r="L96" s="301" t="str">
        <f t="shared" si="356"/>
        <v/>
      </c>
      <c r="M96" s="302" t="str">
        <f t="shared" si="356"/>
        <v/>
      </c>
      <c r="N96" s="301" t="str">
        <f t="shared" si="356"/>
        <v/>
      </c>
      <c r="O96" s="301" t="str">
        <f t="shared" si="356"/>
        <v/>
      </c>
      <c r="P96" s="301" t="str">
        <f t="shared" si="356"/>
        <v/>
      </c>
      <c r="Q96" s="302" t="str">
        <f t="shared" si="356"/>
        <v/>
      </c>
      <c r="R96" s="301" t="str">
        <f t="shared" si="356"/>
        <v/>
      </c>
      <c r="S96" s="301" t="str">
        <f t="shared" si="356"/>
        <v/>
      </c>
      <c r="T96" s="301" t="str">
        <f t="shared" si="356"/>
        <v/>
      </c>
      <c r="U96" s="302" t="str">
        <f t="shared" si="356"/>
        <v/>
      </c>
      <c r="V96" s="301" t="str">
        <f t="shared" si="356"/>
        <v/>
      </c>
      <c r="W96" s="301" t="str">
        <f t="shared" si="356"/>
        <v/>
      </c>
      <c r="X96" s="301" t="str">
        <f t="shared" si="356"/>
        <v/>
      </c>
      <c r="Y96" s="302" t="str">
        <f t="shared" si="356"/>
        <v/>
      </c>
      <c r="Z96" s="301" t="str">
        <f t="shared" si="356"/>
        <v/>
      </c>
      <c r="AA96" s="301" t="str">
        <f t="shared" si="356"/>
        <v/>
      </c>
      <c r="AB96" s="301" t="str">
        <f t="shared" si="356"/>
        <v/>
      </c>
      <c r="AC96" s="302" t="str">
        <f t="shared" si="356"/>
        <v/>
      </c>
      <c r="AD96" s="257" t="str">
        <f t="shared" si="356"/>
        <v/>
      </c>
      <c r="AE96" s="257" t="str">
        <f t="shared" si="356"/>
        <v/>
      </c>
      <c r="AF96" s="257" t="str">
        <f t="shared" si="356"/>
        <v/>
      </c>
      <c r="AG96" s="256" t="str">
        <f t="shared" si="356"/>
        <v/>
      </c>
      <c r="AH96" s="257" t="str">
        <f t="shared" si="356"/>
        <v/>
      </c>
      <c r="AI96" s="257" t="str">
        <f t="shared" si="356"/>
        <v/>
      </c>
      <c r="AJ96" s="257" t="str">
        <f t="shared" si="356"/>
        <v/>
      </c>
      <c r="AK96" s="256" t="str">
        <f t="shared" si="356"/>
        <v/>
      </c>
      <c r="AL96" s="257" t="str">
        <f t="shared" si="356"/>
        <v/>
      </c>
      <c r="AM96" s="257" t="str">
        <f t="shared" si="356"/>
        <v/>
      </c>
      <c r="AN96" s="257" t="str">
        <f t="shared" si="356"/>
        <v/>
      </c>
      <c r="AO96" s="256" t="str">
        <f t="shared" si="356"/>
        <v/>
      </c>
      <c r="AP96" s="257" t="str">
        <f t="shared" si="356"/>
        <v/>
      </c>
      <c r="AQ96" s="257" t="str">
        <f t="shared" si="356"/>
        <v/>
      </c>
      <c r="AR96" s="257" t="str">
        <f t="shared" si="356"/>
        <v/>
      </c>
      <c r="AS96" s="256" t="str">
        <f t="shared" si="356"/>
        <v/>
      </c>
      <c r="AT96" s="257" t="str">
        <f t="shared" si="356"/>
        <v/>
      </c>
      <c r="AU96" s="257" t="str">
        <f t="shared" si="356"/>
        <v/>
      </c>
      <c r="AV96" s="257" t="str">
        <f t="shared" si="356"/>
        <v/>
      </c>
      <c r="AW96" s="126"/>
      <c r="BR96" s="77">
        <f t="shared" si="354"/>
        <v>93</v>
      </c>
    </row>
    <row r="97" spans="1:70" ht="12" x14ac:dyDescent="0.15">
      <c r="A97" s="95"/>
      <c r="B97" s="467" t="s">
        <v>86</v>
      </c>
      <c r="C97" s="85" t="s">
        <v>179</v>
      </c>
      <c r="D97" s="85">
        <v>100</v>
      </c>
      <c r="E97" s="302"/>
      <c r="F97" s="301"/>
      <c r="G97" s="301"/>
      <c r="H97" s="301"/>
      <c r="I97" s="302">
        <f t="shared" ref="I97:AV97" si="357">IFERROR(MAX(0,MIN(I$110/SUM(F74:I74),$D97)),0)</f>
        <v>0</v>
      </c>
      <c r="J97" s="301">
        <f t="shared" si="357"/>
        <v>0</v>
      </c>
      <c r="K97" s="301">
        <f t="shared" si="357"/>
        <v>0</v>
      </c>
      <c r="L97" s="301">
        <f t="shared" si="357"/>
        <v>0</v>
      </c>
      <c r="M97" s="302">
        <f t="shared" si="357"/>
        <v>0</v>
      </c>
      <c r="N97" s="301">
        <f t="shared" si="357"/>
        <v>0</v>
      </c>
      <c r="O97" s="301">
        <f t="shared" si="357"/>
        <v>0</v>
      </c>
      <c r="P97" s="301">
        <f t="shared" si="357"/>
        <v>0</v>
      </c>
      <c r="Q97" s="302">
        <f t="shared" si="357"/>
        <v>0</v>
      </c>
      <c r="R97" s="301">
        <f t="shared" si="357"/>
        <v>0</v>
      </c>
      <c r="S97" s="301">
        <f t="shared" si="357"/>
        <v>0</v>
      </c>
      <c r="T97" s="301">
        <f t="shared" si="357"/>
        <v>0</v>
      </c>
      <c r="U97" s="302">
        <f t="shared" si="357"/>
        <v>0</v>
      </c>
      <c r="V97" s="301">
        <f t="shared" si="357"/>
        <v>0</v>
      </c>
      <c r="W97" s="301">
        <f t="shared" si="357"/>
        <v>0</v>
      </c>
      <c r="X97" s="301">
        <f t="shared" si="357"/>
        <v>0</v>
      </c>
      <c r="Y97" s="302">
        <f t="shared" si="357"/>
        <v>0</v>
      </c>
      <c r="Z97" s="301">
        <f t="shared" si="357"/>
        <v>0</v>
      </c>
      <c r="AA97" s="301">
        <f t="shared" si="357"/>
        <v>0</v>
      </c>
      <c r="AB97" s="301">
        <f t="shared" si="357"/>
        <v>0</v>
      </c>
      <c r="AC97" s="302">
        <f t="shared" si="357"/>
        <v>0</v>
      </c>
      <c r="AD97" s="257">
        <f t="shared" si="357"/>
        <v>0</v>
      </c>
      <c r="AE97" s="257">
        <f t="shared" si="357"/>
        <v>0</v>
      </c>
      <c r="AF97" s="257">
        <f t="shared" si="357"/>
        <v>0</v>
      </c>
      <c r="AG97" s="256">
        <f t="shared" si="357"/>
        <v>0</v>
      </c>
      <c r="AH97" s="257">
        <f t="shared" si="357"/>
        <v>0</v>
      </c>
      <c r="AI97" s="257">
        <f t="shared" si="357"/>
        <v>0</v>
      </c>
      <c r="AJ97" s="257">
        <f t="shared" si="357"/>
        <v>0</v>
      </c>
      <c r="AK97" s="256">
        <f t="shared" si="357"/>
        <v>0</v>
      </c>
      <c r="AL97" s="257">
        <f t="shared" si="357"/>
        <v>0</v>
      </c>
      <c r="AM97" s="257">
        <f t="shared" si="357"/>
        <v>0</v>
      </c>
      <c r="AN97" s="257">
        <f t="shared" si="357"/>
        <v>0</v>
      </c>
      <c r="AO97" s="256">
        <f t="shared" si="357"/>
        <v>0</v>
      </c>
      <c r="AP97" s="257">
        <f t="shared" si="357"/>
        <v>0</v>
      </c>
      <c r="AQ97" s="257">
        <f t="shared" si="357"/>
        <v>0</v>
      </c>
      <c r="AR97" s="257">
        <f t="shared" si="357"/>
        <v>0</v>
      </c>
      <c r="AS97" s="256">
        <f t="shared" si="357"/>
        <v>0</v>
      </c>
      <c r="AT97" s="257">
        <f t="shared" si="357"/>
        <v>0</v>
      </c>
      <c r="AU97" s="257">
        <f t="shared" si="357"/>
        <v>0</v>
      </c>
      <c r="AV97" s="257">
        <f t="shared" si="357"/>
        <v>0</v>
      </c>
      <c r="AW97" s="126"/>
      <c r="BR97" s="77">
        <f t="shared" si="354"/>
        <v>94</v>
      </c>
    </row>
    <row r="98" spans="1:70" ht="12" x14ac:dyDescent="0.15">
      <c r="A98" s="95"/>
      <c r="B98" s="192"/>
      <c r="C98" s="85"/>
      <c r="D98" s="85"/>
      <c r="E98" s="125"/>
      <c r="F98" s="140"/>
      <c r="G98" s="140"/>
      <c r="H98" s="140"/>
      <c r="I98" s="125"/>
      <c r="J98" s="140"/>
      <c r="K98" s="140"/>
      <c r="L98" s="140"/>
      <c r="M98" s="125"/>
      <c r="N98" s="140"/>
      <c r="O98" s="140"/>
      <c r="P98" s="140"/>
      <c r="Q98" s="125"/>
      <c r="R98" s="140"/>
      <c r="S98" s="140"/>
      <c r="T98" s="140"/>
      <c r="U98" s="125"/>
      <c r="V98" s="140"/>
      <c r="W98" s="140"/>
      <c r="X98" s="140"/>
      <c r="Y98" s="125"/>
      <c r="Z98" s="140"/>
      <c r="AA98" s="140"/>
      <c r="AB98" s="140"/>
      <c r="AC98" s="125"/>
      <c r="AD98" s="92"/>
      <c r="AE98" s="92"/>
      <c r="AF98" s="92"/>
      <c r="AG98" s="126"/>
      <c r="AH98" s="92"/>
      <c r="AI98" s="92"/>
      <c r="AJ98" s="92"/>
      <c r="AK98" s="126"/>
      <c r="AL98" s="92"/>
      <c r="AM98" s="92"/>
      <c r="AN98" s="92"/>
      <c r="AO98" s="126"/>
      <c r="AP98" s="92"/>
      <c r="AQ98" s="92"/>
      <c r="AR98" s="92"/>
      <c r="AS98" s="126"/>
      <c r="AT98" s="92"/>
      <c r="AU98" s="92"/>
      <c r="AV98" s="92"/>
      <c r="AW98" s="126"/>
      <c r="BR98" s="77">
        <f t="shared" si="354"/>
        <v>95</v>
      </c>
    </row>
    <row r="99" spans="1:70" ht="11.25" customHeight="1" x14ac:dyDescent="0.2">
      <c r="A99" s="96"/>
      <c r="B99" s="467" t="s">
        <v>74</v>
      </c>
      <c r="C99" s="128">
        <v>0</v>
      </c>
      <c r="D99" s="85"/>
      <c r="E99" s="166">
        <f>Reported!C113</f>
        <v>0</v>
      </c>
      <c r="F99" s="294">
        <f>Reported!D113</f>
        <v>0</v>
      </c>
      <c r="G99" s="294">
        <f>Reported!E113</f>
        <v>0</v>
      </c>
      <c r="H99" s="294">
        <f>Reported!F113</f>
        <v>0</v>
      </c>
      <c r="I99" s="166">
        <f>Reported!G113</f>
        <v>0</v>
      </c>
      <c r="J99" s="294">
        <f>Reported!H113</f>
        <v>0</v>
      </c>
      <c r="K99" s="294">
        <f>Reported!I113</f>
        <v>0</v>
      </c>
      <c r="L99" s="294">
        <f>Reported!J113</f>
        <v>0</v>
      </c>
      <c r="M99" s="166">
        <f>Reported!K113</f>
        <v>0</v>
      </c>
      <c r="N99" s="294">
        <f>Reported!L113</f>
        <v>0</v>
      </c>
      <c r="O99" s="294">
        <f>Reported!M113</f>
        <v>0</v>
      </c>
      <c r="P99" s="294">
        <f>Reported!N113</f>
        <v>0</v>
      </c>
      <c r="Q99" s="166">
        <f>Reported!O113</f>
        <v>0</v>
      </c>
      <c r="R99" s="294">
        <f>Reported!P113</f>
        <v>0</v>
      </c>
      <c r="S99" s="294">
        <f>Reported!Q113</f>
        <v>0</v>
      </c>
      <c r="T99" s="294">
        <f>Reported!R113</f>
        <v>0</v>
      </c>
      <c r="U99" s="166">
        <f>Reported!S113</f>
        <v>0</v>
      </c>
      <c r="V99" s="294">
        <f>Reported!T113</f>
        <v>0</v>
      </c>
      <c r="W99" s="294">
        <f>Reported!U113</f>
        <v>0</v>
      </c>
      <c r="X99" s="294">
        <f>Reported!V113</f>
        <v>0</v>
      </c>
      <c r="Y99" s="166">
        <f>Reported!W113</f>
        <v>0</v>
      </c>
      <c r="Z99" s="294">
        <f>Reported!X113</f>
        <v>0</v>
      </c>
      <c r="AA99" s="294">
        <f>Reported!Y113</f>
        <v>0</v>
      </c>
      <c r="AB99" s="294">
        <f>Reported!Z113</f>
        <v>0</v>
      </c>
      <c r="AC99" s="166">
        <f>Reported!AA113</f>
        <v>0</v>
      </c>
      <c r="AD99" s="72">
        <f>IFERROR((SUM(Z99:AC99)*(1+$BK99))*AY99/4,0)</f>
        <v>0</v>
      </c>
      <c r="AE99" s="72">
        <f>IFERROR((SUM(AA99:AD99)*(1+$BK99))*AZ99/4,0)</f>
        <v>0</v>
      </c>
      <c r="AF99" s="73">
        <f>IFERROR((SUM(AB99:AE99)*(1+$BK99))*BA99/4,0)</f>
        <v>0</v>
      </c>
      <c r="AG99" s="71">
        <f>IFERROR((SUM(AC99:AF99)*(1+$BL99))*AX99/4,0)</f>
        <v>0</v>
      </c>
      <c r="AH99" s="72">
        <f>IFERROR((SUM(AD99:AG99)*(1+$BL99))*AY99/4,0)</f>
        <v>0</v>
      </c>
      <c r="AI99" s="72">
        <f>IFERROR((SUM(AE99:AH99)*(1+$BL99))*AZ99/4,0)</f>
        <v>0</v>
      </c>
      <c r="AJ99" s="73">
        <f>IFERROR((SUM(AF99:AI99)*(1+$BL99))*BA99/4,0)</f>
        <v>0</v>
      </c>
      <c r="AK99" s="71">
        <f>IFERROR((SUM(AG99:AJ99)*(1+$BM99))*AX99/4,0)</f>
        <v>0</v>
      </c>
      <c r="AL99" s="72">
        <f>IFERROR((SUM(AH99:AK99)*(1+$BM99))*AY99/4,0)</f>
        <v>0</v>
      </c>
      <c r="AM99" s="72">
        <f>IFERROR((SUM(AI99:AL99)*(1+$BM99))*AZ99/4,0)</f>
        <v>0</v>
      </c>
      <c r="AN99" s="73">
        <f>IFERROR((SUM(AJ99:AM99)*(1+$BM99))*BA99/4,0)</f>
        <v>0</v>
      </c>
      <c r="AO99" s="71">
        <f t="shared" ref="AO99:AV99" si="358">IFERROR((SUM(AK99:AN99)*(1+$BN99))*AX99/4,0)</f>
        <v>0</v>
      </c>
      <c r="AP99" s="72">
        <f t="shared" si="358"/>
        <v>0</v>
      </c>
      <c r="AQ99" s="72">
        <f t="shared" si="358"/>
        <v>0</v>
      </c>
      <c r="AR99" s="73">
        <f t="shared" si="358"/>
        <v>0</v>
      </c>
      <c r="AS99" s="71">
        <f t="shared" si="358"/>
        <v>0</v>
      </c>
      <c r="AT99" s="72">
        <f t="shared" si="358"/>
        <v>0</v>
      </c>
      <c r="AU99" s="72">
        <f t="shared" si="358"/>
        <v>0</v>
      </c>
      <c r="AV99" s="73">
        <f t="shared" si="358"/>
        <v>0</v>
      </c>
      <c r="AW99" s="17"/>
      <c r="AX99" s="293">
        <f>IFERROR(1-(1-$BB99)*(1-(SUMIFS($E99:$AR99,$E$3:$AR$3,#REF!,$E$5:$AR$5,"Actual"))/SUMIFS($E99:$AR99,$E$5:$AR$5,"Actual")*4),0)</f>
        <v>0</v>
      </c>
      <c r="AY99" s="293">
        <f>IFERROR(1-(1-$BB99)*(1-(SUMIFS($E99:$AR99,$E$3:$AR$3,#REF!,$E$5:$AR$5,"Actual"))/SUMIFS($E99:$AR99,$E$5:$AR$5,"Actual")*4),0)</f>
        <v>0</v>
      </c>
      <c r="AZ99" s="293">
        <f>IFERROR(1-(1-$BB99)*(1-(SUMIFS($E99:$AR99,$E$3:$AR$3,#REF!,$E$5:$AR$5,"Actual"))/SUMIFS($E99:$AR99,$E$5:$AR$5,"Actual")*4),0)</f>
        <v>0</v>
      </c>
      <c r="BA99" s="293">
        <f>IFERROR(1-(1-$BB99)*(1-(SUMIFS($E99:$AR99,$E$3:$AR$3,#REF!,$E$5:$AR$5,"Actual"))/SUMIFS($E99:$AR99,$E$5:$AR$5,"Actual")*4),0)</f>
        <v>0</v>
      </c>
      <c r="BB99" s="70">
        <v>0</v>
      </c>
      <c r="BC99" s="2"/>
      <c r="BD99"/>
      <c r="BE99" s="188" t="str">
        <f>"Growth in "&amp;B99</f>
        <v>Growth in Dividends per Share</v>
      </c>
      <c r="BF99" s="59">
        <f>IFERROR(SUM(#REF!)/SUM(I96:L96),0)</f>
        <v>0</v>
      </c>
      <c r="BG99" s="59">
        <f>IFERROR(SUM(#REF!)/SUM(M96:P96),0)</f>
        <v>0</v>
      </c>
      <c r="BH99" s="59">
        <f>IFERROR(SUM(#REF!)/SUM(Q96:T96),0)</f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/>
      <c r="BR99" s="77">
        <f t="shared" si="354"/>
        <v>96</v>
      </c>
    </row>
    <row r="100" spans="1:70" ht="12" x14ac:dyDescent="0.15">
      <c r="A100" s="97"/>
      <c r="B100" s="193"/>
      <c r="C100" s="85"/>
      <c r="D100" s="85"/>
      <c r="E100" s="125"/>
      <c r="F100" s="140"/>
      <c r="G100" s="140"/>
      <c r="H100" s="140"/>
      <c r="I100" s="125"/>
      <c r="J100" s="140"/>
      <c r="K100" s="140"/>
      <c r="L100" s="140"/>
      <c r="M100" s="125"/>
      <c r="N100" s="140"/>
      <c r="O100" s="140"/>
      <c r="P100" s="140"/>
      <c r="Q100" s="125"/>
      <c r="R100" s="140"/>
      <c r="S100" s="140"/>
      <c r="T100" s="140"/>
      <c r="U100" s="125"/>
      <c r="V100" s="140"/>
      <c r="W100" s="140"/>
      <c r="X100" s="140"/>
      <c r="Y100" s="125"/>
      <c r="Z100" s="140"/>
      <c r="AA100" s="140"/>
      <c r="AB100" s="140"/>
      <c r="AC100" s="125"/>
      <c r="AD100" s="92"/>
      <c r="AE100" s="92"/>
      <c r="AF100" s="92"/>
      <c r="AG100" s="126"/>
      <c r="AH100" s="92"/>
      <c r="AI100" s="92"/>
      <c r="AJ100" s="92"/>
      <c r="AK100" s="126"/>
      <c r="AL100" s="92"/>
      <c r="AM100" s="92"/>
      <c r="AN100" s="92"/>
      <c r="AO100" s="84"/>
      <c r="AP100" s="248"/>
      <c r="AQ100" s="92"/>
      <c r="AR100" s="92"/>
      <c r="AS100" s="84"/>
      <c r="AT100" s="248"/>
      <c r="AU100" s="92"/>
      <c r="AV100" s="92"/>
      <c r="AW100" s="126"/>
      <c r="BR100" s="77">
        <f t="shared" si="354"/>
        <v>97</v>
      </c>
    </row>
    <row r="101" spans="1:70" s="171" customFormat="1" ht="12" x14ac:dyDescent="0.15">
      <c r="B101" s="442" t="s">
        <v>196</v>
      </c>
      <c r="C101" s="97"/>
      <c r="D101" s="97"/>
      <c r="E101" s="169">
        <f>Reported!C43</f>
        <v>0</v>
      </c>
      <c r="F101" s="240">
        <f>Reported!D43</f>
        <v>0</v>
      </c>
      <c r="G101" s="240">
        <f>Reported!E43</f>
        <v>0</v>
      </c>
      <c r="H101" s="241">
        <f>Reported!F43</f>
        <v>0</v>
      </c>
      <c r="I101" s="169">
        <f>Reported!G43</f>
        <v>0</v>
      </c>
      <c r="J101" s="240">
        <f>Reported!H43</f>
        <v>0</v>
      </c>
      <c r="K101" s="240">
        <f>Reported!I43</f>
        <v>0</v>
      </c>
      <c r="L101" s="241">
        <f>Reported!J43</f>
        <v>0</v>
      </c>
      <c r="M101" s="169">
        <f>Reported!K43</f>
        <v>0</v>
      </c>
      <c r="N101" s="240">
        <f>Reported!L43</f>
        <v>0</v>
      </c>
      <c r="O101" s="240">
        <f>Reported!M43</f>
        <v>0</v>
      </c>
      <c r="P101" s="241">
        <f>Reported!N43</f>
        <v>0</v>
      </c>
      <c r="Q101" s="169">
        <f>P101</f>
        <v>0</v>
      </c>
      <c r="R101" s="240">
        <f>Reported!P43</f>
        <v>0</v>
      </c>
      <c r="S101" s="240">
        <f>R101</f>
        <v>0</v>
      </c>
      <c r="T101" s="241">
        <f>Reported!R43</f>
        <v>0</v>
      </c>
      <c r="U101" s="169">
        <f>Reported!S43</f>
        <v>0</v>
      </c>
      <c r="V101" s="240">
        <f>Reported!T43</f>
        <v>0</v>
      </c>
      <c r="W101" s="240">
        <f>Reported!U43</f>
        <v>0</v>
      </c>
      <c r="X101" s="241">
        <f>Reported!V43</f>
        <v>0</v>
      </c>
      <c r="Y101" s="169">
        <f>Reported!W43</f>
        <v>0</v>
      </c>
      <c r="Z101" s="240">
        <f>Reported!X43</f>
        <v>0</v>
      </c>
      <c r="AA101" s="240">
        <f>Reported!Y43</f>
        <v>0</v>
      </c>
      <c r="AB101" s="241">
        <f>Reported!Z43</f>
        <v>0</v>
      </c>
      <c r="AC101" s="169">
        <f>Reported!AA43</f>
        <v>0</v>
      </c>
      <c r="AD101" s="150">
        <f t="shared" ref="AD101:AR101" si="359">AC101</f>
        <v>0</v>
      </c>
      <c r="AE101" s="150">
        <f t="shared" si="359"/>
        <v>0</v>
      </c>
      <c r="AF101" s="151">
        <f t="shared" si="359"/>
        <v>0</v>
      </c>
      <c r="AG101" s="152">
        <f t="shared" si="359"/>
        <v>0</v>
      </c>
      <c r="AH101" s="150">
        <f t="shared" si="359"/>
        <v>0</v>
      </c>
      <c r="AI101" s="150">
        <f t="shared" si="359"/>
        <v>0</v>
      </c>
      <c r="AJ101" s="151">
        <f t="shared" si="359"/>
        <v>0</v>
      </c>
      <c r="AK101" s="152">
        <f t="shared" si="359"/>
        <v>0</v>
      </c>
      <c r="AL101" s="150">
        <f t="shared" si="359"/>
        <v>0</v>
      </c>
      <c r="AM101" s="150">
        <f t="shared" si="359"/>
        <v>0</v>
      </c>
      <c r="AN101" s="151">
        <f t="shared" si="359"/>
        <v>0</v>
      </c>
      <c r="AO101" s="153">
        <f t="shared" si="359"/>
        <v>0</v>
      </c>
      <c r="AP101" s="154">
        <f t="shared" si="359"/>
        <v>0</v>
      </c>
      <c r="AQ101" s="150">
        <f t="shared" si="359"/>
        <v>0</v>
      </c>
      <c r="AR101" s="151">
        <f t="shared" si="359"/>
        <v>0</v>
      </c>
      <c r="AS101" s="153">
        <f t="shared" ref="AS101:AS105" si="360">AR101</f>
        <v>0</v>
      </c>
      <c r="AT101" s="154">
        <f t="shared" ref="AT101:AT105" si="361">AS101</f>
        <v>0</v>
      </c>
      <c r="AU101" s="150">
        <f t="shared" ref="AU101:AU105" si="362">AT101</f>
        <v>0</v>
      </c>
      <c r="AV101" s="151">
        <f t="shared" ref="AV101:AV105" si="363">AU101</f>
        <v>0</v>
      </c>
      <c r="AW101" s="170"/>
      <c r="BE101" s="204"/>
      <c r="BR101" s="77">
        <f t="shared" si="354"/>
        <v>98</v>
      </c>
    </row>
    <row r="102" spans="1:70" ht="12" x14ac:dyDescent="0.15">
      <c r="A102" s="97"/>
      <c r="B102" s="442" t="s">
        <v>75</v>
      </c>
      <c r="C102" s="85"/>
      <c r="D102" s="85"/>
      <c r="E102" s="169">
        <f>Reported!C51</f>
        <v>0</v>
      </c>
      <c r="F102" s="240">
        <f>Reported!D51</f>
        <v>0</v>
      </c>
      <c r="G102" s="240">
        <f>Reported!E51</f>
        <v>0</v>
      </c>
      <c r="H102" s="241">
        <f>Reported!F51</f>
        <v>0</v>
      </c>
      <c r="I102" s="169">
        <f>Reported!G51</f>
        <v>0</v>
      </c>
      <c r="J102" s="240">
        <f>Reported!H51</f>
        <v>0</v>
      </c>
      <c r="K102" s="240">
        <f>Reported!I51</f>
        <v>0</v>
      </c>
      <c r="L102" s="241">
        <f>Reported!J51</f>
        <v>0</v>
      </c>
      <c r="M102" s="169">
        <f>Reported!K51</f>
        <v>0</v>
      </c>
      <c r="N102" s="240">
        <f>Reported!L51</f>
        <v>0</v>
      </c>
      <c r="O102" s="240">
        <f>Reported!M51</f>
        <v>0</v>
      </c>
      <c r="P102" s="241">
        <f>Reported!N51</f>
        <v>0</v>
      </c>
      <c r="Q102" s="169">
        <f>Reported!O51</f>
        <v>0</v>
      </c>
      <c r="R102" s="240">
        <f>Reported!P51</f>
        <v>0</v>
      </c>
      <c r="S102" s="240">
        <f>Reported!Q51</f>
        <v>0</v>
      </c>
      <c r="T102" s="241">
        <f>Reported!R51</f>
        <v>0</v>
      </c>
      <c r="U102" s="169">
        <f>Reported!S51</f>
        <v>0</v>
      </c>
      <c r="V102" s="240">
        <f>Reported!T51</f>
        <v>0</v>
      </c>
      <c r="W102" s="240">
        <f>Reported!U51</f>
        <v>0</v>
      </c>
      <c r="X102" s="241">
        <f>Reported!V51</f>
        <v>0</v>
      </c>
      <c r="Y102" s="169">
        <f>Reported!W51</f>
        <v>0</v>
      </c>
      <c r="Z102" s="240">
        <f>Reported!X51</f>
        <v>0</v>
      </c>
      <c r="AA102" s="240">
        <f>Reported!Y51</f>
        <v>0</v>
      </c>
      <c r="AB102" s="241">
        <f>Reported!Z51</f>
        <v>0</v>
      </c>
      <c r="AC102" s="169">
        <f>Reported!AA51</f>
        <v>0</v>
      </c>
      <c r="AD102" s="150">
        <f t="shared" ref="AD102:AR102" si="364">AC102</f>
        <v>0</v>
      </c>
      <c r="AE102" s="150">
        <f t="shared" si="364"/>
        <v>0</v>
      </c>
      <c r="AF102" s="151">
        <f t="shared" si="364"/>
        <v>0</v>
      </c>
      <c r="AG102" s="152">
        <f t="shared" si="364"/>
        <v>0</v>
      </c>
      <c r="AH102" s="150">
        <f t="shared" si="364"/>
        <v>0</v>
      </c>
      <c r="AI102" s="150">
        <f t="shared" si="364"/>
        <v>0</v>
      </c>
      <c r="AJ102" s="151">
        <f t="shared" si="364"/>
        <v>0</v>
      </c>
      <c r="AK102" s="152">
        <f t="shared" si="364"/>
        <v>0</v>
      </c>
      <c r="AL102" s="150">
        <f t="shared" si="364"/>
        <v>0</v>
      </c>
      <c r="AM102" s="150">
        <f t="shared" si="364"/>
        <v>0</v>
      </c>
      <c r="AN102" s="151">
        <f t="shared" si="364"/>
        <v>0</v>
      </c>
      <c r="AO102" s="153">
        <f t="shared" si="364"/>
        <v>0</v>
      </c>
      <c r="AP102" s="154">
        <f t="shared" si="364"/>
        <v>0</v>
      </c>
      <c r="AQ102" s="150">
        <f t="shared" si="364"/>
        <v>0</v>
      </c>
      <c r="AR102" s="151">
        <f t="shared" si="364"/>
        <v>0</v>
      </c>
      <c r="AS102" s="153">
        <f t="shared" si="360"/>
        <v>0</v>
      </c>
      <c r="AT102" s="154">
        <f t="shared" si="361"/>
        <v>0</v>
      </c>
      <c r="AU102" s="150">
        <f t="shared" si="362"/>
        <v>0</v>
      </c>
      <c r="AV102" s="151">
        <f t="shared" si="363"/>
        <v>0</v>
      </c>
      <c r="AW102" s="126"/>
      <c r="BR102" s="77">
        <f t="shared" si="354"/>
        <v>99</v>
      </c>
    </row>
    <row r="103" spans="1:70" ht="12" x14ac:dyDescent="0.15">
      <c r="A103" s="96"/>
      <c r="B103" s="467" t="s">
        <v>76</v>
      </c>
      <c r="C103" s="85"/>
      <c r="D103" s="85"/>
      <c r="E103" s="166">
        <f>Reported!C52</f>
        <v>0</v>
      </c>
      <c r="F103" s="294">
        <f>Reported!D52</f>
        <v>0</v>
      </c>
      <c r="G103" s="294">
        <f>Reported!E52</f>
        <v>0</v>
      </c>
      <c r="H103" s="294">
        <f>Reported!F52</f>
        <v>0</v>
      </c>
      <c r="I103" s="166">
        <f>Reported!G52</f>
        <v>0</v>
      </c>
      <c r="J103" s="294">
        <f>Reported!H52</f>
        <v>0</v>
      </c>
      <c r="K103" s="294">
        <f>Reported!I52</f>
        <v>0</v>
      </c>
      <c r="L103" s="294">
        <f>Reported!J52</f>
        <v>0</v>
      </c>
      <c r="M103" s="166">
        <f>Reported!K52</f>
        <v>0</v>
      </c>
      <c r="N103" s="294">
        <f>Reported!L52</f>
        <v>0</v>
      </c>
      <c r="O103" s="294">
        <f>Reported!M52</f>
        <v>0</v>
      </c>
      <c r="P103" s="294">
        <f>Reported!N52</f>
        <v>0</v>
      </c>
      <c r="Q103" s="166">
        <f>Reported!O52</f>
        <v>0</v>
      </c>
      <c r="R103" s="294">
        <f>Reported!P52</f>
        <v>0</v>
      </c>
      <c r="S103" s="294">
        <f>Reported!Q52</f>
        <v>0</v>
      </c>
      <c r="T103" s="294">
        <f>Reported!R52</f>
        <v>0</v>
      </c>
      <c r="U103" s="166">
        <f>Reported!S52</f>
        <v>0</v>
      </c>
      <c r="V103" s="294">
        <f>Reported!T52</f>
        <v>0</v>
      </c>
      <c r="W103" s="294">
        <f>Reported!U52</f>
        <v>0</v>
      </c>
      <c r="X103" s="294">
        <f>Reported!V52</f>
        <v>0</v>
      </c>
      <c r="Y103" s="166">
        <f>Reported!W52</f>
        <v>0</v>
      </c>
      <c r="Z103" s="294">
        <f>Reported!X52</f>
        <v>0</v>
      </c>
      <c r="AA103" s="294">
        <f>Reported!Y52</f>
        <v>0</v>
      </c>
      <c r="AB103" s="294">
        <f>Reported!Z52</f>
        <v>0</v>
      </c>
      <c r="AC103" s="166">
        <f>Reported!AA52</f>
        <v>0</v>
      </c>
      <c r="AD103" s="295">
        <f t="shared" ref="AD103:AR103" si="365">AC103</f>
        <v>0</v>
      </c>
      <c r="AE103" s="295">
        <f t="shared" si="365"/>
        <v>0</v>
      </c>
      <c r="AF103" s="295">
        <f t="shared" si="365"/>
        <v>0</v>
      </c>
      <c r="AG103" s="168">
        <f t="shared" si="365"/>
        <v>0</v>
      </c>
      <c r="AH103" s="295">
        <f t="shared" si="365"/>
        <v>0</v>
      </c>
      <c r="AI103" s="295">
        <f t="shared" si="365"/>
        <v>0</v>
      </c>
      <c r="AJ103" s="295">
        <f t="shared" si="365"/>
        <v>0</v>
      </c>
      <c r="AK103" s="168">
        <f t="shared" si="365"/>
        <v>0</v>
      </c>
      <c r="AL103" s="295">
        <f t="shared" si="365"/>
        <v>0</v>
      </c>
      <c r="AM103" s="295">
        <f t="shared" si="365"/>
        <v>0</v>
      </c>
      <c r="AN103" s="295">
        <f t="shared" si="365"/>
        <v>0</v>
      </c>
      <c r="AO103" s="168">
        <f t="shared" si="365"/>
        <v>0</v>
      </c>
      <c r="AP103" s="295">
        <f t="shared" si="365"/>
        <v>0</v>
      </c>
      <c r="AQ103" s="295">
        <f t="shared" si="365"/>
        <v>0</v>
      </c>
      <c r="AR103" s="295">
        <f t="shared" si="365"/>
        <v>0</v>
      </c>
      <c r="AS103" s="168">
        <f t="shared" si="360"/>
        <v>0</v>
      </c>
      <c r="AT103" s="295">
        <f t="shared" si="361"/>
        <v>0</v>
      </c>
      <c r="AU103" s="295">
        <f t="shared" si="362"/>
        <v>0</v>
      </c>
      <c r="AV103" s="295">
        <f t="shared" si="363"/>
        <v>0</v>
      </c>
      <c r="AW103" s="126"/>
      <c r="BR103" s="77">
        <f t="shared" si="354"/>
        <v>100</v>
      </c>
    </row>
    <row r="104" spans="1:70" s="171" customFormat="1" ht="12" x14ac:dyDescent="0.15">
      <c r="A104" s="97"/>
      <c r="B104" s="442" t="s">
        <v>77</v>
      </c>
      <c r="C104" s="97"/>
      <c r="D104" s="97"/>
      <c r="E104" s="169">
        <f>Reported!C49</f>
        <v>0</v>
      </c>
      <c r="F104" s="240">
        <f>Reported!D49</f>
        <v>0</v>
      </c>
      <c r="G104" s="240">
        <f>Reported!E49</f>
        <v>0</v>
      </c>
      <c r="H104" s="241">
        <f>Reported!F49</f>
        <v>0</v>
      </c>
      <c r="I104" s="169">
        <f>Reported!G49</f>
        <v>0</v>
      </c>
      <c r="J104" s="240">
        <f>Reported!H49</f>
        <v>0</v>
      </c>
      <c r="K104" s="240">
        <f>Reported!I49</f>
        <v>0</v>
      </c>
      <c r="L104" s="241">
        <f>Reported!J49</f>
        <v>0</v>
      </c>
      <c r="M104" s="169">
        <f>Reported!K49</f>
        <v>0</v>
      </c>
      <c r="N104" s="240">
        <f>Reported!L49</f>
        <v>0</v>
      </c>
      <c r="O104" s="240">
        <f>Reported!M49</f>
        <v>0</v>
      </c>
      <c r="P104" s="241">
        <f>Reported!N49</f>
        <v>0</v>
      </c>
      <c r="Q104" s="169">
        <f>Reported!O49</f>
        <v>0</v>
      </c>
      <c r="R104" s="240">
        <f>Reported!P49</f>
        <v>0</v>
      </c>
      <c r="S104" s="240">
        <f>Reported!Q49</f>
        <v>0</v>
      </c>
      <c r="T104" s="241">
        <f>Reported!R49</f>
        <v>0</v>
      </c>
      <c r="U104" s="169">
        <f>Reported!S49</f>
        <v>0</v>
      </c>
      <c r="V104" s="240">
        <f>Reported!T49</f>
        <v>0</v>
      </c>
      <c r="W104" s="240">
        <f>Reported!U49</f>
        <v>0</v>
      </c>
      <c r="X104" s="241">
        <f>Reported!V49</f>
        <v>0</v>
      </c>
      <c r="Y104" s="169">
        <f>Reported!W49</f>
        <v>0</v>
      </c>
      <c r="Z104" s="240">
        <f>Reported!X49</f>
        <v>0</v>
      </c>
      <c r="AA104" s="240">
        <f>Reported!Y49</f>
        <v>0</v>
      </c>
      <c r="AB104" s="241">
        <f>Reported!Z49</f>
        <v>0</v>
      </c>
      <c r="AC104" s="169">
        <f>Reported!AA49</f>
        <v>0</v>
      </c>
      <c r="AD104" s="150">
        <f t="shared" ref="AD104:AR104" si="366">AC104</f>
        <v>0</v>
      </c>
      <c r="AE104" s="150">
        <f t="shared" si="366"/>
        <v>0</v>
      </c>
      <c r="AF104" s="151">
        <f t="shared" si="366"/>
        <v>0</v>
      </c>
      <c r="AG104" s="152">
        <f t="shared" si="366"/>
        <v>0</v>
      </c>
      <c r="AH104" s="150">
        <f t="shared" si="366"/>
        <v>0</v>
      </c>
      <c r="AI104" s="150">
        <f t="shared" si="366"/>
        <v>0</v>
      </c>
      <c r="AJ104" s="151">
        <f t="shared" si="366"/>
        <v>0</v>
      </c>
      <c r="AK104" s="152">
        <f t="shared" si="366"/>
        <v>0</v>
      </c>
      <c r="AL104" s="150">
        <f t="shared" si="366"/>
        <v>0</v>
      </c>
      <c r="AM104" s="150">
        <f t="shared" si="366"/>
        <v>0</v>
      </c>
      <c r="AN104" s="151">
        <f t="shared" si="366"/>
        <v>0</v>
      </c>
      <c r="AO104" s="153">
        <f t="shared" si="366"/>
        <v>0</v>
      </c>
      <c r="AP104" s="154">
        <f t="shared" si="366"/>
        <v>0</v>
      </c>
      <c r="AQ104" s="150">
        <f t="shared" si="366"/>
        <v>0</v>
      </c>
      <c r="AR104" s="151">
        <f t="shared" si="366"/>
        <v>0</v>
      </c>
      <c r="AS104" s="153">
        <f t="shared" si="360"/>
        <v>0</v>
      </c>
      <c r="AT104" s="154">
        <f t="shared" si="361"/>
        <v>0</v>
      </c>
      <c r="AU104" s="150">
        <f t="shared" si="362"/>
        <v>0</v>
      </c>
      <c r="AV104" s="151">
        <f t="shared" si="363"/>
        <v>0</v>
      </c>
      <c r="AW104" s="170"/>
      <c r="BE104" s="204"/>
      <c r="BR104" s="77">
        <f t="shared" si="354"/>
        <v>101</v>
      </c>
    </row>
    <row r="105" spans="1:70" s="172" customFormat="1" ht="13.5" x14ac:dyDescent="0.25">
      <c r="A105" s="167"/>
      <c r="B105" s="478" t="s">
        <v>202</v>
      </c>
      <c r="C105" s="167"/>
      <c r="D105" s="167"/>
      <c r="E105" s="297">
        <f>Reported!C50</f>
        <v>0</v>
      </c>
      <c r="F105" s="298">
        <f>Reported!D50</f>
        <v>0</v>
      </c>
      <c r="G105" s="298">
        <f>Reported!E50</f>
        <v>0</v>
      </c>
      <c r="H105" s="298">
        <f>Reported!F50</f>
        <v>0</v>
      </c>
      <c r="I105" s="297">
        <f>Reported!G50</f>
        <v>0</v>
      </c>
      <c r="J105" s="298">
        <f>Reported!H50</f>
        <v>0</v>
      </c>
      <c r="K105" s="298">
        <f>Reported!I50</f>
        <v>0</v>
      </c>
      <c r="L105" s="298">
        <f>Reported!J50</f>
        <v>0</v>
      </c>
      <c r="M105" s="297">
        <f>Reported!K50</f>
        <v>0</v>
      </c>
      <c r="N105" s="298">
        <f>Reported!L50</f>
        <v>0</v>
      </c>
      <c r="O105" s="298">
        <f>Reported!M50</f>
        <v>0</v>
      </c>
      <c r="P105" s="298">
        <f>Reported!N50</f>
        <v>0</v>
      </c>
      <c r="Q105" s="297">
        <f>Reported!O50</f>
        <v>0</v>
      </c>
      <c r="R105" s="298">
        <f>Reported!P50</f>
        <v>0</v>
      </c>
      <c r="S105" s="298">
        <f>Reported!Q50</f>
        <v>0</v>
      </c>
      <c r="T105" s="298">
        <f>Reported!R50</f>
        <v>0</v>
      </c>
      <c r="U105" s="297">
        <f>Reported!S50</f>
        <v>0</v>
      </c>
      <c r="V105" s="298">
        <f>Reported!T50</f>
        <v>0</v>
      </c>
      <c r="W105" s="298">
        <f>Reported!U50</f>
        <v>0</v>
      </c>
      <c r="X105" s="298">
        <f>Reported!V50</f>
        <v>0</v>
      </c>
      <c r="Y105" s="297">
        <f>Reported!W50</f>
        <v>0</v>
      </c>
      <c r="Z105" s="298">
        <f>Reported!X50</f>
        <v>0</v>
      </c>
      <c r="AA105" s="298">
        <f>Reported!Y50</f>
        <v>0</v>
      </c>
      <c r="AB105" s="298">
        <f>Reported!Z50</f>
        <v>0</v>
      </c>
      <c r="AC105" s="297">
        <f>Reported!AA50</f>
        <v>0</v>
      </c>
      <c r="AD105" s="300">
        <f t="shared" ref="AD105:AR105" si="367">AC105</f>
        <v>0</v>
      </c>
      <c r="AE105" s="300">
        <f t="shared" si="367"/>
        <v>0</v>
      </c>
      <c r="AF105" s="300">
        <f t="shared" si="367"/>
        <v>0</v>
      </c>
      <c r="AG105" s="299">
        <f t="shared" si="367"/>
        <v>0</v>
      </c>
      <c r="AH105" s="300">
        <f t="shared" si="367"/>
        <v>0</v>
      </c>
      <c r="AI105" s="300">
        <f t="shared" si="367"/>
        <v>0</v>
      </c>
      <c r="AJ105" s="300">
        <f t="shared" si="367"/>
        <v>0</v>
      </c>
      <c r="AK105" s="299">
        <f t="shared" si="367"/>
        <v>0</v>
      </c>
      <c r="AL105" s="300">
        <f t="shared" si="367"/>
        <v>0</v>
      </c>
      <c r="AM105" s="300">
        <f t="shared" si="367"/>
        <v>0</v>
      </c>
      <c r="AN105" s="300">
        <f t="shared" si="367"/>
        <v>0</v>
      </c>
      <c r="AO105" s="299">
        <f t="shared" si="367"/>
        <v>0</v>
      </c>
      <c r="AP105" s="300">
        <f t="shared" si="367"/>
        <v>0</v>
      </c>
      <c r="AQ105" s="300">
        <f t="shared" si="367"/>
        <v>0</v>
      </c>
      <c r="AR105" s="300">
        <f t="shared" si="367"/>
        <v>0</v>
      </c>
      <c r="AS105" s="299">
        <f t="shared" si="360"/>
        <v>0</v>
      </c>
      <c r="AT105" s="300">
        <f t="shared" si="361"/>
        <v>0</v>
      </c>
      <c r="AU105" s="300">
        <f t="shared" si="362"/>
        <v>0</v>
      </c>
      <c r="AV105" s="300">
        <f t="shared" si="363"/>
        <v>0</v>
      </c>
      <c r="AW105" s="168"/>
      <c r="BE105" s="205"/>
      <c r="BR105" s="77">
        <f t="shared" si="354"/>
        <v>102</v>
      </c>
    </row>
    <row r="106" spans="1:70" s="464" customFormat="1" ht="12" x14ac:dyDescent="0.15">
      <c r="A106" s="454"/>
      <c r="B106" s="442" t="s">
        <v>1</v>
      </c>
      <c r="C106" s="454"/>
      <c r="D106" s="454"/>
      <c r="E106" s="455">
        <f t="shared" ref="E106:T106" si="368">IFERROR(E101+(IF(E90&gt;E103,E102*(E90-E103),0)+IF(E90&gt;E105,E104*(E90-E105),0))/E90,0)</f>
        <v>0</v>
      </c>
      <c r="F106" s="456">
        <f t="shared" si="368"/>
        <v>0</v>
      </c>
      <c r="G106" s="456">
        <f t="shared" si="368"/>
        <v>0</v>
      </c>
      <c r="H106" s="457">
        <f t="shared" si="368"/>
        <v>0</v>
      </c>
      <c r="I106" s="455">
        <f t="shared" si="368"/>
        <v>0</v>
      </c>
      <c r="J106" s="456">
        <f t="shared" si="368"/>
        <v>0</v>
      </c>
      <c r="K106" s="456">
        <f t="shared" si="368"/>
        <v>0</v>
      </c>
      <c r="L106" s="457">
        <f t="shared" si="368"/>
        <v>0</v>
      </c>
      <c r="M106" s="455">
        <f t="shared" si="368"/>
        <v>0</v>
      </c>
      <c r="N106" s="456">
        <f t="shared" si="368"/>
        <v>0</v>
      </c>
      <c r="O106" s="456">
        <f t="shared" si="368"/>
        <v>0</v>
      </c>
      <c r="P106" s="457">
        <f t="shared" si="368"/>
        <v>0</v>
      </c>
      <c r="Q106" s="455">
        <f t="shared" si="368"/>
        <v>0</v>
      </c>
      <c r="R106" s="456">
        <f t="shared" si="368"/>
        <v>0</v>
      </c>
      <c r="S106" s="456">
        <f t="shared" si="368"/>
        <v>0</v>
      </c>
      <c r="T106" s="457">
        <f t="shared" si="368"/>
        <v>0</v>
      </c>
      <c r="U106" s="455">
        <f>IFERROR(U101+U102+U104-IF(U90&gt;U103,U102*U103/U90,0)-IF(U90&gt;U105,U104*U105/U90,0),0)</f>
        <v>0</v>
      </c>
      <c r="V106" s="456">
        <f>IFERROR(V101+V102+V104-IF(V90&gt;V103,V102*V103/V90,0)-IF(V90&gt;V105,V104*V105/V90,0),0)</f>
        <v>0</v>
      </c>
      <c r="W106" s="456">
        <f>IFERROR(W101+W102+W104-IF(W90&gt;W103,W102*W103/W90,0)-IF(W90&gt;W105,W104*W105/W90,0),0)</f>
        <v>0</v>
      </c>
      <c r="X106" s="457">
        <f>IFERROR(X101+(IF(X90&gt;X103,X102*(X90-X103),0)+IF(X90&gt;X105,X104*(X90-X105),0))/X90,0)</f>
        <v>0</v>
      </c>
      <c r="Y106" s="455">
        <f>IFERROR(Y101+Y102+Y104-IF(Y90&gt;Y103,Y102*Y103/Y90,0)-IF(Y90&gt;Y105,Y104*Y105/Y90,0),0)</f>
        <v>0</v>
      </c>
      <c r="Z106" s="456">
        <f>IFERROR(Z101+Z102+Z104-IF(Z90&gt;Z103,Z102*Z103/Z90,0)-IF(Z90&gt;Z105,Z104*Z105/Z90,0),0)</f>
        <v>0</v>
      </c>
      <c r="AA106" s="456">
        <f>IFERROR(AA101+AA102+AA104-IF(AA90&gt;AA103,AA102*AA103/AA90,0)-IF(AA90&gt;AA105,AA104*AA105/AA90,0),0)</f>
        <v>0</v>
      </c>
      <c r="AB106" s="457">
        <f>IFERROR(AB101+(IF(AB90&gt;AB103,AB102*(AB90-AB103),0)+IF(AB90&gt;AB105,AB104*(AB90-AB105),0))/AB90,0)</f>
        <v>0</v>
      </c>
      <c r="AC106" s="455">
        <f>IFERROR(AC101+AC102+AC104-IF(AC90&gt;AC103,AC102*AC103/AC90,0)-IF(AC90&gt;AC105,AC104*AC105/AC90,0),0)</f>
        <v>0</v>
      </c>
      <c r="AD106" s="459">
        <f t="shared" ref="AD106:AV106" si="369">IFERROR(AD101+AD102+AD104-IF(AC136&gt;AD103,AD102*AD103/AC136,0)-IF(AC136&gt;AD105,AD104*AD105/AC136,0),0)</f>
        <v>0</v>
      </c>
      <c r="AE106" s="459">
        <f t="shared" si="369"/>
        <v>0</v>
      </c>
      <c r="AF106" s="460">
        <f t="shared" si="369"/>
        <v>0</v>
      </c>
      <c r="AG106" s="458">
        <f t="shared" si="369"/>
        <v>0</v>
      </c>
      <c r="AH106" s="459">
        <f t="shared" si="369"/>
        <v>0</v>
      </c>
      <c r="AI106" s="459">
        <f t="shared" si="369"/>
        <v>0</v>
      </c>
      <c r="AJ106" s="460">
        <f t="shared" si="369"/>
        <v>0</v>
      </c>
      <c r="AK106" s="458">
        <f t="shared" si="369"/>
        <v>0</v>
      </c>
      <c r="AL106" s="459">
        <f t="shared" si="369"/>
        <v>0</v>
      </c>
      <c r="AM106" s="459">
        <f t="shared" si="369"/>
        <v>0</v>
      </c>
      <c r="AN106" s="460">
        <f t="shared" si="369"/>
        <v>0</v>
      </c>
      <c r="AO106" s="461">
        <f t="shared" si="369"/>
        <v>0</v>
      </c>
      <c r="AP106" s="462">
        <f t="shared" si="369"/>
        <v>0</v>
      </c>
      <c r="AQ106" s="459">
        <f t="shared" si="369"/>
        <v>0</v>
      </c>
      <c r="AR106" s="460">
        <f t="shared" si="369"/>
        <v>0</v>
      </c>
      <c r="AS106" s="461">
        <f t="shared" si="369"/>
        <v>0</v>
      </c>
      <c r="AT106" s="462">
        <f t="shared" si="369"/>
        <v>0</v>
      </c>
      <c r="AU106" s="459">
        <f t="shared" si="369"/>
        <v>0</v>
      </c>
      <c r="AV106" s="460">
        <f t="shared" si="369"/>
        <v>0</v>
      </c>
      <c r="AW106" s="463"/>
      <c r="BE106" s="465"/>
      <c r="BR106" s="466">
        <f t="shared" si="354"/>
        <v>103</v>
      </c>
    </row>
    <row r="107" spans="1:70" ht="12" x14ac:dyDescent="0.15">
      <c r="A107" s="97"/>
      <c r="B107" s="193"/>
      <c r="C107" s="85"/>
      <c r="D107" s="85"/>
      <c r="E107" s="125"/>
      <c r="F107" s="140"/>
      <c r="G107" s="140"/>
      <c r="H107" s="140"/>
      <c r="I107" s="125"/>
      <c r="J107" s="140"/>
      <c r="K107" s="140"/>
      <c r="L107" s="140"/>
      <c r="M107" s="125"/>
      <c r="N107" s="140"/>
      <c r="O107" s="140"/>
      <c r="P107" s="140"/>
      <c r="Q107" s="125"/>
      <c r="R107" s="140"/>
      <c r="S107" s="140"/>
      <c r="T107" s="140"/>
      <c r="U107" s="125"/>
      <c r="V107" s="140"/>
      <c r="W107" s="140"/>
      <c r="X107" s="140"/>
      <c r="Y107" s="125"/>
      <c r="Z107" s="140"/>
      <c r="AA107" s="140"/>
      <c r="AB107" s="140"/>
      <c r="AC107" s="125"/>
      <c r="AD107" s="92"/>
      <c r="AE107" s="92"/>
      <c r="AF107" s="92"/>
      <c r="AG107" s="126"/>
      <c r="AH107" s="92"/>
      <c r="AI107" s="92"/>
      <c r="AJ107" s="92"/>
      <c r="AK107" s="126"/>
      <c r="AL107" s="92"/>
      <c r="AM107" s="92"/>
      <c r="AN107" s="92"/>
      <c r="AO107" s="84"/>
      <c r="AP107" s="248"/>
      <c r="AQ107" s="92"/>
      <c r="AR107" s="92"/>
      <c r="AS107" s="84"/>
      <c r="AT107" s="248"/>
      <c r="AU107" s="92"/>
      <c r="AV107" s="92"/>
      <c r="AW107" s="126"/>
      <c r="BR107" s="77">
        <f t="shared" si="354"/>
        <v>104</v>
      </c>
    </row>
    <row r="108" spans="1:70" s="171" customFormat="1" ht="12" x14ac:dyDescent="0.15">
      <c r="A108" s="97"/>
      <c r="B108" s="303" t="str">
        <f>"Market Cap ("&amp;Reported!$A$3&amp;")"</f>
        <v>Market Cap ()</v>
      </c>
      <c r="C108" s="97"/>
      <c r="D108" s="97"/>
      <c r="E108" s="169">
        <f t="shared" ref="E108:AB108" si="370">E106*E92</f>
        <v>0</v>
      </c>
      <c r="F108" s="240">
        <f t="shared" si="370"/>
        <v>0</v>
      </c>
      <c r="G108" s="240">
        <f t="shared" si="370"/>
        <v>0</v>
      </c>
      <c r="H108" s="240">
        <f t="shared" si="370"/>
        <v>0</v>
      </c>
      <c r="I108" s="169">
        <f t="shared" si="370"/>
        <v>0</v>
      </c>
      <c r="J108" s="240">
        <f t="shared" si="370"/>
        <v>0</v>
      </c>
      <c r="K108" s="240">
        <f t="shared" si="370"/>
        <v>0</v>
      </c>
      <c r="L108" s="240">
        <f t="shared" si="370"/>
        <v>0</v>
      </c>
      <c r="M108" s="169">
        <f t="shared" si="370"/>
        <v>0</v>
      </c>
      <c r="N108" s="240">
        <f t="shared" si="370"/>
        <v>0</v>
      </c>
      <c r="O108" s="240">
        <f t="shared" si="370"/>
        <v>0</v>
      </c>
      <c r="P108" s="240">
        <f t="shared" si="370"/>
        <v>0</v>
      </c>
      <c r="Q108" s="169">
        <f t="shared" si="370"/>
        <v>0</v>
      </c>
      <c r="R108" s="240">
        <f t="shared" si="370"/>
        <v>0</v>
      </c>
      <c r="S108" s="240">
        <f t="shared" si="370"/>
        <v>0</v>
      </c>
      <c r="T108" s="240">
        <f t="shared" si="370"/>
        <v>0</v>
      </c>
      <c r="U108" s="169">
        <f t="shared" si="370"/>
        <v>0</v>
      </c>
      <c r="V108" s="240">
        <f t="shared" si="370"/>
        <v>0</v>
      </c>
      <c r="W108" s="240">
        <f t="shared" si="370"/>
        <v>0</v>
      </c>
      <c r="X108" s="240">
        <f t="shared" si="370"/>
        <v>0</v>
      </c>
      <c r="Y108" s="169">
        <f t="shared" si="370"/>
        <v>0</v>
      </c>
      <c r="Z108" s="240">
        <f t="shared" si="370"/>
        <v>0</v>
      </c>
      <c r="AA108" s="240">
        <f t="shared" si="370"/>
        <v>0</v>
      </c>
      <c r="AB108" s="240">
        <f t="shared" si="370"/>
        <v>0</v>
      </c>
      <c r="AC108" s="169">
        <f t="shared" ref="AC108" si="371">AC106*AC92</f>
        <v>0</v>
      </c>
      <c r="AD108" s="258" t="e">
        <f t="shared" ref="AD108:AV108" si="372">AD106*AD137</f>
        <v>#REF!</v>
      </c>
      <c r="AE108" s="258" t="e">
        <f t="shared" si="372"/>
        <v>#REF!</v>
      </c>
      <c r="AF108" s="258" t="e">
        <f t="shared" si="372"/>
        <v>#REF!</v>
      </c>
      <c r="AG108" s="170" t="e">
        <f t="shared" si="372"/>
        <v>#REF!</v>
      </c>
      <c r="AH108" s="258" t="e">
        <f t="shared" si="372"/>
        <v>#REF!</v>
      </c>
      <c r="AI108" s="258" t="e">
        <f t="shared" si="372"/>
        <v>#REF!</v>
      </c>
      <c r="AJ108" s="258" t="e">
        <f t="shared" si="372"/>
        <v>#REF!</v>
      </c>
      <c r="AK108" s="170" t="e">
        <f t="shared" si="372"/>
        <v>#REF!</v>
      </c>
      <c r="AL108" s="258" t="e">
        <f t="shared" si="372"/>
        <v>#REF!</v>
      </c>
      <c r="AM108" s="258" t="e">
        <f t="shared" si="372"/>
        <v>#REF!</v>
      </c>
      <c r="AN108" s="258" t="e">
        <f t="shared" si="372"/>
        <v>#REF!</v>
      </c>
      <c r="AO108" s="88" t="e">
        <f t="shared" si="372"/>
        <v>#REF!</v>
      </c>
      <c r="AP108" s="86" t="e">
        <f t="shared" si="372"/>
        <v>#REF!</v>
      </c>
      <c r="AQ108" s="258" t="e">
        <f t="shared" si="372"/>
        <v>#REF!</v>
      </c>
      <c r="AR108" s="258" t="e">
        <f t="shared" si="372"/>
        <v>#REF!</v>
      </c>
      <c r="AS108" s="88" t="e">
        <f t="shared" si="372"/>
        <v>#REF!</v>
      </c>
      <c r="AT108" s="86" t="e">
        <f t="shared" si="372"/>
        <v>#REF!</v>
      </c>
      <c r="AU108" s="258" t="e">
        <f t="shared" si="372"/>
        <v>#REF!</v>
      </c>
      <c r="AV108" s="258" t="e">
        <f t="shared" si="372"/>
        <v>#REF!</v>
      </c>
      <c r="AW108" s="170"/>
      <c r="BE108" s="204"/>
      <c r="BR108" s="77">
        <f t="shared" si="354"/>
        <v>105</v>
      </c>
    </row>
    <row r="109" spans="1:70" s="171" customFormat="1" ht="12" x14ac:dyDescent="0.15">
      <c r="A109" s="97"/>
      <c r="B109" s="303" t="str">
        <f>"Net Cash ("&amp;Reported!$A$3&amp;")"</f>
        <v>Net Cash ()</v>
      </c>
      <c r="C109" s="97"/>
      <c r="D109" s="97"/>
      <c r="E109" s="169">
        <f t="shared" ref="E109:AV109" si="373">E211</f>
        <v>0</v>
      </c>
      <c r="F109" s="240">
        <f t="shared" si="373"/>
        <v>0</v>
      </c>
      <c r="G109" s="240">
        <f t="shared" si="373"/>
        <v>0</v>
      </c>
      <c r="H109" s="240">
        <f t="shared" si="373"/>
        <v>0</v>
      </c>
      <c r="I109" s="169">
        <f t="shared" si="373"/>
        <v>0</v>
      </c>
      <c r="J109" s="240">
        <f t="shared" si="373"/>
        <v>0</v>
      </c>
      <c r="K109" s="240">
        <f t="shared" si="373"/>
        <v>0</v>
      </c>
      <c r="L109" s="240">
        <f t="shared" si="373"/>
        <v>0</v>
      </c>
      <c r="M109" s="169">
        <f t="shared" si="373"/>
        <v>0</v>
      </c>
      <c r="N109" s="240">
        <f t="shared" si="373"/>
        <v>0</v>
      </c>
      <c r="O109" s="240">
        <f t="shared" si="373"/>
        <v>0</v>
      </c>
      <c r="P109" s="240">
        <f t="shared" si="373"/>
        <v>0</v>
      </c>
      <c r="Q109" s="169">
        <f t="shared" si="373"/>
        <v>0</v>
      </c>
      <c r="R109" s="240">
        <f t="shared" si="373"/>
        <v>0</v>
      </c>
      <c r="S109" s="240">
        <f t="shared" si="373"/>
        <v>0</v>
      </c>
      <c r="T109" s="240">
        <f t="shared" si="373"/>
        <v>0</v>
      </c>
      <c r="U109" s="169">
        <f t="shared" si="373"/>
        <v>0</v>
      </c>
      <c r="V109" s="240">
        <f t="shared" si="373"/>
        <v>0</v>
      </c>
      <c r="W109" s="240">
        <f t="shared" si="373"/>
        <v>0</v>
      </c>
      <c r="X109" s="240">
        <f t="shared" si="373"/>
        <v>0</v>
      </c>
      <c r="Y109" s="169">
        <f t="shared" si="373"/>
        <v>0</v>
      </c>
      <c r="Z109" s="240">
        <f t="shared" si="373"/>
        <v>0</v>
      </c>
      <c r="AA109" s="240">
        <f t="shared" si="373"/>
        <v>0</v>
      </c>
      <c r="AB109" s="240">
        <f t="shared" si="373"/>
        <v>0</v>
      </c>
      <c r="AC109" s="169">
        <f t="shared" ref="AC109" si="374">AC211</f>
        <v>0</v>
      </c>
      <c r="AD109" s="258" t="e">
        <f t="shared" si="373"/>
        <v>#DIV/0!</v>
      </c>
      <c r="AE109" s="258" t="e">
        <f t="shared" si="373"/>
        <v>#DIV/0!</v>
      </c>
      <c r="AF109" s="258" t="e">
        <f t="shared" si="373"/>
        <v>#DIV/0!</v>
      </c>
      <c r="AG109" s="170" t="e">
        <f t="shared" si="373"/>
        <v>#DIV/0!</v>
      </c>
      <c r="AH109" s="258" t="e">
        <f t="shared" si="373"/>
        <v>#DIV/0!</v>
      </c>
      <c r="AI109" s="258" t="e">
        <f t="shared" si="373"/>
        <v>#DIV/0!</v>
      </c>
      <c r="AJ109" s="258" t="e">
        <f t="shared" si="373"/>
        <v>#DIV/0!</v>
      </c>
      <c r="AK109" s="170" t="e">
        <f t="shared" si="373"/>
        <v>#DIV/0!</v>
      </c>
      <c r="AL109" s="258" t="e">
        <f t="shared" si="373"/>
        <v>#DIV/0!</v>
      </c>
      <c r="AM109" s="258" t="e">
        <f t="shared" si="373"/>
        <v>#DIV/0!</v>
      </c>
      <c r="AN109" s="258" t="e">
        <f t="shared" si="373"/>
        <v>#DIV/0!</v>
      </c>
      <c r="AO109" s="88" t="e">
        <f t="shared" si="373"/>
        <v>#DIV/0!</v>
      </c>
      <c r="AP109" s="86" t="e">
        <f t="shared" si="373"/>
        <v>#DIV/0!</v>
      </c>
      <c r="AQ109" s="258" t="e">
        <f t="shared" si="373"/>
        <v>#DIV/0!</v>
      </c>
      <c r="AR109" s="258" t="e">
        <f t="shared" si="373"/>
        <v>#DIV/0!</v>
      </c>
      <c r="AS109" s="88" t="e">
        <f t="shared" si="373"/>
        <v>#DIV/0!</v>
      </c>
      <c r="AT109" s="86" t="e">
        <f t="shared" si="373"/>
        <v>#DIV/0!</v>
      </c>
      <c r="AU109" s="258" t="e">
        <f t="shared" si="373"/>
        <v>#DIV/0!</v>
      </c>
      <c r="AV109" s="258" t="e">
        <f t="shared" si="373"/>
        <v>#DIV/0!</v>
      </c>
      <c r="AW109" s="170"/>
      <c r="BE109" s="204"/>
      <c r="BR109" s="77">
        <f t="shared" si="354"/>
        <v>106</v>
      </c>
    </row>
    <row r="110" spans="1:70" s="171" customFormat="1" ht="12" x14ac:dyDescent="0.15">
      <c r="A110" s="97"/>
      <c r="B110" s="303" t="str">
        <f>"Enterprise Value ("&amp;Reported!$A$3&amp;")"</f>
        <v>Enterprise Value ()</v>
      </c>
      <c r="C110" s="97"/>
      <c r="D110" s="97"/>
      <c r="E110" s="239">
        <f t="shared" ref="E110:AR110" si="375">E108-E109</f>
        <v>0</v>
      </c>
      <c r="F110" s="244">
        <f t="shared" si="375"/>
        <v>0</v>
      </c>
      <c r="G110" s="244">
        <f t="shared" si="375"/>
        <v>0</v>
      </c>
      <c r="H110" s="244">
        <f t="shared" si="375"/>
        <v>0</v>
      </c>
      <c r="I110" s="239">
        <f t="shared" si="375"/>
        <v>0</v>
      </c>
      <c r="J110" s="244">
        <f t="shared" si="375"/>
        <v>0</v>
      </c>
      <c r="K110" s="244">
        <f t="shared" si="375"/>
        <v>0</v>
      </c>
      <c r="L110" s="244">
        <f t="shared" si="375"/>
        <v>0</v>
      </c>
      <c r="M110" s="239">
        <f t="shared" si="375"/>
        <v>0</v>
      </c>
      <c r="N110" s="244">
        <f t="shared" si="375"/>
        <v>0</v>
      </c>
      <c r="O110" s="244">
        <f t="shared" si="375"/>
        <v>0</v>
      </c>
      <c r="P110" s="244">
        <f t="shared" si="375"/>
        <v>0</v>
      </c>
      <c r="Q110" s="239">
        <f t="shared" si="375"/>
        <v>0</v>
      </c>
      <c r="R110" s="244">
        <f t="shared" si="375"/>
        <v>0</v>
      </c>
      <c r="S110" s="244">
        <f t="shared" si="375"/>
        <v>0</v>
      </c>
      <c r="T110" s="244">
        <f t="shared" si="375"/>
        <v>0</v>
      </c>
      <c r="U110" s="239">
        <f t="shared" ref="U110:V110" si="376">U108-U109</f>
        <v>0</v>
      </c>
      <c r="V110" s="244">
        <f t="shared" si="376"/>
        <v>0</v>
      </c>
      <c r="W110" s="244">
        <f t="shared" ref="W110:Z110" si="377">W108-W109</f>
        <v>0</v>
      </c>
      <c r="X110" s="244">
        <f t="shared" si="377"/>
        <v>0</v>
      </c>
      <c r="Y110" s="239">
        <f t="shared" si="377"/>
        <v>0</v>
      </c>
      <c r="Z110" s="244">
        <f t="shared" si="377"/>
        <v>0</v>
      </c>
      <c r="AA110" s="244">
        <f t="shared" ref="AA110:AC110" si="378">AA108-AA109</f>
        <v>0</v>
      </c>
      <c r="AB110" s="244">
        <f t="shared" si="378"/>
        <v>0</v>
      </c>
      <c r="AC110" s="239">
        <f t="shared" si="378"/>
        <v>0</v>
      </c>
      <c r="AD110" s="261" t="e">
        <f t="shared" si="375"/>
        <v>#REF!</v>
      </c>
      <c r="AE110" s="261" t="e">
        <f t="shared" si="375"/>
        <v>#REF!</v>
      </c>
      <c r="AF110" s="261" t="e">
        <f t="shared" si="375"/>
        <v>#REF!</v>
      </c>
      <c r="AG110" s="260" t="e">
        <f t="shared" si="375"/>
        <v>#REF!</v>
      </c>
      <c r="AH110" s="261" t="e">
        <f t="shared" si="375"/>
        <v>#REF!</v>
      </c>
      <c r="AI110" s="261" t="e">
        <f t="shared" si="375"/>
        <v>#REF!</v>
      </c>
      <c r="AJ110" s="261" t="e">
        <f t="shared" si="375"/>
        <v>#REF!</v>
      </c>
      <c r="AK110" s="260" t="e">
        <f t="shared" si="375"/>
        <v>#REF!</v>
      </c>
      <c r="AL110" s="261" t="e">
        <f t="shared" si="375"/>
        <v>#REF!</v>
      </c>
      <c r="AM110" s="261" t="e">
        <f t="shared" si="375"/>
        <v>#REF!</v>
      </c>
      <c r="AN110" s="261" t="e">
        <f t="shared" si="375"/>
        <v>#REF!</v>
      </c>
      <c r="AO110" s="263" t="e">
        <f t="shared" si="375"/>
        <v>#REF!</v>
      </c>
      <c r="AP110" s="264" t="e">
        <f t="shared" si="375"/>
        <v>#REF!</v>
      </c>
      <c r="AQ110" s="261" t="e">
        <f t="shared" si="375"/>
        <v>#REF!</v>
      </c>
      <c r="AR110" s="261" t="e">
        <f t="shared" si="375"/>
        <v>#REF!</v>
      </c>
      <c r="AS110" s="263" t="e">
        <f t="shared" ref="AS110:AV110" si="379">AS108-AS109</f>
        <v>#REF!</v>
      </c>
      <c r="AT110" s="264" t="e">
        <f t="shared" si="379"/>
        <v>#REF!</v>
      </c>
      <c r="AU110" s="261" t="e">
        <f t="shared" si="379"/>
        <v>#REF!</v>
      </c>
      <c r="AV110" s="261" t="e">
        <f t="shared" si="379"/>
        <v>#REF!</v>
      </c>
      <c r="AW110" s="170"/>
      <c r="BE110" s="204"/>
      <c r="BR110" s="77">
        <f t="shared" si="354"/>
        <v>107</v>
      </c>
    </row>
    <row r="111" spans="1:70" ht="12" x14ac:dyDescent="0.15">
      <c r="A111" s="77"/>
      <c r="B111" s="194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127"/>
      <c r="AP111" s="127"/>
      <c r="AQ111" s="85"/>
      <c r="AR111" s="85"/>
      <c r="AS111" s="127"/>
      <c r="AT111" s="127"/>
      <c r="AU111" s="85"/>
      <c r="AV111" s="85"/>
      <c r="AW111" s="85"/>
      <c r="BR111" s="77">
        <f t="shared" si="354"/>
        <v>108</v>
      </c>
    </row>
    <row r="112" spans="1:70" customFormat="1" ht="11.25" customHeight="1" x14ac:dyDescent="0.2">
      <c r="A112" s="6" t="s">
        <v>195</v>
      </c>
      <c r="B112" s="186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BE112" s="190"/>
      <c r="BR112" s="77">
        <f t="shared" si="281"/>
        <v>109</v>
      </c>
    </row>
    <row r="113" spans="2:70" customFormat="1" ht="11.25" customHeight="1" x14ac:dyDescent="0.2">
      <c r="B113" s="476" t="s">
        <v>151</v>
      </c>
      <c r="C113" s="392" t="s">
        <v>178</v>
      </c>
      <c r="D113" s="387">
        <v>1.8817999999999999</v>
      </c>
      <c r="E113" s="480"/>
      <c r="F113" s="480"/>
      <c r="G113" s="480"/>
      <c r="H113" s="480"/>
      <c r="I113" s="481">
        <f t="shared" ref="I113:AV113" si="380">I52</f>
        <v>0</v>
      </c>
      <c r="J113" s="481">
        <f t="shared" si="380"/>
        <v>0</v>
      </c>
      <c r="K113" s="481">
        <f t="shared" si="380"/>
        <v>0</v>
      </c>
      <c r="L113" s="481">
        <f t="shared" si="380"/>
        <v>0</v>
      </c>
      <c r="M113" s="481">
        <f t="shared" si="380"/>
        <v>0</v>
      </c>
      <c r="N113" s="481">
        <f t="shared" si="380"/>
        <v>0</v>
      </c>
      <c r="O113" s="481">
        <f t="shared" si="380"/>
        <v>0</v>
      </c>
      <c r="P113" s="481">
        <f t="shared" si="380"/>
        <v>0</v>
      </c>
      <c r="Q113" s="481">
        <f t="shared" si="380"/>
        <v>0</v>
      </c>
      <c r="R113" s="481">
        <f t="shared" si="380"/>
        <v>0</v>
      </c>
      <c r="S113" s="481">
        <f t="shared" si="380"/>
        <v>0</v>
      </c>
      <c r="T113" s="481">
        <f t="shared" si="380"/>
        <v>0</v>
      </c>
      <c r="U113" s="481">
        <f t="shared" si="380"/>
        <v>0</v>
      </c>
      <c r="V113" s="481">
        <f t="shared" si="380"/>
        <v>0</v>
      </c>
      <c r="W113" s="481">
        <f t="shared" si="380"/>
        <v>0</v>
      </c>
      <c r="X113" s="481">
        <f t="shared" si="380"/>
        <v>0</v>
      </c>
      <c r="Y113" s="481">
        <f t="shared" si="380"/>
        <v>0</v>
      </c>
      <c r="Z113" s="481">
        <f t="shared" si="380"/>
        <v>0</v>
      </c>
      <c r="AA113" s="481">
        <f t="shared" si="380"/>
        <v>0</v>
      </c>
      <c r="AB113" s="481">
        <f t="shared" si="380"/>
        <v>0</v>
      </c>
      <c r="AC113" s="481">
        <f t="shared" ref="AC113" si="381">AC52</f>
        <v>0</v>
      </c>
      <c r="AD113" s="481">
        <f t="shared" si="380"/>
        <v>0</v>
      </c>
      <c r="AE113" s="481">
        <f t="shared" si="380"/>
        <v>0</v>
      </c>
      <c r="AF113" s="481">
        <f t="shared" si="380"/>
        <v>0</v>
      </c>
      <c r="AG113" s="481">
        <f t="shared" si="380"/>
        <v>0</v>
      </c>
      <c r="AH113" s="481">
        <f t="shared" si="380"/>
        <v>0</v>
      </c>
      <c r="AI113" s="481">
        <f t="shared" si="380"/>
        <v>0</v>
      </c>
      <c r="AJ113" s="481">
        <f t="shared" si="380"/>
        <v>0</v>
      </c>
      <c r="AK113" s="481">
        <f t="shared" si="380"/>
        <v>0</v>
      </c>
      <c r="AL113" s="481">
        <f t="shared" si="380"/>
        <v>0</v>
      </c>
      <c r="AM113" s="481">
        <f t="shared" si="380"/>
        <v>0</v>
      </c>
      <c r="AN113" s="481">
        <f t="shared" si="380"/>
        <v>0</v>
      </c>
      <c r="AO113" s="481">
        <f t="shared" si="380"/>
        <v>0</v>
      </c>
      <c r="AP113" s="481">
        <f t="shared" si="380"/>
        <v>0</v>
      </c>
      <c r="AQ113" s="481">
        <f t="shared" si="380"/>
        <v>0</v>
      </c>
      <c r="AR113" s="481">
        <f t="shared" si="380"/>
        <v>0</v>
      </c>
      <c r="AS113" s="481">
        <f t="shared" si="380"/>
        <v>0</v>
      </c>
      <c r="AT113" s="481">
        <f t="shared" si="380"/>
        <v>0</v>
      </c>
      <c r="AU113" s="481">
        <f t="shared" si="380"/>
        <v>0</v>
      </c>
      <c r="AV113" s="486">
        <f t="shared" si="380"/>
        <v>0</v>
      </c>
      <c r="AW113" s="86"/>
      <c r="AX113" s="86"/>
      <c r="AY113" s="86"/>
      <c r="AZ113" s="86"/>
      <c r="BA113" s="86"/>
      <c r="BB113" s="86"/>
      <c r="BC113" s="86"/>
      <c r="BD113" s="86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77">
        <f t="shared" si="281"/>
        <v>110</v>
      </c>
    </row>
    <row r="114" spans="2:70" customFormat="1" ht="11.25" customHeight="1" x14ac:dyDescent="0.2">
      <c r="B114" s="234" t="s">
        <v>183</v>
      </c>
      <c r="C114" s="392" t="s">
        <v>177</v>
      </c>
      <c r="D114" s="387">
        <v>1.3041</v>
      </c>
      <c r="E114" s="482"/>
      <c r="F114" s="482"/>
      <c r="G114" s="482"/>
      <c r="H114" s="443"/>
      <c r="I114" s="443">
        <f t="shared" ref="I114:L114" si="382">IF(F113&lt;&gt;0,SUM(F113:I113),0)</f>
        <v>0</v>
      </c>
      <c r="J114" s="443">
        <f t="shared" si="382"/>
        <v>0</v>
      </c>
      <c r="K114" s="443">
        <f t="shared" si="382"/>
        <v>0</v>
      </c>
      <c r="L114" s="443">
        <f t="shared" si="382"/>
        <v>0</v>
      </c>
      <c r="M114" s="443">
        <f t="shared" ref="M114" si="383">IF(J113&lt;&gt;0,SUM(J113:M113),0)</f>
        <v>0</v>
      </c>
      <c r="N114" s="443">
        <f t="shared" ref="N114" si="384">IF(K113&lt;&gt;0,SUM(K113:N113),0)</f>
        <v>0</v>
      </c>
      <c r="O114" s="443">
        <f t="shared" ref="O114" si="385">IF(L113&lt;&gt;0,SUM(L113:O113),0)</f>
        <v>0</v>
      </c>
      <c r="P114" s="443">
        <f t="shared" ref="P114" si="386">IF(M113&lt;&gt;0,SUM(M113:P113),0)</f>
        <v>0</v>
      </c>
      <c r="Q114" s="443">
        <f t="shared" ref="Q114" si="387">IF(N113&lt;&gt;0,SUM(N113:Q113),0)</f>
        <v>0</v>
      </c>
      <c r="R114" s="443">
        <f t="shared" ref="R114" si="388">IF(O113&lt;&gt;0,SUM(O113:R113),0)</f>
        <v>0</v>
      </c>
      <c r="S114" s="443">
        <f t="shared" ref="S114" si="389">IF(P113&lt;&gt;0,SUM(P113:S113),0)</f>
        <v>0</v>
      </c>
      <c r="T114" s="443">
        <f t="shared" ref="T114" si="390">IF(Q113&lt;&gt;0,SUM(Q113:T113),0)</f>
        <v>0</v>
      </c>
      <c r="U114" s="443">
        <f t="shared" ref="U114" si="391">IF(R113&lt;&gt;0,SUM(R113:U113),0)</f>
        <v>0</v>
      </c>
      <c r="V114" s="443">
        <f t="shared" ref="V114" si="392">IF(S113&lt;&gt;0,SUM(S113:V113),0)</f>
        <v>0</v>
      </c>
      <c r="W114" s="443">
        <f t="shared" ref="W114" si="393">IF(T113&lt;&gt;0,SUM(T113:W113),0)</f>
        <v>0</v>
      </c>
      <c r="X114" s="443">
        <f t="shared" ref="X114" si="394">IF(U113&lt;&gt;0,SUM(U113:X113),0)</f>
        <v>0</v>
      </c>
      <c r="Y114" s="443">
        <f t="shared" ref="Y114" si="395">IF(V113&lt;&gt;0,SUM(V113:Y113),0)</f>
        <v>0</v>
      </c>
      <c r="Z114" s="443">
        <f t="shared" ref="Z114" si="396">IF(W113&lt;&gt;0,SUM(W113:Z113),0)</f>
        <v>0</v>
      </c>
      <c r="AA114" s="443">
        <f t="shared" ref="AA114" si="397">IF(X113&lt;&gt;0,SUM(X113:AA113),0)</f>
        <v>0</v>
      </c>
      <c r="AB114" s="443">
        <f t="shared" ref="AB114:AC114" si="398">IF(Y113&lt;&gt;0,SUM(Y113:AB113),0)</f>
        <v>0</v>
      </c>
      <c r="AC114" s="443">
        <f t="shared" si="398"/>
        <v>0</v>
      </c>
      <c r="AD114" s="443">
        <f t="shared" ref="AD114" si="399">IF(AA113&lt;&gt;0,SUM(AA113:AD113),0)</f>
        <v>0</v>
      </c>
      <c r="AE114" s="443">
        <f t="shared" ref="AE114" si="400">IF(AB113&lt;&gt;0,SUM(AB113:AE113),0)</f>
        <v>0</v>
      </c>
      <c r="AF114" s="443">
        <f t="shared" ref="AF114" si="401">IF(AC113&lt;&gt;0,SUM(AC113:AF113),0)</f>
        <v>0</v>
      </c>
      <c r="AG114" s="443">
        <f t="shared" ref="AG114" si="402">IF(AD113&lt;&gt;0,SUM(AD113:AG113),0)</f>
        <v>0</v>
      </c>
      <c r="AH114" s="443">
        <f t="shared" ref="AH114" si="403">IF(AE113&lt;&gt;0,SUM(AE113:AH113),0)</f>
        <v>0</v>
      </c>
      <c r="AI114" s="443">
        <f t="shared" ref="AI114" si="404">IF(AF113&lt;&gt;0,SUM(AF113:AI113),0)</f>
        <v>0</v>
      </c>
      <c r="AJ114" s="443">
        <f t="shared" ref="AJ114" si="405">IF(AG113&lt;&gt;0,SUM(AG113:AJ113),0)</f>
        <v>0</v>
      </c>
      <c r="AK114" s="443">
        <f t="shared" ref="AK114" si="406">IF(AH113&lt;&gt;0,SUM(AH113:AK113),0)</f>
        <v>0</v>
      </c>
      <c r="AL114" s="443">
        <f t="shared" ref="AL114" si="407">IF(AI113&lt;&gt;0,SUM(AI113:AL113),0)</f>
        <v>0</v>
      </c>
      <c r="AM114" s="443">
        <f t="shared" ref="AM114" si="408">IF(AJ113&lt;&gt;0,SUM(AJ113:AM113),0)</f>
        <v>0</v>
      </c>
      <c r="AN114" s="443">
        <f t="shared" ref="AN114" si="409">IF(AK113&lt;&gt;0,SUM(AK113:AN113),0)</f>
        <v>0</v>
      </c>
      <c r="AO114" s="443">
        <f t="shared" ref="AO114" si="410">IF(AL113&lt;&gt;0,SUM(AL113:AO113),0)</f>
        <v>0</v>
      </c>
      <c r="AP114" s="443">
        <f t="shared" ref="AP114" si="411">IF(AM113&lt;&gt;0,SUM(AM113:AP113),0)</f>
        <v>0</v>
      </c>
      <c r="AQ114" s="443">
        <f t="shared" ref="AQ114" si="412">IF(AN113&lt;&gt;0,SUM(AN113:AQ113),0)</f>
        <v>0</v>
      </c>
      <c r="AR114" s="443">
        <f t="shared" ref="AR114" si="413">IF(AO113&lt;&gt;0,SUM(AO113:AR113),0)</f>
        <v>0</v>
      </c>
      <c r="AS114" s="443">
        <f t="shared" ref="AS114" si="414">IF(AP113&lt;&gt;0,SUM(AP113:AS113),0)</f>
        <v>0</v>
      </c>
      <c r="AT114" s="443">
        <f t="shared" ref="AT114" si="415">IF(AQ113&lt;&gt;0,SUM(AQ113:AT113),0)</f>
        <v>0</v>
      </c>
      <c r="AU114" s="443">
        <f t="shared" ref="AU114" si="416">IF(AR113&lt;&gt;0,SUM(AR113:AU113),0)</f>
        <v>0</v>
      </c>
      <c r="AV114" s="487">
        <f t="shared" ref="AV114" si="417">IF(AS113&lt;&gt;0,SUM(AS113:AV113),0)</f>
        <v>0</v>
      </c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77">
        <f t="shared" si="281"/>
        <v>111</v>
      </c>
    </row>
    <row r="115" spans="2:70" customFormat="1" ht="11.25" customHeight="1" x14ac:dyDescent="0.2">
      <c r="B115" s="234" t="s">
        <v>184</v>
      </c>
      <c r="C115" s="392"/>
      <c r="E115" s="482"/>
      <c r="F115" s="482"/>
      <c r="G115" s="482"/>
      <c r="H115" s="443"/>
      <c r="I115" s="382">
        <f t="shared" ref="I115:T115" si="418">IFERROR(I114/E114-1,0)</f>
        <v>0</v>
      </c>
      <c r="J115" s="382">
        <f t="shared" si="418"/>
        <v>0</v>
      </c>
      <c r="K115" s="382">
        <f t="shared" si="418"/>
        <v>0</v>
      </c>
      <c r="L115" s="382">
        <f t="shared" si="418"/>
        <v>0</v>
      </c>
      <c r="M115" s="382">
        <f t="shared" si="418"/>
        <v>0</v>
      </c>
      <c r="N115" s="382">
        <f t="shared" si="418"/>
        <v>0</v>
      </c>
      <c r="O115" s="382">
        <f t="shared" si="418"/>
        <v>0</v>
      </c>
      <c r="P115" s="382">
        <f t="shared" si="418"/>
        <v>0</v>
      </c>
      <c r="Q115" s="382">
        <f t="shared" si="418"/>
        <v>0</v>
      </c>
      <c r="R115" s="382">
        <f t="shared" si="418"/>
        <v>0</v>
      </c>
      <c r="S115" s="382">
        <f t="shared" si="418"/>
        <v>0</v>
      </c>
      <c r="T115" s="382">
        <f t="shared" si="418"/>
        <v>0</v>
      </c>
      <c r="U115" s="382">
        <f>IFERROR(U114/Q114-1,0)</f>
        <v>0</v>
      </c>
      <c r="V115" s="382">
        <f t="shared" ref="V115:AC115" si="419">IFERROR(V114/R114-1,0)</f>
        <v>0</v>
      </c>
      <c r="W115" s="382">
        <f t="shared" si="419"/>
        <v>0</v>
      </c>
      <c r="X115" s="382">
        <f t="shared" si="419"/>
        <v>0</v>
      </c>
      <c r="Y115" s="382">
        <f t="shared" si="419"/>
        <v>0</v>
      </c>
      <c r="Z115" s="382">
        <f t="shared" si="419"/>
        <v>0</v>
      </c>
      <c r="AA115" s="382">
        <f t="shared" si="419"/>
        <v>0</v>
      </c>
      <c r="AB115" s="382">
        <f t="shared" si="419"/>
        <v>0</v>
      </c>
      <c r="AC115" s="382">
        <f t="shared" si="419"/>
        <v>0</v>
      </c>
      <c r="AD115" s="382">
        <f t="shared" ref="AD115" si="420">IFERROR(AD114/Z114-1,0)</f>
        <v>0</v>
      </c>
      <c r="AE115" s="382">
        <f t="shared" ref="AE115" si="421">IFERROR(AE114/AA114-1,0)</f>
        <v>0</v>
      </c>
      <c r="AF115" s="382">
        <f t="shared" ref="AF115" si="422">IFERROR(AF114/AB114-1,0)</f>
        <v>0</v>
      </c>
      <c r="AG115" s="382">
        <f t="shared" ref="AG115" si="423">IFERROR(AG114/AC114-1,0)</f>
        <v>0</v>
      </c>
      <c r="AH115" s="382">
        <f t="shared" ref="AH115" si="424">IFERROR(AH114/AD114-1,0)</f>
        <v>0</v>
      </c>
      <c r="AI115" s="382">
        <f t="shared" ref="AI115" si="425">IFERROR(AI114/AE114-1,0)</f>
        <v>0</v>
      </c>
      <c r="AJ115" s="382">
        <f t="shared" ref="AJ115" si="426">IFERROR(AJ114/AF114-1,0)</f>
        <v>0</v>
      </c>
      <c r="AK115" s="382">
        <f t="shared" ref="AK115" si="427">IFERROR(AK114/AG114-1,0)</f>
        <v>0</v>
      </c>
      <c r="AL115" s="382">
        <f t="shared" ref="AL115" si="428">IFERROR(AL114/AH114-1,0)</f>
        <v>0</v>
      </c>
      <c r="AM115" s="382">
        <f t="shared" ref="AM115" si="429">IFERROR(AM114/AI114-1,0)</f>
        <v>0</v>
      </c>
      <c r="AN115" s="382">
        <f t="shared" ref="AN115" si="430">IFERROR(AN114/AJ114-1,0)</f>
        <v>0</v>
      </c>
      <c r="AO115" s="382">
        <f t="shared" ref="AO115" si="431">IFERROR(AO114/AK114-1,0)</f>
        <v>0</v>
      </c>
      <c r="AP115" s="382">
        <f t="shared" ref="AP115" si="432">IFERROR(AP114/AL114-1,0)</f>
        <v>0</v>
      </c>
      <c r="AQ115" s="382">
        <f t="shared" ref="AQ115" si="433">IFERROR(AQ114/AM114-1,0)</f>
        <v>0</v>
      </c>
      <c r="AR115" s="382">
        <f t="shared" ref="AR115" si="434">IFERROR(AR114/AN114-1,0)</f>
        <v>0</v>
      </c>
      <c r="AS115" s="382">
        <f t="shared" ref="AS115" si="435">IFERROR(AS114/AO114-1,0)</f>
        <v>0</v>
      </c>
      <c r="AT115" s="382">
        <f t="shared" ref="AT115" si="436">IFERROR(AT114/AP114-1,0)</f>
        <v>0</v>
      </c>
      <c r="AU115" s="382">
        <f t="shared" ref="AU115" si="437">IFERROR(AU114/AQ114-1,0)</f>
        <v>0</v>
      </c>
      <c r="AV115" s="380">
        <f t="shared" ref="AV115" si="438">IFERROR(AV114/AR114-1,0)</f>
        <v>0</v>
      </c>
      <c r="AW115" s="86"/>
      <c r="AX115" s="86"/>
      <c r="AY115" s="86"/>
      <c r="AZ115" s="86"/>
      <c r="BA115" s="86"/>
      <c r="BB115" s="86"/>
      <c r="BC115" s="86"/>
      <c r="BD115" s="86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77">
        <f t="shared" si="281"/>
        <v>112</v>
      </c>
    </row>
    <row r="116" spans="2:70" customFormat="1" ht="11.25" customHeight="1" x14ac:dyDescent="0.2">
      <c r="B116" s="234" t="s">
        <v>104</v>
      </c>
      <c r="C116" s="392"/>
      <c r="E116" s="482"/>
      <c r="F116" s="482"/>
      <c r="G116" s="482"/>
      <c r="H116" s="443"/>
      <c r="I116" s="443">
        <f>-Reported!G$92</f>
        <v>0</v>
      </c>
      <c r="J116" s="443">
        <f>-Reported!H$92</f>
        <v>0</v>
      </c>
      <c r="K116" s="443">
        <f>-Reported!I$92</f>
        <v>0</v>
      </c>
      <c r="L116" s="443">
        <f>-Reported!J$92</f>
        <v>0</v>
      </c>
      <c r="M116" s="443">
        <f>-Reported!K$92</f>
        <v>0</v>
      </c>
      <c r="N116" s="443">
        <f>-Reported!L$92</f>
        <v>0</v>
      </c>
      <c r="O116" s="443">
        <f>-Reported!M$92</f>
        <v>0</v>
      </c>
      <c r="P116" s="443">
        <f>-Reported!N$92</f>
        <v>0</v>
      </c>
      <c r="Q116" s="443">
        <f>-Reported!O$92</f>
        <v>0</v>
      </c>
      <c r="R116" s="443">
        <f>-Reported!P$92</f>
        <v>0</v>
      </c>
      <c r="S116" s="443">
        <f>-Reported!Q$92</f>
        <v>0</v>
      </c>
      <c r="T116" s="443">
        <f>-Reported!R$92</f>
        <v>0</v>
      </c>
      <c r="U116" s="443">
        <f>-Reported!S$92</f>
        <v>0</v>
      </c>
      <c r="V116" s="443">
        <f>-Reported!T$92</f>
        <v>0</v>
      </c>
      <c r="W116" s="443">
        <f>-Reported!U$92</f>
        <v>0</v>
      </c>
      <c r="X116" s="443">
        <f>-Reported!V$92</f>
        <v>0</v>
      </c>
      <c r="Y116" s="443">
        <f>-Reported!W$92</f>
        <v>0</v>
      </c>
      <c r="Z116" s="443">
        <f>-Reported!X$92</f>
        <v>0</v>
      </c>
      <c r="AA116" s="443">
        <f>-Reported!Y$92</f>
        <v>0</v>
      </c>
      <c r="AB116" s="443">
        <f>-Reported!Z$92</f>
        <v>0</v>
      </c>
      <c r="AC116" s="443">
        <f>-Reported!AA$92</f>
        <v>0</v>
      </c>
      <c r="AD116" s="443">
        <f>-Reported!AB$92</f>
        <v>0</v>
      </c>
      <c r="AE116" s="443">
        <f>-Reported!AC$92</f>
        <v>0</v>
      </c>
      <c r="AF116" s="443">
        <f>-Reported!AD$92</f>
        <v>0</v>
      </c>
      <c r="AG116" s="443">
        <f>-Reported!AE$92</f>
        <v>0</v>
      </c>
      <c r="AH116" s="443">
        <f>-Reported!AF$92</f>
        <v>0</v>
      </c>
      <c r="AI116" s="443">
        <f>-Reported!AG$92</f>
        <v>0</v>
      </c>
      <c r="AJ116" s="443">
        <f>-Reported!AH$92</f>
        <v>0</v>
      </c>
      <c r="AK116" s="443">
        <f>-Reported!AI$92</f>
        <v>0</v>
      </c>
      <c r="AL116" s="443">
        <f>-Reported!AJ$92</f>
        <v>0</v>
      </c>
      <c r="AM116" s="443">
        <f>-Reported!AK$92</f>
        <v>0</v>
      </c>
      <c r="AN116" s="443">
        <f>-Reported!AL$92</f>
        <v>0</v>
      </c>
      <c r="AO116" s="443">
        <f>-Reported!AM$92</f>
        <v>0</v>
      </c>
      <c r="AP116" s="443">
        <f>-Reported!AN$92</f>
        <v>0</v>
      </c>
      <c r="AQ116" s="443">
        <f>-Reported!AO$92</f>
        <v>0</v>
      </c>
      <c r="AR116" s="443">
        <f>-Reported!AP$92</f>
        <v>0</v>
      </c>
      <c r="AS116" s="443">
        <f>-Reported!AQ$92</f>
        <v>0</v>
      </c>
      <c r="AT116" s="443">
        <f>-Reported!AR$92</f>
        <v>0</v>
      </c>
      <c r="AU116" s="443">
        <f>-Reported!AS$92</f>
        <v>0</v>
      </c>
      <c r="AV116" s="487">
        <f>-Reported!AT$92</f>
        <v>0</v>
      </c>
      <c r="AW116" s="86"/>
      <c r="AX116" s="86"/>
      <c r="AY116" s="86"/>
      <c r="AZ116" s="86"/>
      <c r="BA116" s="86"/>
      <c r="BB116" s="86"/>
      <c r="BC116" s="86"/>
      <c r="BD116" s="86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77">
        <f t="shared" si="281"/>
        <v>113</v>
      </c>
    </row>
    <row r="117" spans="2:70" customFormat="1" ht="11.25" customHeight="1" x14ac:dyDescent="0.2">
      <c r="B117" s="234" t="s">
        <v>185</v>
      </c>
      <c r="C117" s="392"/>
      <c r="E117" s="482"/>
      <c r="F117" s="482"/>
      <c r="G117" s="482"/>
      <c r="H117" s="443"/>
      <c r="I117" s="443">
        <f t="shared" ref="I117:AC117" si="439">IF(AND(B96&lt;&gt;"",C96&lt;&gt;"",D96&lt;&gt;"",E96&lt;&gt;"",F96&lt;&gt;"",G96&lt;&gt;"",H96&lt;&gt;""),0.25*(4*F116/E96+3*(E116/D96+G116/F96)+2*(D116/C96+H116/G96)+I116/H96+(C116/B96)),0)</f>
        <v>0</v>
      </c>
      <c r="J117" s="443">
        <f t="shared" si="439"/>
        <v>0</v>
      </c>
      <c r="K117" s="443">
        <f t="shared" si="439"/>
        <v>0</v>
      </c>
      <c r="L117" s="443">
        <f t="shared" si="439"/>
        <v>0</v>
      </c>
      <c r="M117" s="443">
        <f t="shared" si="439"/>
        <v>0</v>
      </c>
      <c r="N117" s="443">
        <f t="shared" si="439"/>
        <v>0</v>
      </c>
      <c r="O117" s="443">
        <f t="shared" si="439"/>
        <v>0</v>
      </c>
      <c r="P117" s="443">
        <f t="shared" si="439"/>
        <v>0</v>
      </c>
      <c r="Q117" s="443">
        <f t="shared" si="439"/>
        <v>0</v>
      </c>
      <c r="R117" s="443">
        <f t="shared" si="439"/>
        <v>0</v>
      </c>
      <c r="S117" s="443">
        <f t="shared" si="439"/>
        <v>0</v>
      </c>
      <c r="T117" s="443">
        <f t="shared" si="439"/>
        <v>0</v>
      </c>
      <c r="U117" s="443">
        <f t="shared" si="439"/>
        <v>0</v>
      </c>
      <c r="V117" s="443">
        <f t="shared" si="439"/>
        <v>0</v>
      </c>
      <c r="W117" s="443">
        <f t="shared" si="439"/>
        <v>0</v>
      </c>
      <c r="X117" s="443">
        <f t="shared" si="439"/>
        <v>0</v>
      </c>
      <c r="Y117" s="443">
        <f t="shared" si="439"/>
        <v>0</v>
      </c>
      <c r="Z117" s="443">
        <f t="shared" si="439"/>
        <v>0</v>
      </c>
      <c r="AA117" s="443">
        <f t="shared" si="439"/>
        <v>0</v>
      </c>
      <c r="AB117" s="443">
        <f>IF(AND(U96&lt;&gt;"",V96&lt;&gt;"",W96&lt;&gt;"",X96&lt;&gt;"",Y96&lt;&gt;"",Z96&lt;&gt;"",AA96&lt;&gt;""),0.25*(4*Y116/X96+3*(X116/W96+Z116/Y96)+2*(W116/V96+AA116/Z96)+AB116/AA96+(V116/U96)),0)</f>
        <v>0</v>
      </c>
      <c r="AC117" s="443">
        <f t="shared" si="439"/>
        <v>0</v>
      </c>
      <c r="AD117" s="443">
        <f t="shared" ref="AD117:AV117" si="440">IF(AND(W96&lt;&gt;"",X96&lt;&gt;"",Y96&lt;&gt;"",Z96&lt;&gt;"",AA96&lt;&gt;"",AB96&lt;&gt;"",AC96&lt;&gt;""),0.25*(4*AA116/Z96+3*(Z116/Y96+AB116/AA96)+2*(Y116/X96+AC116/AB96)+AD116/AC96+(X116/W96)),0)</f>
        <v>0</v>
      </c>
      <c r="AE117" s="443">
        <f t="shared" si="440"/>
        <v>0</v>
      </c>
      <c r="AF117" s="443">
        <f t="shared" si="440"/>
        <v>0</v>
      </c>
      <c r="AG117" s="443">
        <f t="shared" si="440"/>
        <v>0</v>
      </c>
      <c r="AH117" s="443">
        <f t="shared" si="440"/>
        <v>0</v>
      </c>
      <c r="AI117" s="443">
        <f t="shared" si="440"/>
        <v>0</v>
      </c>
      <c r="AJ117" s="443">
        <f t="shared" si="440"/>
        <v>0</v>
      </c>
      <c r="AK117" s="443">
        <f t="shared" si="440"/>
        <v>0</v>
      </c>
      <c r="AL117" s="443">
        <f t="shared" si="440"/>
        <v>0</v>
      </c>
      <c r="AM117" s="443">
        <f t="shared" si="440"/>
        <v>0</v>
      </c>
      <c r="AN117" s="443">
        <f t="shared" si="440"/>
        <v>0</v>
      </c>
      <c r="AO117" s="443">
        <f t="shared" si="440"/>
        <v>0</v>
      </c>
      <c r="AP117" s="443">
        <f t="shared" si="440"/>
        <v>0</v>
      </c>
      <c r="AQ117" s="443">
        <f t="shared" si="440"/>
        <v>0</v>
      </c>
      <c r="AR117" s="443">
        <f t="shared" si="440"/>
        <v>0</v>
      </c>
      <c r="AS117" s="443">
        <f t="shared" si="440"/>
        <v>0</v>
      </c>
      <c r="AT117" s="443">
        <f t="shared" si="440"/>
        <v>0</v>
      </c>
      <c r="AU117" s="443">
        <f t="shared" si="440"/>
        <v>0</v>
      </c>
      <c r="AV117" s="487">
        <f t="shared" si="440"/>
        <v>0</v>
      </c>
      <c r="AW117" s="86"/>
      <c r="AX117" s="86"/>
      <c r="AY117" s="86"/>
      <c r="AZ117" s="86"/>
      <c r="BA117" s="86"/>
      <c r="BB117" s="86"/>
      <c r="BC117" s="86"/>
      <c r="BD117" s="86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77">
        <f t="shared" si="281"/>
        <v>114</v>
      </c>
    </row>
    <row r="118" spans="2:70" customFormat="1" ht="11.25" customHeight="1" x14ac:dyDescent="0.2">
      <c r="B118" s="234" t="s">
        <v>186</v>
      </c>
      <c r="C118" s="392"/>
      <c r="E118" s="482"/>
      <c r="F118" s="482"/>
      <c r="G118" s="482"/>
      <c r="H118" s="443"/>
      <c r="I118" s="306">
        <f t="shared" ref="I118:U118" si="441">IFERROR(I117/E114,0)</f>
        <v>0</v>
      </c>
      <c r="J118" s="306">
        <f t="shared" si="441"/>
        <v>0</v>
      </c>
      <c r="K118" s="306">
        <f t="shared" si="441"/>
        <v>0</v>
      </c>
      <c r="L118" s="306">
        <f t="shared" si="441"/>
        <v>0</v>
      </c>
      <c r="M118" s="306">
        <f t="shared" si="441"/>
        <v>0</v>
      </c>
      <c r="N118" s="306">
        <f t="shared" si="441"/>
        <v>0</v>
      </c>
      <c r="O118" s="306">
        <f t="shared" si="441"/>
        <v>0</v>
      </c>
      <c r="P118" s="306">
        <f t="shared" si="441"/>
        <v>0</v>
      </c>
      <c r="Q118" s="306">
        <f t="shared" si="441"/>
        <v>0</v>
      </c>
      <c r="R118" s="306">
        <f t="shared" si="441"/>
        <v>0</v>
      </c>
      <c r="S118" s="306">
        <f t="shared" si="441"/>
        <v>0</v>
      </c>
      <c r="T118" s="306">
        <f t="shared" si="441"/>
        <v>0</v>
      </c>
      <c r="U118" s="306">
        <f t="shared" si="441"/>
        <v>0</v>
      </c>
      <c r="V118" s="306">
        <f>IFERROR(V117/R114,0)</f>
        <v>0</v>
      </c>
      <c r="W118" s="306">
        <f t="shared" ref="W118:AC118" si="442">IFERROR(W117/S114,0)</f>
        <v>0</v>
      </c>
      <c r="X118" s="306">
        <f t="shared" si="442"/>
        <v>0</v>
      </c>
      <c r="Y118" s="306">
        <f t="shared" si="442"/>
        <v>0</v>
      </c>
      <c r="Z118" s="306">
        <f t="shared" si="442"/>
        <v>0</v>
      </c>
      <c r="AA118" s="306">
        <f t="shared" si="442"/>
        <v>0</v>
      </c>
      <c r="AB118" s="306">
        <f t="shared" si="442"/>
        <v>0</v>
      </c>
      <c r="AC118" s="306">
        <f t="shared" si="442"/>
        <v>0</v>
      </c>
      <c r="AD118" s="306">
        <f t="shared" ref="AD118" si="443">IFERROR(AD117/Z114,0)</f>
        <v>0</v>
      </c>
      <c r="AE118" s="306">
        <f t="shared" ref="AE118" si="444">IFERROR(AE117/AA114,0)</f>
        <v>0</v>
      </c>
      <c r="AF118" s="306">
        <f t="shared" ref="AF118" si="445">IFERROR(AF117/AB114,0)</f>
        <v>0</v>
      </c>
      <c r="AG118" s="306">
        <f t="shared" ref="AG118" si="446">IFERROR(AG117/AC114,0)</f>
        <v>0</v>
      </c>
      <c r="AH118" s="306">
        <f t="shared" ref="AH118" si="447">IFERROR(AH117/AD114,0)</f>
        <v>0</v>
      </c>
      <c r="AI118" s="306">
        <f t="shared" ref="AI118" si="448">IFERROR(AI117/AE114,0)</f>
        <v>0</v>
      </c>
      <c r="AJ118" s="306">
        <f t="shared" ref="AJ118" si="449">IFERROR(AJ117/AF114,0)</f>
        <v>0</v>
      </c>
      <c r="AK118" s="306">
        <f t="shared" ref="AK118" si="450">IFERROR(AK117/AG114,0)</f>
        <v>0</v>
      </c>
      <c r="AL118" s="306">
        <f t="shared" ref="AL118" si="451">IFERROR(AL117/AH114,0)</f>
        <v>0</v>
      </c>
      <c r="AM118" s="306">
        <f t="shared" ref="AM118" si="452">IFERROR(AM117/AI114,0)</f>
        <v>0</v>
      </c>
      <c r="AN118" s="306">
        <f t="shared" ref="AN118" si="453">IFERROR(AN117/AJ114,0)</f>
        <v>0</v>
      </c>
      <c r="AO118" s="306">
        <f t="shared" ref="AO118" si="454">IFERROR(AO117/AK114,0)</f>
        <v>0</v>
      </c>
      <c r="AP118" s="306">
        <f t="shared" ref="AP118" si="455">IFERROR(AP117/AL114,0)</f>
        <v>0</v>
      </c>
      <c r="AQ118" s="306">
        <f t="shared" ref="AQ118" si="456">IFERROR(AQ117/AM114,0)</f>
        <v>0</v>
      </c>
      <c r="AR118" s="306">
        <f t="shared" ref="AR118" si="457">IFERROR(AR117/AN114,0)</f>
        <v>0</v>
      </c>
      <c r="AS118" s="306">
        <f t="shared" ref="AS118" si="458">IFERROR(AS117/AO114,0)</f>
        <v>0</v>
      </c>
      <c r="AT118" s="306">
        <f t="shared" ref="AT118" si="459">IFERROR(AT117/AP114,0)</f>
        <v>0</v>
      </c>
      <c r="AU118" s="306">
        <f t="shared" ref="AU118" si="460">IFERROR(AU117/AQ114,0)</f>
        <v>0</v>
      </c>
      <c r="AV118" s="304">
        <f t="shared" ref="AV118" si="461">IFERROR(AV117/AR114,0)</f>
        <v>0</v>
      </c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77">
        <f t="shared" si="281"/>
        <v>115</v>
      </c>
    </row>
    <row r="119" spans="2:70" customFormat="1" ht="11.25" customHeight="1" x14ac:dyDescent="0.2">
      <c r="B119" s="234" t="s">
        <v>187</v>
      </c>
      <c r="C119" s="392" t="s">
        <v>197</v>
      </c>
      <c r="D119" s="475">
        <v>100</v>
      </c>
      <c r="E119" s="482"/>
      <c r="F119" s="482"/>
      <c r="G119" s="482"/>
      <c r="H119" s="443"/>
      <c r="I119" s="382">
        <f t="shared" ref="I119:U119" si="462">I115-I118</f>
        <v>0</v>
      </c>
      <c r="J119" s="382">
        <f t="shared" si="462"/>
        <v>0</v>
      </c>
      <c r="K119" s="382">
        <f t="shared" si="462"/>
        <v>0</v>
      </c>
      <c r="L119" s="382">
        <f t="shared" si="462"/>
        <v>0</v>
      </c>
      <c r="M119" s="382">
        <f t="shared" si="462"/>
        <v>0</v>
      </c>
      <c r="N119" s="382">
        <f t="shared" si="462"/>
        <v>0</v>
      </c>
      <c r="O119" s="382">
        <f t="shared" si="462"/>
        <v>0</v>
      </c>
      <c r="P119" s="382">
        <f t="shared" si="462"/>
        <v>0</v>
      </c>
      <c r="Q119" s="382">
        <f t="shared" si="462"/>
        <v>0</v>
      </c>
      <c r="R119" s="382">
        <f t="shared" si="462"/>
        <v>0</v>
      </c>
      <c r="S119" s="382">
        <f t="shared" si="462"/>
        <v>0</v>
      </c>
      <c r="T119" s="382">
        <f t="shared" si="462"/>
        <v>0</v>
      </c>
      <c r="U119" s="382">
        <f t="shared" si="462"/>
        <v>0</v>
      </c>
      <c r="V119" s="382">
        <f t="shared" ref="V119:AA119" si="463">V115-V118</f>
        <v>0</v>
      </c>
      <c r="W119" s="382">
        <f t="shared" si="463"/>
        <v>0</v>
      </c>
      <c r="X119" s="382">
        <f t="shared" si="463"/>
        <v>0</v>
      </c>
      <c r="Y119" s="382">
        <f t="shared" si="463"/>
        <v>0</v>
      </c>
      <c r="Z119" s="382">
        <f t="shared" si="463"/>
        <v>0</v>
      </c>
      <c r="AA119" s="382">
        <f t="shared" si="463"/>
        <v>0</v>
      </c>
      <c r="AB119" s="382">
        <f>AB115-AB118</f>
        <v>0</v>
      </c>
      <c r="AC119" s="382">
        <f t="shared" ref="AC119" si="464">AC115-AC118</f>
        <v>0</v>
      </c>
      <c r="AD119" s="382">
        <f t="shared" ref="AD119:AV119" si="465">AD115-AD118</f>
        <v>0</v>
      </c>
      <c r="AE119" s="382">
        <f t="shared" si="465"/>
        <v>0</v>
      </c>
      <c r="AF119" s="382">
        <f t="shared" si="465"/>
        <v>0</v>
      </c>
      <c r="AG119" s="382">
        <f t="shared" si="465"/>
        <v>0</v>
      </c>
      <c r="AH119" s="382">
        <f t="shared" si="465"/>
        <v>0</v>
      </c>
      <c r="AI119" s="382">
        <f t="shared" si="465"/>
        <v>0</v>
      </c>
      <c r="AJ119" s="382">
        <f t="shared" si="465"/>
        <v>0</v>
      </c>
      <c r="AK119" s="382">
        <f t="shared" si="465"/>
        <v>0</v>
      </c>
      <c r="AL119" s="382">
        <f t="shared" si="465"/>
        <v>0</v>
      </c>
      <c r="AM119" s="382">
        <f t="shared" si="465"/>
        <v>0</v>
      </c>
      <c r="AN119" s="382">
        <f t="shared" si="465"/>
        <v>0</v>
      </c>
      <c r="AO119" s="382">
        <f t="shared" si="465"/>
        <v>0</v>
      </c>
      <c r="AP119" s="382">
        <f t="shared" si="465"/>
        <v>0</v>
      </c>
      <c r="AQ119" s="382">
        <f t="shared" si="465"/>
        <v>0</v>
      </c>
      <c r="AR119" s="382">
        <f t="shared" si="465"/>
        <v>0</v>
      </c>
      <c r="AS119" s="382">
        <f t="shared" si="465"/>
        <v>0</v>
      </c>
      <c r="AT119" s="382">
        <f t="shared" si="465"/>
        <v>0</v>
      </c>
      <c r="AU119" s="382">
        <f t="shared" si="465"/>
        <v>0</v>
      </c>
      <c r="AV119" s="380">
        <f t="shared" si="465"/>
        <v>0</v>
      </c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77">
        <f t="shared" si="281"/>
        <v>116</v>
      </c>
    </row>
    <row r="120" spans="2:70" customFormat="1" ht="11.25" customHeight="1" x14ac:dyDescent="0.2">
      <c r="B120" s="234" t="s">
        <v>176</v>
      </c>
      <c r="C120" s="392" t="s">
        <v>198</v>
      </c>
      <c r="D120" s="475">
        <v>0</v>
      </c>
      <c r="E120" s="482"/>
      <c r="F120" s="482"/>
      <c r="G120" s="482"/>
      <c r="H120" s="443"/>
      <c r="I120" s="479">
        <f t="shared" ref="I120:S120" si="466">EXP($D$113*I119+$D$114)</f>
        <v>3.6843716665868116</v>
      </c>
      <c r="J120" s="479">
        <f t="shared" si="466"/>
        <v>3.6843716665868116</v>
      </c>
      <c r="K120" s="479">
        <f t="shared" si="466"/>
        <v>3.6843716665868116</v>
      </c>
      <c r="L120" s="479">
        <f t="shared" si="466"/>
        <v>3.6843716665868116</v>
      </c>
      <c r="M120" s="479">
        <f t="shared" si="466"/>
        <v>3.6843716665868116</v>
      </c>
      <c r="N120" s="479">
        <f t="shared" si="466"/>
        <v>3.6843716665868116</v>
      </c>
      <c r="O120" s="479">
        <f t="shared" si="466"/>
        <v>3.6843716665868116</v>
      </c>
      <c r="P120" s="479">
        <f t="shared" si="466"/>
        <v>3.6843716665868116</v>
      </c>
      <c r="Q120" s="479">
        <f t="shared" si="466"/>
        <v>3.6843716665868116</v>
      </c>
      <c r="R120" s="479">
        <f t="shared" si="466"/>
        <v>3.6843716665868116</v>
      </c>
      <c r="S120" s="479">
        <f t="shared" si="466"/>
        <v>3.6843716665868116</v>
      </c>
      <c r="T120" s="479">
        <f>EXP($D$113*T119+$D$114)</f>
        <v>3.6843716665868116</v>
      </c>
      <c r="U120" s="479">
        <f t="shared" ref="U120:AV120" si="467">EXP($D$113*U119+$D$114)</f>
        <v>3.6843716665868116</v>
      </c>
      <c r="V120" s="479">
        <f t="shared" si="467"/>
        <v>3.6843716665868116</v>
      </c>
      <c r="W120" s="479">
        <f t="shared" si="467"/>
        <v>3.6843716665868116</v>
      </c>
      <c r="X120" s="479">
        <f t="shared" si="467"/>
        <v>3.6843716665868116</v>
      </c>
      <c r="Y120" s="479">
        <f t="shared" si="467"/>
        <v>3.6843716665868116</v>
      </c>
      <c r="Z120" s="479">
        <f t="shared" si="467"/>
        <v>3.6843716665868116</v>
      </c>
      <c r="AA120" s="479">
        <f t="shared" si="467"/>
        <v>3.6843716665868116</v>
      </c>
      <c r="AB120" s="479">
        <f t="shared" si="467"/>
        <v>3.6843716665868116</v>
      </c>
      <c r="AC120" s="479">
        <f t="shared" ref="AC120" si="468">EXP($D$113*AC119+$D$114)</f>
        <v>3.6843716665868116</v>
      </c>
      <c r="AD120" s="479">
        <f t="shared" si="467"/>
        <v>3.6843716665868116</v>
      </c>
      <c r="AE120" s="479">
        <f t="shared" si="467"/>
        <v>3.6843716665868116</v>
      </c>
      <c r="AF120" s="479">
        <f t="shared" si="467"/>
        <v>3.6843716665868116</v>
      </c>
      <c r="AG120" s="479">
        <f t="shared" si="467"/>
        <v>3.6843716665868116</v>
      </c>
      <c r="AH120" s="479">
        <f t="shared" si="467"/>
        <v>3.6843716665868116</v>
      </c>
      <c r="AI120" s="479">
        <f t="shared" si="467"/>
        <v>3.6843716665868116</v>
      </c>
      <c r="AJ120" s="479">
        <f t="shared" si="467"/>
        <v>3.6843716665868116</v>
      </c>
      <c r="AK120" s="479">
        <f t="shared" si="467"/>
        <v>3.6843716665868116</v>
      </c>
      <c r="AL120" s="479">
        <f t="shared" si="467"/>
        <v>3.6843716665868116</v>
      </c>
      <c r="AM120" s="479">
        <f t="shared" si="467"/>
        <v>3.6843716665868116</v>
      </c>
      <c r="AN120" s="479">
        <f t="shared" si="467"/>
        <v>3.6843716665868116</v>
      </c>
      <c r="AO120" s="479">
        <f t="shared" si="467"/>
        <v>3.6843716665868116</v>
      </c>
      <c r="AP120" s="479">
        <f t="shared" si="467"/>
        <v>3.6843716665868116</v>
      </c>
      <c r="AQ120" s="479">
        <f t="shared" si="467"/>
        <v>3.6843716665868116</v>
      </c>
      <c r="AR120" s="479">
        <f t="shared" si="467"/>
        <v>3.6843716665868116</v>
      </c>
      <c r="AS120" s="479">
        <f t="shared" si="467"/>
        <v>3.6843716665868116</v>
      </c>
      <c r="AT120" s="479">
        <f t="shared" si="467"/>
        <v>3.6843716665868116</v>
      </c>
      <c r="AU120" s="479">
        <f t="shared" si="467"/>
        <v>3.6843716665868116</v>
      </c>
      <c r="AV120" s="488">
        <f t="shared" si="467"/>
        <v>3.6843716665868116</v>
      </c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77"/>
    </row>
    <row r="121" spans="2:70" customFormat="1" ht="11.25" customHeight="1" x14ac:dyDescent="0.2">
      <c r="B121" s="234"/>
      <c r="C121" s="392"/>
      <c r="E121" s="482"/>
      <c r="F121" s="482"/>
      <c r="G121" s="482"/>
      <c r="H121" s="443"/>
      <c r="I121" s="382"/>
      <c r="J121" s="382"/>
      <c r="K121" s="382"/>
      <c r="L121" s="382"/>
      <c r="M121" s="382"/>
      <c r="N121" s="382"/>
      <c r="O121" s="382"/>
      <c r="P121" s="382"/>
      <c r="Q121" s="382"/>
      <c r="R121" s="382"/>
      <c r="S121" s="382"/>
      <c r="T121" s="382"/>
      <c r="U121" s="382"/>
      <c r="V121" s="382"/>
      <c r="W121" s="382"/>
      <c r="X121" s="382"/>
      <c r="Y121" s="382"/>
      <c r="Z121" s="382"/>
      <c r="AA121" s="382"/>
      <c r="AB121" s="382"/>
      <c r="AC121" s="382"/>
      <c r="AD121" s="382"/>
      <c r="AE121" s="382"/>
      <c r="AF121" s="382"/>
      <c r="AG121" s="382"/>
      <c r="AH121" s="382"/>
      <c r="AI121" s="382"/>
      <c r="AJ121" s="382"/>
      <c r="AK121" s="382"/>
      <c r="AL121" s="382"/>
      <c r="AM121" s="382"/>
      <c r="AN121" s="382"/>
      <c r="AO121" s="382"/>
      <c r="AP121" s="382"/>
      <c r="AQ121" s="382"/>
      <c r="AR121" s="382"/>
      <c r="AS121" s="382"/>
      <c r="AT121" s="382"/>
      <c r="AU121" s="382"/>
      <c r="AV121" s="380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77"/>
    </row>
    <row r="122" spans="2:70" customFormat="1" ht="11.25" customHeight="1" x14ac:dyDescent="0.2">
      <c r="B122" s="234"/>
      <c r="C122" s="392"/>
      <c r="E122" s="482"/>
      <c r="F122" s="482"/>
      <c r="G122" s="482"/>
      <c r="H122" s="443"/>
      <c r="I122" s="443"/>
      <c r="J122" s="443"/>
      <c r="K122" s="443"/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87"/>
      <c r="AW122" s="86"/>
      <c r="AX122" s="86"/>
      <c r="AY122" s="86"/>
      <c r="AZ122" s="86"/>
      <c r="BA122" s="86"/>
      <c r="BB122" s="86"/>
      <c r="BC122" s="86"/>
      <c r="BD122" s="86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77"/>
    </row>
    <row r="123" spans="2:70" customFormat="1" ht="11.25" customHeight="1" x14ac:dyDescent="0.2">
      <c r="B123" s="476" t="s">
        <v>48</v>
      </c>
      <c r="C123" s="392" t="s">
        <v>178</v>
      </c>
      <c r="D123" s="387">
        <v>2.5</v>
      </c>
      <c r="E123" s="482"/>
      <c r="F123" s="482"/>
      <c r="G123" s="482"/>
      <c r="H123" s="482"/>
      <c r="I123" s="443">
        <f t="shared" ref="I123:AV123" si="469">I74</f>
        <v>0</v>
      </c>
      <c r="J123" s="443">
        <f t="shared" si="469"/>
        <v>0</v>
      </c>
      <c r="K123" s="443">
        <f t="shared" si="469"/>
        <v>0</v>
      </c>
      <c r="L123" s="443">
        <f t="shared" si="469"/>
        <v>0</v>
      </c>
      <c r="M123" s="443">
        <f t="shared" si="469"/>
        <v>0</v>
      </c>
      <c r="N123" s="443">
        <f t="shared" si="469"/>
        <v>0</v>
      </c>
      <c r="O123" s="443">
        <f t="shared" si="469"/>
        <v>0</v>
      </c>
      <c r="P123" s="443">
        <f t="shared" si="469"/>
        <v>0</v>
      </c>
      <c r="Q123" s="443">
        <f t="shared" si="469"/>
        <v>0</v>
      </c>
      <c r="R123" s="443">
        <f t="shared" si="469"/>
        <v>0</v>
      </c>
      <c r="S123" s="443">
        <f t="shared" si="469"/>
        <v>0</v>
      </c>
      <c r="T123" s="443">
        <f t="shared" si="469"/>
        <v>0</v>
      </c>
      <c r="U123" s="443">
        <f t="shared" si="469"/>
        <v>0</v>
      </c>
      <c r="V123" s="443">
        <f t="shared" si="469"/>
        <v>0</v>
      </c>
      <c r="W123" s="443">
        <f t="shared" si="469"/>
        <v>0</v>
      </c>
      <c r="X123" s="443">
        <f t="shared" si="469"/>
        <v>0</v>
      </c>
      <c r="Y123" s="443">
        <f t="shared" si="469"/>
        <v>0</v>
      </c>
      <c r="Z123" s="443">
        <f t="shared" si="469"/>
        <v>0</v>
      </c>
      <c r="AA123" s="443">
        <f t="shared" si="469"/>
        <v>0</v>
      </c>
      <c r="AB123" s="443">
        <f t="shared" si="469"/>
        <v>0</v>
      </c>
      <c r="AC123" s="443">
        <f t="shared" ref="AC123" si="470">AC74</f>
        <v>0</v>
      </c>
      <c r="AD123" s="443">
        <f t="shared" si="469"/>
        <v>0</v>
      </c>
      <c r="AE123" s="443">
        <f t="shared" si="469"/>
        <v>0</v>
      </c>
      <c r="AF123" s="443">
        <f t="shared" si="469"/>
        <v>0</v>
      </c>
      <c r="AG123" s="443">
        <f t="shared" si="469"/>
        <v>0</v>
      </c>
      <c r="AH123" s="443">
        <f t="shared" si="469"/>
        <v>0</v>
      </c>
      <c r="AI123" s="443">
        <f t="shared" si="469"/>
        <v>0</v>
      </c>
      <c r="AJ123" s="443">
        <f t="shared" si="469"/>
        <v>0</v>
      </c>
      <c r="AK123" s="443">
        <f t="shared" si="469"/>
        <v>0</v>
      </c>
      <c r="AL123" s="443">
        <f t="shared" si="469"/>
        <v>0</v>
      </c>
      <c r="AM123" s="443">
        <f t="shared" si="469"/>
        <v>0</v>
      </c>
      <c r="AN123" s="443">
        <f t="shared" si="469"/>
        <v>0</v>
      </c>
      <c r="AO123" s="443">
        <f t="shared" si="469"/>
        <v>0</v>
      </c>
      <c r="AP123" s="443">
        <f t="shared" si="469"/>
        <v>0</v>
      </c>
      <c r="AQ123" s="443">
        <f t="shared" si="469"/>
        <v>0</v>
      </c>
      <c r="AR123" s="443">
        <f t="shared" si="469"/>
        <v>0</v>
      </c>
      <c r="AS123" s="443">
        <f t="shared" si="469"/>
        <v>0</v>
      </c>
      <c r="AT123" s="443">
        <f t="shared" si="469"/>
        <v>0</v>
      </c>
      <c r="AU123" s="443">
        <f t="shared" si="469"/>
        <v>0</v>
      </c>
      <c r="AV123" s="487">
        <f t="shared" si="469"/>
        <v>0</v>
      </c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77"/>
    </row>
    <row r="124" spans="2:70" customFormat="1" ht="11.25" customHeight="1" x14ac:dyDescent="0.2">
      <c r="B124" s="234" t="s">
        <v>188</v>
      </c>
      <c r="C124" s="392" t="s">
        <v>177</v>
      </c>
      <c r="D124" s="387">
        <v>2.2000000000000002</v>
      </c>
      <c r="E124" s="482"/>
      <c r="F124" s="482"/>
      <c r="G124" s="482"/>
      <c r="H124" s="443"/>
      <c r="I124" s="443">
        <f t="shared" ref="I124" si="471">IF(F123&lt;&gt;0,SUM(F123:I123),0)</f>
        <v>0</v>
      </c>
      <c r="J124" s="443">
        <f t="shared" ref="J124" si="472">IF(G123&lt;&gt;0,SUM(G123:J123),0)</f>
        <v>0</v>
      </c>
      <c r="K124" s="443">
        <f t="shared" ref="K124" si="473">IF(H123&lt;&gt;0,SUM(H123:K123),0)</f>
        <v>0</v>
      </c>
      <c r="L124" s="443">
        <f t="shared" ref="L124" si="474">IF(I123&lt;&gt;0,SUM(I123:L123),0)</f>
        <v>0</v>
      </c>
      <c r="M124" s="443">
        <f t="shared" ref="M124" si="475">IF(J123&lt;&gt;0,SUM(J123:M123),0)</f>
        <v>0</v>
      </c>
      <c r="N124" s="443">
        <f t="shared" ref="N124" si="476">IF(K123&lt;&gt;0,SUM(K123:N123),0)</f>
        <v>0</v>
      </c>
      <c r="O124" s="443">
        <f t="shared" ref="O124" si="477">IF(L123&lt;&gt;0,SUM(L123:O123),0)</f>
        <v>0</v>
      </c>
      <c r="P124" s="443">
        <f t="shared" ref="P124" si="478">IF(M123&lt;&gt;0,SUM(M123:P123),0)</f>
        <v>0</v>
      </c>
      <c r="Q124" s="443">
        <f t="shared" ref="Q124" si="479">IF(N123&lt;&gt;0,SUM(N123:Q123),0)</f>
        <v>0</v>
      </c>
      <c r="R124" s="443">
        <f t="shared" ref="R124" si="480">IF(O123&lt;&gt;0,SUM(O123:R123),0)</f>
        <v>0</v>
      </c>
      <c r="S124" s="443">
        <f t="shared" ref="S124" si="481">IF(P123&lt;&gt;0,SUM(P123:S123),0)</f>
        <v>0</v>
      </c>
      <c r="T124" s="443">
        <f t="shared" ref="T124" si="482">IF(Q123&lt;&gt;0,SUM(Q123:T123),0)</f>
        <v>0</v>
      </c>
      <c r="U124" s="443">
        <f t="shared" ref="U124" si="483">IF(R123&lt;&gt;0,SUM(R123:U123),0)</f>
        <v>0</v>
      </c>
      <c r="V124" s="443">
        <f t="shared" ref="V124" si="484">IF(S123&lt;&gt;0,SUM(S123:V123),0)</f>
        <v>0</v>
      </c>
      <c r="W124" s="443">
        <f t="shared" ref="W124" si="485">IF(T123&lt;&gt;0,SUM(T123:W123),0)</f>
        <v>0</v>
      </c>
      <c r="X124" s="443">
        <f t="shared" ref="X124" si="486">IF(U123&lt;&gt;0,SUM(U123:X123),0)</f>
        <v>0</v>
      </c>
      <c r="Y124" s="443">
        <f t="shared" ref="Y124" si="487">IF(V123&lt;&gt;0,SUM(V123:Y123),0)</f>
        <v>0</v>
      </c>
      <c r="Z124" s="443">
        <f t="shared" ref="Z124" si="488">IF(W123&lt;&gt;0,SUM(W123:Z123),0)</f>
        <v>0</v>
      </c>
      <c r="AA124" s="443">
        <f t="shared" ref="AA124" si="489">IF(X123&lt;&gt;0,SUM(X123:AA123),0)</f>
        <v>0</v>
      </c>
      <c r="AB124" s="443">
        <f t="shared" ref="AB124:AC124" si="490">IF(Y123&lt;&gt;0,SUM(Y123:AB123),0)</f>
        <v>0</v>
      </c>
      <c r="AC124" s="443">
        <f t="shared" si="490"/>
        <v>0</v>
      </c>
      <c r="AD124" s="443">
        <f t="shared" ref="AD124" si="491">IF(AA123&lt;&gt;0,SUM(AA123:AD123),0)</f>
        <v>0</v>
      </c>
      <c r="AE124" s="443">
        <f t="shared" ref="AE124" si="492">IF(AB123&lt;&gt;0,SUM(AB123:AE123),0)</f>
        <v>0</v>
      </c>
      <c r="AF124" s="443">
        <f t="shared" ref="AF124" si="493">IF(AC123&lt;&gt;0,SUM(AC123:AF123),0)</f>
        <v>0</v>
      </c>
      <c r="AG124" s="443">
        <f t="shared" ref="AG124" si="494">IF(AD123&lt;&gt;0,SUM(AD123:AG123),0)</f>
        <v>0</v>
      </c>
      <c r="AH124" s="443">
        <f t="shared" ref="AH124" si="495">IF(AE123&lt;&gt;0,SUM(AE123:AH123),0)</f>
        <v>0</v>
      </c>
      <c r="AI124" s="443">
        <f t="shared" ref="AI124" si="496">IF(AF123&lt;&gt;0,SUM(AF123:AI123),0)</f>
        <v>0</v>
      </c>
      <c r="AJ124" s="443">
        <f t="shared" ref="AJ124" si="497">IF(AG123&lt;&gt;0,SUM(AG123:AJ123),0)</f>
        <v>0</v>
      </c>
      <c r="AK124" s="443">
        <f t="shared" ref="AK124" si="498">IF(AH123&lt;&gt;0,SUM(AH123:AK123),0)</f>
        <v>0</v>
      </c>
      <c r="AL124" s="443">
        <f t="shared" ref="AL124" si="499">IF(AI123&lt;&gt;0,SUM(AI123:AL123),0)</f>
        <v>0</v>
      </c>
      <c r="AM124" s="443">
        <f t="shared" ref="AM124" si="500">IF(AJ123&lt;&gt;0,SUM(AJ123:AM123),0)</f>
        <v>0</v>
      </c>
      <c r="AN124" s="443">
        <f t="shared" ref="AN124" si="501">IF(AK123&lt;&gt;0,SUM(AK123:AN123),0)</f>
        <v>0</v>
      </c>
      <c r="AO124" s="443">
        <f t="shared" ref="AO124" si="502">IF(AL123&lt;&gt;0,SUM(AL123:AO123),0)</f>
        <v>0</v>
      </c>
      <c r="AP124" s="443">
        <f t="shared" ref="AP124" si="503">IF(AM123&lt;&gt;0,SUM(AM123:AP123),0)</f>
        <v>0</v>
      </c>
      <c r="AQ124" s="443">
        <f t="shared" ref="AQ124" si="504">IF(AN123&lt;&gt;0,SUM(AN123:AQ123),0)</f>
        <v>0</v>
      </c>
      <c r="AR124" s="443">
        <f t="shared" ref="AR124" si="505">IF(AO123&lt;&gt;0,SUM(AO123:AR123),0)</f>
        <v>0</v>
      </c>
      <c r="AS124" s="443">
        <f t="shared" ref="AS124" si="506">IF(AP123&lt;&gt;0,SUM(AP123:AS123),0)</f>
        <v>0</v>
      </c>
      <c r="AT124" s="443">
        <f t="shared" ref="AT124" si="507">IF(AQ123&lt;&gt;0,SUM(AQ123:AT123),0)</f>
        <v>0</v>
      </c>
      <c r="AU124" s="443">
        <f t="shared" ref="AU124" si="508">IF(AR123&lt;&gt;0,SUM(AR123:AU123),0)</f>
        <v>0</v>
      </c>
      <c r="AV124" s="487">
        <f t="shared" ref="AV124" si="509">IF(AS123&lt;&gt;0,SUM(AS123:AV123),0)</f>
        <v>0</v>
      </c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77"/>
    </row>
    <row r="125" spans="2:70" customFormat="1" ht="11.25" customHeight="1" x14ac:dyDescent="0.2">
      <c r="B125" s="234" t="s">
        <v>189</v>
      </c>
      <c r="C125" s="392"/>
      <c r="E125" s="482"/>
      <c r="F125" s="482"/>
      <c r="G125" s="482"/>
      <c r="H125" s="443"/>
      <c r="I125" s="382">
        <f t="shared" ref="I125" si="510">IFERROR(I124/E124-1,0)</f>
        <v>0</v>
      </c>
      <c r="J125" s="382">
        <f t="shared" ref="J125" si="511">IFERROR(J124/F124-1,0)</f>
        <v>0</v>
      </c>
      <c r="K125" s="382">
        <f t="shared" ref="K125" si="512">IFERROR(K124/G124-1,0)</f>
        <v>0</v>
      </c>
      <c r="L125" s="382">
        <f t="shared" ref="L125" si="513">IFERROR(L124/H124-1,0)</f>
        <v>0</v>
      </c>
      <c r="M125" s="382">
        <f t="shared" ref="M125" si="514">IFERROR(M124/I124-1,0)</f>
        <v>0</v>
      </c>
      <c r="N125" s="382">
        <f t="shared" ref="N125" si="515">IFERROR(N124/J124-1,0)</f>
        <v>0</v>
      </c>
      <c r="O125" s="382">
        <f t="shared" ref="O125" si="516">IFERROR(O124/K124-1,0)</f>
        <v>0</v>
      </c>
      <c r="P125" s="382">
        <f t="shared" ref="P125" si="517">IFERROR(P124/L124-1,0)</f>
        <v>0</v>
      </c>
      <c r="Q125" s="382">
        <f t="shared" ref="Q125" si="518">IFERROR(Q124/M124-1,0)</f>
        <v>0</v>
      </c>
      <c r="R125" s="382">
        <f t="shared" ref="R125" si="519">IFERROR(R124/N124-1,0)</f>
        <v>0</v>
      </c>
      <c r="S125" s="382">
        <f t="shared" ref="S125" si="520">IFERROR(S124/O124-1,0)</f>
        <v>0</v>
      </c>
      <c r="T125" s="382">
        <f t="shared" ref="T125" si="521">IFERROR(T124/P124-1,0)</f>
        <v>0</v>
      </c>
      <c r="U125" s="382">
        <f t="shared" ref="U125" si="522">IFERROR(U124/Q124-1,0)</f>
        <v>0</v>
      </c>
      <c r="V125" s="382">
        <f t="shared" ref="V125" si="523">IFERROR(V124/R124-1,0)</f>
        <v>0</v>
      </c>
      <c r="W125" s="382">
        <f t="shared" ref="W125" si="524">IFERROR(W124/S124-1,0)</f>
        <v>0</v>
      </c>
      <c r="X125" s="382">
        <f t="shared" ref="X125" si="525">IFERROR(X124/T124-1,0)</f>
        <v>0</v>
      </c>
      <c r="Y125" s="382">
        <f t="shared" ref="Y125" si="526">IFERROR(Y124/U124-1,0)</f>
        <v>0</v>
      </c>
      <c r="Z125" s="382">
        <f t="shared" ref="Z125" si="527">IFERROR(Z124/V124-1,0)</f>
        <v>0</v>
      </c>
      <c r="AA125" s="382">
        <f t="shared" ref="AA125" si="528">IFERROR(AA124/W124-1,0)</f>
        <v>0</v>
      </c>
      <c r="AB125" s="382">
        <f t="shared" ref="AB125:AC125" si="529">IFERROR(AB124/X124-1,0)</f>
        <v>0</v>
      </c>
      <c r="AC125" s="382">
        <f t="shared" si="529"/>
        <v>0</v>
      </c>
      <c r="AD125" s="382">
        <f t="shared" ref="AD125" si="530">IFERROR(AD124/Z124-1,0)</f>
        <v>0</v>
      </c>
      <c r="AE125" s="382">
        <f t="shared" ref="AE125" si="531">IFERROR(AE124/AA124-1,0)</f>
        <v>0</v>
      </c>
      <c r="AF125" s="382">
        <f t="shared" ref="AF125" si="532">IFERROR(AF124/AB124-1,0)</f>
        <v>0</v>
      </c>
      <c r="AG125" s="382">
        <f t="shared" ref="AG125" si="533">IFERROR(AG124/AC124-1,0)</f>
        <v>0</v>
      </c>
      <c r="AH125" s="382">
        <f t="shared" ref="AH125" si="534">IFERROR(AH124/AD124-1,0)</f>
        <v>0</v>
      </c>
      <c r="AI125" s="382">
        <f t="shared" ref="AI125" si="535">IFERROR(AI124/AE124-1,0)</f>
        <v>0</v>
      </c>
      <c r="AJ125" s="382">
        <f t="shared" ref="AJ125" si="536">IFERROR(AJ124/AF124-1,0)</f>
        <v>0</v>
      </c>
      <c r="AK125" s="382">
        <f t="shared" ref="AK125" si="537">IFERROR(AK124/AG124-1,0)</f>
        <v>0</v>
      </c>
      <c r="AL125" s="382">
        <f t="shared" ref="AL125" si="538">IFERROR(AL124/AH124-1,0)</f>
        <v>0</v>
      </c>
      <c r="AM125" s="382">
        <f t="shared" ref="AM125" si="539">IFERROR(AM124/AI124-1,0)</f>
        <v>0</v>
      </c>
      <c r="AN125" s="382">
        <f t="shared" ref="AN125" si="540">IFERROR(AN124/AJ124-1,0)</f>
        <v>0</v>
      </c>
      <c r="AO125" s="382">
        <f t="shared" ref="AO125" si="541">IFERROR(AO124/AK124-1,0)</f>
        <v>0</v>
      </c>
      <c r="AP125" s="382">
        <f t="shared" ref="AP125" si="542">IFERROR(AP124/AL124-1,0)</f>
        <v>0</v>
      </c>
      <c r="AQ125" s="382">
        <f t="shared" ref="AQ125" si="543">IFERROR(AQ124/AM124-1,0)</f>
        <v>0</v>
      </c>
      <c r="AR125" s="382">
        <f t="shared" ref="AR125" si="544">IFERROR(AR124/AN124-1,0)</f>
        <v>0</v>
      </c>
      <c r="AS125" s="382">
        <f t="shared" ref="AS125" si="545">IFERROR(AS124/AO124-1,0)</f>
        <v>0</v>
      </c>
      <c r="AT125" s="382">
        <f t="shared" ref="AT125" si="546">IFERROR(AT124/AP124-1,0)</f>
        <v>0</v>
      </c>
      <c r="AU125" s="382">
        <f t="shared" ref="AU125" si="547">IFERROR(AU124/AQ124-1,0)</f>
        <v>0</v>
      </c>
      <c r="AV125" s="380">
        <f t="shared" ref="AV125" si="548">IFERROR(AV124/AR124-1,0)</f>
        <v>0</v>
      </c>
      <c r="AW125" s="86"/>
      <c r="AX125" s="86"/>
      <c r="AY125" s="86"/>
      <c r="AZ125" s="86"/>
      <c r="BA125" s="86"/>
      <c r="BB125" s="86"/>
      <c r="BC125" s="86"/>
      <c r="BD125" s="86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77"/>
    </row>
    <row r="126" spans="2:70" customFormat="1" ht="11.25" customHeight="1" x14ac:dyDescent="0.2">
      <c r="B126" s="234" t="s">
        <v>104</v>
      </c>
      <c r="C126" s="392"/>
      <c r="E126" s="482"/>
      <c r="F126" s="482"/>
      <c r="G126" s="482"/>
      <c r="H126" s="443"/>
      <c r="I126" s="443">
        <f>-Reported!G$92</f>
        <v>0</v>
      </c>
      <c r="J126" s="443">
        <f>-Reported!H$92</f>
        <v>0</v>
      </c>
      <c r="K126" s="443">
        <f>-Reported!I$92</f>
        <v>0</v>
      </c>
      <c r="L126" s="443">
        <f>-Reported!J$92</f>
        <v>0</v>
      </c>
      <c r="M126" s="443">
        <f>-Reported!K$92</f>
        <v>0</v>
      </c>
      <c r="N126" s="443">
        <f>-Reported!L$92</f>
        <v>0</v>
      </c>
      <c r="O126" s="443">
        <f>-Reported!M$92</f>
        <v>0</v>
      </c>
      <c r="P126" s="443">
        <f>-Reported!N$92</f>
        <v>0</v>
      </c>
      <c r="Q126" s="443">
        <f>-Reported!O$92</f>
        <v>0</v>
      </c>
      <c r="R126" s="443">
        <f>-Reported!P$92</f>
        <v>0</v>
      </c>
      <c r="S126" s="443">
        <f>-Reported!Q$92</f>
        <v>0</v>
      </c>
      <c r="T126" s="443">
        <f>-Reported!R$92</f>
        <v>0</v>
      </c>
      <c r="U126" s="443">
        <f>-Reported!S$92</f>
        <v>0</v>
      </c>
      <c r="V126" s="443">
        <f>-Reported!T$92</f>
        <v>0</v>
      </c>
      <c r="W126" s="443">
        <f>-Reported!U$92</f>
        <v>0</v>
      </c>
      <c r="X126" s="443">
        <f>-Reported!V$92</f>
        <v>0</v>
      </c>
      <c r="Y126" s="443">
        <f>-Reported!W$92</f>
        <v>0</v>
      </c>
      <c r="Z126" s="443">
        <f>-Reported!X$92</f>
        <v>0</v>
      </c>
      <c r="AA126" s="443">
        <f>-Reported!Y$92</f>
        <v>0</v>
      </c>
      <c r="AB126" s="443">
        <f>-Reported!Z$92</f>
        <v>0</v>
      </c>
      <c r="AC126" s="443">
        <f>-Reported!AA$92</f>
        <v>0</v>
      </c>
      <c r="AD126" s="443">
        <f>-Reported!AB$92</f>
        <v>0</v>
      </c>
      <c r="AE126" s="443">
        <f>-Reported!AC$92</f>
        <v>0</v>
      </c>
      <c r="AF126" s="443">
        <f>-Reported!AD$92</f>
        <v>0</v>
      </c>
      <c r="AG126" s="443">
        <f>-Reported!AE$92</f>
        <v>0</v>
      </c>
      <c r="AH126" s="443">
        <f>-Reported!AF$92</f>
        <v>0</v>
      </c>
      <c r="AI126" s="443">
        <f>-Reported!AG$92</f>
        <v>0</v>
      </c>
      <c r="AJ126" s="443">
        <f>-Reported!AH$92</f>
        <v>0</v>
      </c>
      <c r="AK126" s="443">
        <f>-Reported!AI$92</f>
        <v>0</v>
      </c>
      <c r="AL126" s="443">
        <f>-Reported!AJ$92</f>
        <v>0</v>
      </c>
      <c r="AM126" s="443">
        <f>-Reported!AK$92</f>
        <v>0</v>
      </c>
      <c r="AN126" s="443">
        <f>-Reported!AL$92</f>
        <v>0</v>
      </c>
      <c r="AO126" s="443">
        <f>-Reported!AM$92</f>
        <v>0</v>
      </c>
      <c r="AP126" s="443">
        <f>-Reported!AN$92</f>
        <v>0</v>
      </c>
      <c r="AQ126" s="443">
        <f>-Reported!AO$92</f>
        <v>0</v>
      </c>
      <c r="AR126" s="443">
        <f>-Reported!AP$92</f>
        <v>0</v>
      </c>
      <c r="AS126" s="443">
        <f>-Reported!AQ$92</f>
        <v>0</v>
      </c>
      <c r="AT126" s="443">
        <f>-Reported!AR$92</f>
        <v>0</v>
      </c>
      <c r="AU126" s="443">
        <f>-Reported!AS$92</f>
        <v>0</v>
      </c>
      <c r="AV126" s="487">
        <f>-Reported!AT$92</f>
        <v>0</v>
      </c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77"/>
    </row>
    <row r="127" spans="2:70" customFormat="1" ht="11.25" customHeight="1" x14ac:dyDescent="0.2">
      <c r="B127" s="234" t="s">
        <v>190</v>
      </c>
      <c r="C127" s="392"/>
      <c r="E127" s="482"/>
      <c r="F127" s="482"/>
      <c r="G127" s="482"/>
      <c r="H127" s="443"/>
      <c r="I127" s="443">
        <f t="shared" ref="I127:AC127" si="549">IF(AND(B97&lt;&gt;"",C97&lt;&gt;"",D97&lt;&gt;"",E97&lt;&gt;"",F97&lt;&gt;"",G97&lt;&gt;"",H97&lt;&gt;""),IFERROR(0.25*(4*F126/E97+3*(E126/D97+G126/F97)+2*(D126/C97+H126/G97)+I126/H97+(C126/B97)),0),0)</f>
        <v>0</v>
      </c>
      <c r="J127" s="443">
        <f t="shared" si="549"/>
        <v>0</v>
      </c>
      <c r="K127" s="443">
        <f t="shared" si="549"/>
        <v>0</v>
      </c>
      <c r="L127" s="443">
        <f t="shared" si="549"/>
        <v>0</v>
      </c>
      <c r="M127" s="443">
        <f t="shared" si="549"/>
        <v>0</v>
      </c>
      <c r="N127" s="443">
        <f t="shared" si="549"/>
        <v>0</v>
      </c>
      <c r="O127" s="443">
        <f t="shared" si="549"/>
        <v>0</v>
      </c>
      <c r="P127" s="443">
        <f t="shared" si="549"/>
        <v>0</v>
      </c>
      <c r="Q127" s="443">
        <f t="shared" si="549"/>
        <v>0</v>
      </c>
      <c r="R127" s="443">
        <f t="shared" si="549"/>
        <v>0</v>
      </c>
      <c r="S127" s="443">
        <f t="shared" si="549"/>
        <v>0</v>
      </c>
      <c r="T127" s="443">
        <f t="shared" si="549"/>
        <v>0</v>
      </c>
      <c r="U127" s="443">
        <f t="shared" si="549"/>
        <v>0</v>
      </c>
      <c r="V127" s="443">
        <f t="shared" si="549"/>
        <v>0</v>
      </c>
      <c r="W127" s="443">
        <f t="shared" si="549"/>
        <v>0</v>
      </c>
      <c r="X127" s="443">
        <f t="shared" si="549"/>
        <v>0</v>
      </c>
      <c r="Y127" s="443">
        <f t="shared" si="549"/>
        <v>0</v>
      </c>
      <c r="Z127" s="443">
        <f t="shared" si="549"/>
        <v>0</v>
      </c>
      <c r="AA127" s="443">
        <f t="shared" si="549"/>
        <v>0</v>
      </c>
      <c r="AB127" s="443">
        <f>IF(AND(U97&lt;&gt;"",V97&lt;&gt;"",W97&lt;&gt;"",X97&lt;&gt;"",Y97&lt;&gt;"",Z97&lt;&gt;"",AA97&lt;&gt;""),IFERROR(0.25*(4*Y126/X97+3*(X126/W97+Z126/Y97)+2*(W126/V97+AA126/Z97)+AB126/AA97+(V126/U97)),0),0)</f>
        <v>0</v>
      </c>
      <c r="AC127" s="443">
        <f t="shared" si="549"/>
        <v>0</v>
      </c>
      <c r="AD127" s="443">
        <f t="shared" ref="AD127:AV127" si="550">IF(AND(W97&lt;&gt;"",X97&lt;&gt;"",Y97&lt;&gt;"",Z97&lt;&gt;"",AA97&lt;&gt;"",AB97&lt;&gt;"",AC97&lt;&gt;""),IFERROR(0.25*(4*AA126/Z97+3*(Z126/Y97+AB126/AA97)+2*(Y126/X97+AC126/AB97)+AD126/AC97+(X126/W97)),0),0)</f>
        <v>0</v>
      </c>
      <c r="AE127" s="443">
        <f t="shared" si="550"/>
        <v>0</v>
      </c>
      <c r="AF127" s="443">
        <f t="shared" si="550"/>
        <v>0</v>
      </c>
      <c r="AG127" s="443">
        <f t="shared" si="550"/>
        <v>0</v>
      </c>
      <c r="AH127" s="443">
        <f t="shared" si="550"/>
        <v>0</v>
      </c>
      <c r="AI127" s="443">
        <f t="shared" si="550"/>
        <v>0</v>
      </c>
      <c r="AJ127" s="443">
        <f t="shared" si="550"/>
        <v>0</v>
      </c>
      <c r="AK127" s="443">
        <f t="shared" si="550"/>
        <v>0</v>
      </c>
      <c r="AL127" s="443">
        <f t="shared" si="550"/>
        <v>0</v>
      </c>
      <c r="AM127" s="443">
        <f t="shared" si="550"/>
        <v>0</v>
      </c>
      <c r="AN127" s="443">
        <f t="shared" si="550"/>
        <v>0</v>
      </c>
      <c r="AO127" s="443">
        <f t="shared" si="550"/>
        <v>0</v>
      </c>
      <c r="AP127" s="443">
        <f t="shared" si="550"/>
        <v>0</v>
      </c>
      <c r="AQ127" s="443">
        <f t="shared" si="550"/>
        <v>0</v>
      </c>
      <c r="AR127" s="443">
        <f t="shared" si="550"/>
        <v>0</v>
      </c>
      <c r="AS127" s="443">
        <f t="shared" si="550"/>
        <v>0</v>
      </c>
      <c r="AT127" s="443">
        <f t="shared" si="550"/>
        <v>0</v>
      </c>
      <c r="AU127" s="443">
        <f t="shared" si="550"/>
        <v>0</v>
      </c>
      <c r="AV127" s="487">
        <f t="shared" si="550"/>
        <v>0</v>
      </c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77"/>
    </row>
    <row r="128" spans="2:70" customFormat="1" ht="11.25" customHeight="1" x14ac:dyDescent="0.2">
      <c r="B128" s="234" t="s">
        <v>191</v>
      </c>
      <c r="E128" s="482"/>
      <c r="F128" s="482"/>
      <c r="G128" s="482"/>
      <c r="H128" s="443"/>
      <c r="I128" s="306">
        <f t="shared" ref="I128" si="551">IFERROR(I127/E124,0)</f>
        <v>0</v>
      </c>
      <c r="J128" s="306">
        <f t="shared" ref="J128" si="552">IFERROR(J127/F124,0)</f>
        <v>0</v>
      </c>
      <c r="K128" s="306">
        <f t="shared" ref="K128" si="553">IFERROR(K127/G124,0)</f>
        <v>0</v>
      </c>
      <c r="L128" s="306">
        <f t="shared" ref="L128" si="554">IFERROR(L127/H124,0)</f>
        <v>0</v>
      </c>
      <c r="M128" s="306">
        <f t="shared" ref="M128" si="555">IFERROR(M127/I124,0)</f>
        <v>0</v>
      </c>
      <c r="N128" s="306">
        <f t="shared" ref="N128" si="556">IFERROR(N127/J124,0)</f>
        <v>0</v>
      </c>
      <c r="O128" s="306">
        <f t="shared" ref="O128" si="557">IFERROR(O127/K124,0)</f>
        <v>0</v>
      </c>
      <c r="P128" s="306">
        <f t="shared" ref="P128" si="558">IFERROR(P127/L124,0)</f>
        <v>0</v>
      </c>
      <c r="Q128" s="306">
        <f t="shared" ref="Q128" si="559">IFERROR(Q127/M124,0)</f>
        <v>0</v>
      </c>
      <c r="R128" s="306">
        <f t="shared" ref="R128" si="560">IFERROR(R127/N124,0)</f>
        <v>0</v>
      </c>
      <c r="S128" s="306">
        <f t="shared" ref="S128" si="561">IFERROR(S127/O124,0)</f>
        <v>0</v>
      </c>
      <c r="T128" s="306">
        <f t="shared" ref="T128" si="562">IFERROR(T127/P124,0)</f>
        <v>0</v>
      </c>
      <c r="U128" s="306">
        <f t="shared" ref="U128" si="563">IFERROR(U127/Q124,0)</f>
        <v>0</v>
      </c>
      <c r="V128" s="306">
        <f t="shared" ref="V128" si="564">IFERROR(V127/R124,0)</f>
        <v>0</v>
      </c>
      <c r="W128" s="306">
        <f t="shared" ref="W128" si="565">IFERROR(W127/S124,0)</f>
        <v>0</v>
      </c>
      <c r="X128" s="306">
        <f t="shared" ref="X128" si="566">IFERROR(X127/T124,0)</f>
        <v>0</v>
      </c>
      <c r="Y128" s="306">
        <f t="shared" ref="Y128" si="567">IFERROR(Y127/U124,0)</f>
        <v>0</v>
      </c>
      <c r="Z128" s="306">
        <f t="shared" ref="Z128" si="568">IFERROR(Z127/V124,0)</f>
        <v>0</v>
      </c>
      <c r="AA128" s="306">
        <f t="shared" ref="AA128" si="569">IFERROR(AA127/W124,0)</f>
        <v>0</v>
      </c>
      <c r="AB128" s="306">
        <f t="shared" ref="AB128:AC128" si="570">IFERROR(AB127/X124,0)</f>
        <v>0</v>
      </c>
      <c r="AC128" s="306">
        <f t="shared" si="570"/>
        <v>0</v>
      </c>
      <c r="AD128" s="306">
        <f t="shared" ref="AD128" si="571">IFERROR(AD127/Z124,0)</f>
        <v>0</v>
      </c>
      <c r="AE128" s="306">
        <f t="shared" ref="AE128" si="572">IFERROR(AE127/AA124,0)</f>
        <v>0</v>
      </c>
      <c r="AF128" s="306">
        <f t="shared" ref="AF128" si="573">IFERROR(AF127/AB124,0)</f>
        <v>0</v>
      </c>
      <c r="AG128" s="306">
        <f t="shared" ref="AG128" si="574">IFERROR(AG127/AC124,0)</f>
        <v>0</v>
      </c>
      <c r="AH128" s="306">
        <f t="shared" ref="AH128" si="575">IFERROR(AH127/AD124,0)</f>
        <v>0</v>
      </c>
      <c r="AI128" s="306">
        <f t="shared" ref="AI128" si="576">IFERROR(AI127/AE124,0)</f>
        <v>0</v>
      </c>
      <c r="AJ128" s="306">
        <f t="shared" ref="AJ128" si="577">IFERROR(AJ127/AF124,0)</f>
        <v>0</v>
      </c>
      <c r="AK128" s="306">
        <f t="shared" ref="AK128" si="578">IFERROR(AK127/AG124,0)</f>
        <v>0</v>
      </c>
      <c r="AL128" s="306">
        <f t="shared" ref="AL128" si="579">IFERROR(AL127/AH124,0)</f>
        <v>0</v>
      </c>
      <c r="AM128" s="306">
        <f t="shared" ref="AM128" si="580">IFERROR(AM127/AI124,0)</f>
        <v>0</v>
      </c>
      <c r="AN128" s="306">
        <f t="shared" ref="AN128" si="581">IFERROR(AN127/AJ124,0)</f>
        <v>0</v>
      </c>
      <c r="AO128" s="306">
        <f t="shared" ref="AO128" si="582">IFERROR(AO127/AK124,0)</f>
        <v>0</v>
      </c>
      <c r="AP128" s="306">
        <f t="shared" ref="AP128" si="583">IFERROR(AP127/AL124,0)</f>
        <v>0</v>
      </c>
      <c r="AQ128" s="306">
        <f t="shared" ref="AQ128" si="584">IFERROR(AQ127/AM124,0)</f>
        <v>0</v>
      </c>
      <c r="AR128" s="306">
        <f t="shared" ref="AR128" si="585">IFERROR(AR127/AN124,0)</f>
        <v>0</v>
      </c>
      <c r="AS128" s="306">
        <f t="shared" ref="AS128" si="586">IFERROR(AS127/AO124,0)</f>
        <v>0</v>
      </c>
      <c r="AT128" s="306">
        <f t="shared" ref="AT128" si="587">IFERROR(AT127/AP124,0)</f>
        <v>0</v>
      </c>
      <c r="AU128" s="306">
        <f t="shared" ref="AU128" si="588">IFERROR(AU127/AQ124,0)</f>
        <v>0</v>
      </c>
      <c r="AV128" s="304">
        <f t="shared" ref="AV128" si="589">IFERROR(AV127/AR124,0)</f>
        <v>0</v>
      </c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77">
        <f t="shared" si="281"/>
        <v>125</v>
      </c>
    </row>
    <row r="129" spans="1:70" customFormat="1" ht="11.25" customHeight="1" x14ac:dyDescent="0.2">
      <c r="B129" s="234" t="s">
        <v>192</v>
      </c>
      <c r="C129" s="392" t="s">
        <v>197</v>
      </c>
      <c r="D129" s="475">
        <v>1000</v>
      </c>
      <c r="E129" s="482"/>
      <c r="F129" s="482"/>
      <c r="G129" s="482"/>
      <c r="H129" s="443"/>
      <c r="I129" s="382">
        <f>MAX(MIN(I125-I128,$D129),$D130)</f>
        <v>0</v>
      </c>
      <c r="J129" s="382">
        <f t="shared" ref="J129:AV129" si="590">MAX(MIN(J125-J128,$D129),$D130)</f>
        <v>0</v>
      </c>
      <c r="K129" s="382">
        <f t="shared" si="590"/>
        <v>0</v>
      </c>
      <c r="L129" s="382">
        <f t="shared" si="590"/>
        <v>0</v>
      </c>
      <c r="M129" s="382">
        <f t="shared" si="590"/>
        <v>0</v>
      </c>
      <c r="N129" s="382">
        <f t="shared" si="590"/>
        <v>0</v>
      </c>
      <c r="O129" s="382">
        <f t="shared" si="590"/>
        <v>0</v>
      </c>
      <c r="P129" s="382">
        <f t="shared" si="590"/>
        <v>0</v>
      </c>
      <c r="Q129" s="382">
        <f t="shared" si="590"/>
        <v>0</v>
      </c>
      <c r="R129" s="382">
        <f t="shared" si="590"/>
        <v>0</v>
      </c>
      <c r="S129" s="382">
        <f t="shared" si="590"/>
        <v>0</v>
      </c>
      <c r="T129" s="382">
        <f t="shared" si="590"/>
        <v>0</v>
      </c>
      <c r="U129" s="382">
        <f t="shared" si="590"/>
        <v>0</v>
      </c>
      <c r="V129" s="382">
        <f t="shared" si="590"/>
        <v>0</v>
      </c>
      <c r="W129" s="382">
        <f t="shared" si="590"/>
        <v>0</v>
      </c>
      <c r="X129" s="382">
        <f t="shared" si="590"/>
        <v>0</v>
      </c>
      <c r="Y129" s="382">
        <f t="shared" si="590"/>
        <v>0</v>
      </c>
      <c r="Z129" s="382">
        <f t="shared" si="590"/>
        <v>0</v>
      </c>
      <c r="AA129" s="382">
        <f t="shared" si="590"/>
        <v>0</v>
      </c>
      <c r="AB129" s="382">
        <f t="shared" si="590"/>
        <v>0</v>
      </c>
      <c r="AC129" s="382">
        <f t="shared" ref="AC129" si="591">MAX(MIN(AC125-AC128,$D129),$D130)</f>
        <v>0</v>
      </c>
      <c r="AD129" s="382">
        <f t="shared" si="590"/>
        <v>0</v>
      </c>
      <c r="AE129" s="382">
        <f t="shared" si="590"/>
        <v>0</v>
      </c>
      <c r="AF129" s="382">
        <f t="shared" si="590"/>
        <v>0</v>
      </c>
      <c r="AG129" s="382">
        <f t="shared" si="590"/>
        <v>0</v>
      </c>
      <c r="AH129" s="382">
        <f t="shared" si="590"/>
        <v>0</v>
      </c>
      <c r="AI129" s="382">
        <f t="shared" si="590"/>
        <v>0</v>
      </c>
      <c r="AJ129" s="382">
        <f t="shared" si="590"/>
        <v>0</v>
      </c>
      <c r="AK129" s="382">
        <f t="shared" si="590"/>
        <v>0</v>
      </c>
      <c r="AL129" s="382">
        <f t="shared" si="590"/>
        <v>0</v>
      </c>
      <c r="AM129" s="382">
        <f t="shared" si="590"/>
        <v>0</v>
      </c>
      <c r="AN129" s="382">
        <f t="shared" si="590"/>
        <v>0</v>
      </c>
      <c r="AO129" s="382">
        <f t="shared" si="590"/>
        <v>0</v>
      </c>
      <c r="AP129" s="382">
        <f t="shared" si="590"/>
        <v>0</v>
      </c>
      <c r="AQ129" s="382">
        <f t="shared" si="590"/>
        <v>0</v>
      </c>
      <c r="AR129" s="382">
        <f t="shared" si="590"/>
        <v>0</v>
      </c>
      <c r="AS129" s="382">
        <f t="shared" si="590"/>
        <v>0</v>
      </c>
      <c r="AT129" s="382">
        <f t="shared" si="590"/>
        <v>0</v>
      </c>
      <c r="AU129" s="382">
        <f t="shared" si="590"/>
        <v>0</v>
      </c>
      <c r="AV129" s="382">
        <f t="shared" si="590"/>
        <v>0</v>
      </c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77">
        <f t="shared" si="281"/>
        <v>126</v>
      </c>
    </row>
    <row r="130" spans="1:70" customFormat="1" ht="11.25" customHeight="1" x14ac:dyDescent="0.2">
      <c r="B130" s="234" t="s">
        <v>193</v>
      </c>
      <c r="C130" s="392" t="s">
        <v>198</v>
      </c>
      <c r="D130" s="475">
        <v>0</v>
      </c>
      <c r="E130" s="483"/>
      <c r="F130" s="483"/>
      <c r="G130" s="483"/>
      <c r="H130" s="484"/>
      <c r="I130" s="485">
        <f t="shared" ref="I130:AA130" si="592">IF(I129&gt;0,MIN(IFERROR(EXP($D$123*I129+$D$124),0),100),0)</f>
        <v>0</v>
      </c>
      <c r="J130" s="485">
        <f t="shared" si="592"/>
        <v>0</v>
      </c>
      <c r="K130" s="485">
        <f t="shared" si="592"/>
        <v>0</v>
      </c>
      <c r="L130" s="485">
        <f t="shared" si="592"/>
        <v>0</v>
      </c>
      <c r="M130" s="485">
        <f t="shared" si="592"/>
        <v>0</v>
      </c>
      <c r="N130" s="485">
        <f t="shared" si="592"/>
        <v>0</v>
      </c>
      <c r="O130" s="485">
        <f t="shared" si="592"/>
        <v>0</v>
      </c>
      <c r="P130" s="485">
        <f t="shared" si="592"/>
        <v>0</v>
      </c>
      <c r="Q130" s="485">
        <f t="shared" si="592"/>
        <v>0</v>
      </c>
      <c r="R130" s="485">
        <f t="shared" si="592"/>
        <v>0</v>
      </c>
      <c r="S130" s="485">
        <f t="shared" si="592"/>
        <v>0</v>
      </c>
      <c r="T130" s="485">
        <f t="shared" si="592"/>
        <v>0</v>
      </c>
      <c r="U130" s="485">
        <f t="shared" si="592"/>
        <v>0</v>
      </c>
      <c r="V130" s="485">
        <f t="shared" si="592"/>
        <v>0</v>
      </c>
      <c r="W130" s="485">
        <f t="shared" si="592"/>
        <v>0</v>
      </c>
      <c r="X130" s="485">
        <f t="shared" si="592"/>
        <v>0</v>
      </c>
      <c r="Y130" s="485">
        <f t="shared" si="592"/>
        <v>0</v>
      </c>
      <c r="Z130" s="485">
        <f t="shared" si="592"/>
        <v>0</v>
      </c>
      <c r="AA130" s="485">
        <f t="shared" si="592"/>
        <v>0</v>
      </c>
      <c r="AB130" s="485">
        <f>IF(AB129&gt;0,MIN(IFERROR(EXP($D$123*AB129+$D$124),0),100),0)</f>
        <v>0</v>
      </c>
      <c r="AC130" s="485">
        <f t="shared" ref="AC130" si="593">IF(AC129&gt;0,MIN(IFERROR(EXP($D$123*AC129+$D$124),0),100),0)</f>
        <v>0</v>
      </c>
      <c r="AD130" s="485">
        <f t="shared" ref="AD130:AV130" si="594">IF(AD129&gt;0,MIN(IFERROR(EXP($D$123*AD129+$D$124),0),100),0)</f>
        <v>0</v>
      </c>
      <c r="AE130" s="485">
        <f t="shared" si="594"/>
        <v>0</v>
      </c>
      <c r="AF130" s="485">
        <f t="shared" si="594"/>
        <v>0</v>
      </c>
      <c r="AG130" s="485">
        <f t="shared" si="594"/>
        <v>0</v>
      </c>
      <c r="AH130" s="485">
        <f t="shared" si="594"/>
        <v>0</v>
      </c>
      <c r="AI130" s="485">
        <f t="shared" si="594"/>
        <v>0</v>
      </c>
      <c r="AJ130" s="485">
        <f t="shared" si="594"/>
        <v>0</v>
      </c>
      <c r="AK130" s="485">
        <f t="shared" si="594"/>
        <v>0</v>
      </c>
      <c r="AL130" s="485">
        <f t="shared" si="594"/>
        <v>0</v>
      </c>
      <c r="AM130" s="485">
        <f t="shared" si="594"/>
        <v>0</v>
      </c>
      <c r="AN130" s="485">
        <f t="shared" si="594"/>
        <v>0</v>
      </c>
      <c r="AO130" s="485">
        <f t="shared" si="594"/>
        <v>0</v>
      </c>
      <c r="AP130" s="485">
        <f t="shared" si="594"/>
        <v>0</v>
      </c>
      <c r="AQ130" s="485">
        <f t="shared" si="594"/>
        <v>0</v>
      </c>
      <c r="AR130" s="485">
        <f t="shared" si="594"/>
        <v>0</v>
      </c>
      <c r="AS130" s="485">
        <f t="shared" si="594"/>
        <v>0</v>
      </c>
      <c r="AT130" s="485">
        <f t="shared" si="594"/>
        <v>0</v>
      </c>
      <c r="AU130" s="485">
        <f t="shared" si="594"/>
        <v>0</v>
      </c>
      <c r="AV130" s="489">
        <f t="shared" si="594"/>
        <v>0</v>
      </c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77"/>
    </row>
    <row r="131" spans="1:70" customFormat="1" ht="11.25" customHeight="1" x14ac:dyDescent="0.2">
      <c r="B131" s="234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77">
        <f t="shared" si="281"/>
        <v>128</v>
      </c>
    </row>
    <row r="132" spans="1:70" ht="12" x14ac:dyDescent="0.15">
      <c r="A132" s="77"/>
      <c r="B132" s="187" t="s">
        <v>78</v>
      </c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127"/>
      <c r="AP132" s="127"/>
      <c r="AQ132" s="85"/>
      <c r="AR132" s="85"/>
      <c r="AS132" s="127"/>
      <c r="AT132" s="127"/>
      <c r="AU132" s="85"/>
      <c r="AV132" s="85"/>
      <c r="AW132" s="85"/>
      <c r="BR132" s="77">
        <f t="shared" si="354"/>
        <v>129</v>
      </c>
    </row>
    <row r="133" spans="1:70" ht="12" x14ac:dyDescent="0.15">
      <c r="A133" s="98"/>
      <c r="B133" s="195" t="s">
        <v>151</v>
      </c>
      <c r="C133" s="85"/>
      <c r="D133" s="85"/>
      <c r="E133" s="320">
        <f t="shared" ref="E133:AV133" si="595">IFERROR((E$120*SUM(B52:E52)+E$109)/E$106,0)</f>
        <v>0</v>
      </c>
      <c r="F133" s="321">
        <f t="shared" si="595"/>
        <v>0</v>
      </c>
      <c r="G133" s="321">
        <f t="shared" si="595"/>
        <v>0</v>
      </c>
      <c r="H133" s="321">
        <f t="shared" si="595"/>
        <v>0</v>
      </c>
      <c r="I133" s="320">
        <f t="shared" si="595"/>
        <v>0</v>
      </c>
      <c r="J133" s="321">
        <f t="shared" si="595"/>
        <v>0</v>
      </c>
      <c r="K133" s="321">
        <f t="shared" si="595"/>
        <v>0</v>
      </c>
      <c r="L133" s="321">
        <f t="shared" si="595"/>
        <v>0</v>
      </c>
      <c r="M133" s="320">
        <f t="shared" si="595"/>
        <v>0</v>
      </c>
      <c r="N133" s="321">
        <f t="shared" si="595"/>
        <v>0</v>
      </c>
      <c r="O133" s="321">
        <f t="shared" si="595"/>
        <v>0</v>
      </c>
      <c r="P133" s="321">
        <f t="shared" si="595"/>
        <v>0</v>
      </c>
      <c r="Q133" s="320">
        <f t="shared" si="595"/>
        <v>0</v>
      </c>
      <c r="R133" s="321">
        <f t="shared" si="595"/>
        <v>0</v>
      </c>
      <c r="S133" s="321">
        <f t="shared" si="595"/>
        <v>0</v>
      </c>
      <c r="T133" s="321">
        <f t="shared" si="595"/>
        <v>0</v>
      </c>
      <c r="U133" s="320">
        <f t="shared" si="595"/>
        <v>0</v>
      </c>
      <c r="V133" s="321">
        <f t="shared" si="595"/>
        <v>0</v>
      </c>
      <c r="W133" s="321">
        <f t="shared" si="595"/>
        <v>0</v>
      </c>
      <c r="X133" s="321">
        <f t="shared" si="595"/>
        <v>0</v>
      </c>
      <c r="Y133" s="320">
        <f t="shared" si="595"/>
        <v>0</v>
      </c>
      <c r="Z133" s="321">
        <f t="shared" si="595"/>
        <v>0</v>
      </c>
      <c r="AA133" s="321">
        <f t="shared" si="595"/>
        <v>0</v>
      </c>
      <c r="AB133" s="321">
        <f t="shared" si="595"/>
        <v>0</v>
      </c>
      <c r="AC133" s="320">
        <f t="shared" si="595"/>
        <v>0</v>
      </c>
      <c r="AD133" s="323">
        <f t="shared" si="595"/>
        <v>0</v>
      </c>
      <c r="AE133" s="323">
        <f t="shared" si="595"/>
        <v>0</v>
      </c>
      <c r="AF133" s="324">
        <f t="shared" si="595"/>
        <v>0</v>
      </c>
      <c r="AG133" s="322">
        <f t="shared" si="595"/>
        <v>0</v>
      </c>
      <c r="AH133" s="323">
        <f t="shared" si="595"/>
        <v>0</v>
      </c>
      <c r="AI133" s="323">
        <f t="shared" si="595"/>
        <v>0</v>
      </c>
      <c r="AJ133" s="324">
        <f t="shared" si="595"/>
        <v>0</v>
      </c>
      <c r="AK133" s="322">
        <f t="shared" si="595"/>
        <v>0</v>
      </c>
      <c r="AL133" s="323">
        <f t="shared" si="595"/>
        <v>0</v>
      </c>
      <c r="AM133" s="323">
        <f t="shared" si="595"/>
        <v>0</v>
      </c>
      <c r="AN133" s="324">
        <f t="shared" si="595"/>
        <v>0</v>
      </c>
      <c r="AO133" s="322">
        <f t="shared" si="595"/>
        <v>0</v>
      </c>
      <c r="AP133" s="323">
        <f t="shared" si="595"/>
        <v>0</v>
      </c>
      <c r="AQ133" s="323">
        <f t="shared" si="595"/>
        <v>0</v>
      </c>
      <c r="AR133" s="324">
        <f t="shared" si="595"/>
        <v>0</v>
      </c>
      <c r="AS133" s="322">
        <f t="shared" si="595"/>
        <v>0</v>
      </c>
      <c r="AT133" s="323">
        <f t="shared" si="595"/>
        <v>0</v>
      </c>
      <c r="AU133" s="323">
        <f t="shared" si="595"/>
        <v>0</v>
      </c>
      <c r="AV133" s="324">
        <f t="shared" si="595"/>
        <v>0</v>
      </c>
      <c r="AW133" s="85"/>
      <c r="BR133" s="77">
        <f t="shared" si="354"/>
        <v>130</v>
      </c>
    </row>
    <row r="134" spans="1:70" s="174" customFormat="1" ht="12" x14ac:dyDescent="0.15">
      <c r="A134" s="173"/>
      <c r="B134" s="196" t="s">
        <v>48</v>
      </c>
      <c r="C134" s="173"/>
      <c r="D134" s="173"/>
      <c r="E134" s="166">
        <f t="shared" ref="E134:AV134" si="596">MAX(0,IFERROR((E$130*E75+E$109)/E$106,0))</f>
        <v>0</v>
      </c>
      <c r="F134" s="294">
        <f t="shared" si="596"/>
        <v>0</v>
      </c>
      <c r="G134" s="294">
        <f t="shared" si="596"/>
        <v>0</v>
      </c>
      <c r="H134" s="294">
        <f t="shared" si="596"/>
        <v>0</v>
      </c>
      <c r="I134" s="166">
        <f t="shared" si="596"/>
        <v>0</v>
      </c>
      <c r="J134" s="294">
        <f t="shared" si="596"/>
        <v>0</v>
      </c>
      <c r="K134" s="294">
        <f t="shared" si="596"/>
        <v>0</v>
      </c>
      <c r="L134" s="294">
        <f t="shared" si="596"/>
        <v>0</v>
      </c>
      <c r="M134" s="166">
        <f t="shared" si="596"/>
        <v>0</v>
      </c>
      <c r="N134" s="294">
        <f t="shared" si="596"/>
        <v>0</v>
      </c>
      <c r="O134" s="294">
        <f t="shared" si="596"/>
        <v>0</v>
      </c>
      <c r="P134" s="294">
        <f t="shared" si="596"/>
        <v>0</v>
      </c>
      <c r="Q134" s="166">
        <f t="shared" si="596"/>
        <v>0</v>
      </c>
      <c r="R134" s="294">
        <f t="shared" si="596"/>
        <v>0</v>
      </c>
      <c r="S134" s="294">
        <f t="shared" si="596"/>
        <v>0</v>
      </c>
      <c r="T134" s="294">
        <f t="shared" si="596"/>
        <v>0</v>
      </c>
      <c r="U134" s="166">
        <f t="shared" si="596"/>
        <v>0</v>
      </c>
      <c r="V134" s="294">
        <f t="shared" si="596"/>
        <v>0</v>
      </c>
      <c r="W134" s="294">
        <f t="shared" si="596"/>
        <v>0</v>
      </c>
      <c r="X134" s="294">
        <f t="shared" si="596"/>
        <v>0</v>
      </c>
      <c r="Y134" s="166">
        <f t="shared" si="596"/>
        <v>0</v>
      </c>
      <c r="Z134" s="294">
        <f t="shared" si="596"/>
        <v>0</v>
      </c>
      <c r="AA134" s="294">
        <f t="shared" si="596"/>
        <v>0</v>
      </c>
      <c r="AB134" s="294">
        <f t="shared" si="596"/>
        <v>0</v>
      </c>
      <c r="AC134" s="166">
        <f t="shared" ref="AC134" si="597">MAX(0,IFERROR((AC$130*AC75+AC$109)/AC$106,0))</f>
        <v>0</v>
      </c>
      <c r="AD134" s="295">
        <f t="shared" si="596"/>
        <v>0</v>
      </c>
      <c r="AE134" s="295">
        <f t="shared" si="596"/>
        <v>0</v>
      </c>
      <c r="AF134" s="296">
        <f>MAX(0,IFERROR((AF$130*AF75+AF$109)/AF$106,0))</f>
        <v>0</v>
      </c>
      <c r="AG134" s="168">
        <f t="shared" si="596"/>
        <v>0</v>
      </c>
      <c r="AH134" s="295">
        <f t="shared" si="596"/>
        <v>0</v>
      </c>
      <c r="AI134" s="295">
        <f t="shared" si="596"/>
        <v>0</v>
      </c>
      <c r="AJ134" s="296">
        <f t="shared" si="596"/>
        <v>0</v>
      </c>
      <c r="AK134" s="168">
        <f t="shared" si="596"/>
        <v>0</v>
      </c>
      <c r="AL134" s="295">
        <f t="shared" si="596"/>
        <v>0</v>
      </c>
      <c r="AM134" s="295">
        <f t="shared" si="596"/>
        <v>0</v>
      </c>
      <c r="AN134" s="296">
        <f t="shared" si="596"/>
        <v>0</v>
      </c>
      <c r="AO134" s="168">
        <f t="shared" si="596"/>
        <v>0</v>
      </c>
      <c r="AP134" s="295">
        <f t="shared" si="596"/>
        <v>0</v>
      </c>
      <c r="AQ134" s="295">
        <f t="shared" si="596"/>
        <v>0</v>
      </c>
      <c r="AR134" s="296">
        <f t="shared" si="596"/>
        <v>0</v>
      </c>
      <c r="AS134" s="168">
        <f t="shared" si="596"/>
        <v>0</v>
      </c>
      <c r="AT134" s="295">
        <f t="shared" si="596"/>
        <v>0</v>
      </c>
      <c r="AU134" s="295">
        <f t="shared" si="596"/>
        <v>0</v>
      </c>
      <c r="AV134" s="296">
        <f t="shared" si="596"/>
        <v>0</v>
      </c>
      <c r="AW134" s="173"/>
      <c r="BE134" s="206"/>
      <c r="BR134" s="77">
        <f t="shared" si="354"/>
        <v>131</v>
      </c>
    </row>
    <row r="135" spans="1:70" ht="12" x14ac:dyDescent="0.15">
      <c r="A135" s="98"/>
      <c r="B135" s="195"/>
      <c r="C135" s="85"/>
      <c r="D135" s="85"/>
      <c r="E135" s="125"/>
      <c r="F135" s="140"/>
      <c r="G135" s="140"/>
      <c r="H135" s="140"/>
      <c r="I135" s="125"/>
      <c r="J135" s="140"/>
      <c r="K135" s="140"/>
      <c r="L135" s="140"/>
      <c r="M135" s="125"/>
      <c r="N135" s="140"/>
      <c r="O135" s="140"/>
      <c r="P135" s="140"/>
      <c r="Q135" s="125"/>
      <c r="R135" s="140"/>
      <c r="S135" s="140"/>
      <c r="T135" s="140"/>
      <c r="U135" s="125"/>
      <c r="V135" s="140"/>
      <c r="W135" s="140"/>
      <c r="X135" s="140"/>
      <c r="Y135" s="125"/>
      <c r="Z135" s="140"/>
      <c r="AA135" s="140"/>
      <c r="AB135" s="140"/>
      <c r="AC135" s="125"/>
      <c r="AD135" s="92"/>
      <c r="AE135" s="92"/>
      <c r="AF135" s="249"/>
      <c r="AG135" s="126"/>
      <c r="AH135" s="92"/>
      <c r="AI135" s="92"/>
      <c r="AJ135" s="249"/>
      <c r="AK135" s="126"/>
      <c r="AL135" s="92"/>
      <c r="AM135" s="92"/>
      <c r="AN135" s="249"/>
      <c r="AO135" s="84"/>
      <c r="AP135" s="248"/>
      <c r="AQ135" s="92"/>
      <c r="AR135" s="249"/>
      <c r="AS135" s="84"/>
      <c r="AT135" s="248"/>
      <c r="AU135" s="92"/>
      <c r="AV135" s="249"/>
      <c r="AW135" s="85"/>
      <c r="BR135" s="77">
        <f t="shared" si="354"/>
        <v>132</v>
      </c>
    </row>
    <row r="136" spans="1:70" ht="12" x14ac:dyDescent="0.15">
      <c r="A136" s="95"/>
      <c r="B136" s="191" t="str">
        <f>"Max Price ("&amp;Reported!$A$3&amp;")"</f>
        <v>Max Price ()</v>
      </c>
      <c r="C136" s="128"/>
      <c r="D136" s="128"/>
      <c r="E136" s="125"/>
      <c r="F136" s="140"/>
      <c r="G136" s="140"/>
      <c r="H136" s="140"/>
      <c r="I136" s="125"/>
      <c r="J136" s="140"/>
      <c r="K136" s="140"/>
      <c r="L136" s="246">
        <f>MAX(L133,L134)</f>
        <v>0</v>
      </c>
      <c r="M136" s="307">
        <f t="shared" ref="M136:AV136" si="598">MAX(M133,M134)</f>
        <v>0</v>
      </c>
      <c r="N136" s="246">
        <f t="shared" si="598"/>
        <v>0</v>
      </c>
      <c r="O136" s="246">
        <f t="shared" si="598"/>
        <v>0</v>
      </c>
      <c r="P136" s="246">
        <f t="shared" si="598"/>
        <v>0</v>
      </c>
      <c r="Q136" s="307">
        <f t="shared" si="598"/>
        <v>0</v>
      </c>
      <c r="R136" s="246">
        <f t="shared" si="598"/>
        <v>0</v>
      </c>
      <c r="S136" s="246">
        <f t="shared" si="598"/>
        <v>0</v>
      </c>
      <c r="T136" s="246">
        <f t="shared" si="598"/>
        <v>0</v>
      </c>
      <c r="U136" s="307">
        <f t="shared" si="598"/>
        <v>0</v>
      </c>
      <c r="V136" s="246">
        <f t="shared" si="598"/>
        <v>0</v>
      </c>
      <c r="W136" s="246">
        <f t="shared" si="598"/>
        <v>0</v>
      </c>
      <c r="X136" s="246">
        <f t="shared" si="598"/>
        <v>0</v>
      </c>
      <c r="Y136" s="307">
        <f t="shared" si="598"/>
        <v>0</v>
      </c>
      <c r="Z136" s="246">
        <f t="shared" si="598"/>
        <v>0</v>
      </c>
      <c r="AA136" s="246">
        <f t="shared" si="598"/>
        <v>0</v>
      </c>
      <c r="AB136" s="246">
        <f t="shared" si="598"/>
        <v>0</v>
      </c>
      <c r="AC136" s="307">
        <f t="shared" ref="AC136" si="599">MAX(AC133,AC134)</f>
        <v>0</v>
      </c>
      <c r="AD136" s="250">
        <f t="shared" si="598"/>
        <v>0</v>
      </c>
      <c r="AE136" s="250">
        <f t="shared" si="598"/>
        <v>0</v>
      </c>
      <c r="AF136" s="251">
        <f t="shared" si="598"/>
        <v>0</v>
      </c>
      <c r="AG136" s="254">
        <f t="shared" si="598"/>
        <v>0</v>
      </c>
      <c r="AH136" s="250">
        <f t="shared" si="598"/>
        <v>0</v>
      </c>
      <c r="AI136" s="250">
        <f t="shared" si="598"/>
        <v>0</v>
      </c>
      <c r="AJ136" s="251">
        <f t="shared" si="598"/>
        <v>0</v>
      </c>
      <c r="AK136" s="254">
        <f t="shared" si="598"/>
        <v>0</v>
      </c>
      <c r="AL136" s="250">
        <f t="shared" si="598"/>
        <v>0</v>
      </c>
      <c r="AM136" s="250">
        <f t="shared" si="598"/>
        <v>0</v>
      </c>
      <c r="AN136" s="251">
        <f t="shared" si="598"/>
        <v>0</v>
      </c>
      <c r="AO136" s="254">
        <f t="shared" si="598"/>
        <v>0</v>
      </c>
      <c r="AP136" s="250">
        <f t="shared" si="598"/>
        <v>0</v>
      </c>
      <c r="AQ136" s="250">
        <f t="shared" si="598"/>
        <v>0</v>
      </c>
      <c r="AR136" s="251">
        <f t="shared" si="598"/>
        <v>0</v>
      </c>
      <c r="AS136" s="254">
        <f t="shared" si="598"/>
        <v>0</v>
      </c>
      <c r="AT136" s="250">
        <f t="shared" si="598"/>
        <v>0</v>
      </c>
      <c r="AU136" s="250">
        <f t="shared" si="598"/>
        <v>0</v>
      </c>
      <c r="AV136" s="251">
        <f t="shared" si="598"/>
        <v>0</v>
      </c>
      <c r="AW136" s="85"/>
      <c r="BR136" s="77">
        <f t="shared" si="354"/>
        <v>133</v>
      </c>
    </row>
    <row r="137" spans="1:70" ht="12" x14ac:dyDescent="0.15">
      <c r="A137" s="95"/>
      <c r="B137" s="191" t="s">
        <v>121</v>
      </c>
      <c r="C137" s="128"/>
      <c r="D137" s="128"/>
      <c r="E137" s="158"/>
      <c r="F137" s="159"/>
      <c r="G137" s="159"/>
      <c r="H137" s="159"/>
      <c r="I137" s="158"/>
      <c r="J137" s="159"/>
      <c r="K137" s="159"/>
      <c r="L137" s="247" t="e">
        <f t="shared" ref="L137:AV137" si="600">L136*L91</f>
        <v>#REF!</v>
      </c>
      <c r="M137" s="308" t="e">
        <f t="shared" si="600"/>
        <v>#REF!</v>
      </c>
      <c r="N137" s="247" t="e">
        <f t="shared" si="600"/>
        <v>#REF!</v>
      </c>
      <c r="O137" s="247" t="e">
        <f t="shared" si="600"/>
        <v>#REF!</v>
      </c>
      <c r="P137" s="247" t="e">
        <f t="shared" si="600"/>
        <v>#REF!</v>
      </c>
      <c r="Q137" s="308" t="e">
        <f t="shared" si="600"/>
        <v>#REF!</v>
      </c>
      <c r="R137" s="247" t="e">
        <f t="shared" si="600"/>
        <v>#REF!</v>
      </c>
      <c r="S137" s="247" t="e">
        <f t="shared" si="600"/>
        <v>#REF!</v>
      </c>
      <c r="T137" s="247" t="e">
        <f t="shared" si="600"/>
        <v>#REF!</v>
      </c>
      <c r="U137" s="308" t="e">
        <f t="shared" si="600"/>
        <v>#REF!</v>
      </c>
      <c r="V137" s="247" t="e">
        <f t="shared" si="600"/>
        <v>#REF!</v>
      </c>
      <c r="W137" s="247" t="e">
        <f t="shared" si="600"/>
        <v>#REF!</v>
      </c>
      <c r="X137" s="247" t="e">
        <f t="shared" si="600"/>
        <v>#REF!</v>
      </c>
      <c r="Y137" s="308" t="e">
        <f t="shared" si="600"/>
        <v>#REF!</v>
      </c>
      <c r="Z137" s="247" t="e">
        <f t="shared" si="600"/>
        <v>#REF!</v>
      </c>
      <c r="AA137" s="247" t="e">
        <f t="shared" si="600"/>
        <v>#REF!</v>
      </c>
      <c r="AB137" s="247" t="e">
        <f t="shared" si="600"/>
        <v>#REF!</v>
      </c>
      <c r="AC137" s="308" t="e">
        <f t="shared" ref="AC137" si="601">AC136*AC91</f>
        <v>#REF!</v>
      </c>
      <c r="AD137" s="252" t="e">
        <f t="shared" si="600"/>
        <v>#REF!</v>
      </c>
      <c r="AE137" s="252" t="e">
        <f t="shared" si="600"/>
        <v>#REF!</v>
      </c>
      <c r="AF137" s="253" t="e">
        <f t="shared" si="600"/>
        <v>#REF!</v>
      </c>
      <c r="AG137" s="255" t="e">
        <f t="shared" si="600"/>
        <v>#REF!</v>
      </c>
      <c r="AH137" s="252" t="e">
        <f t="shared" si="600"/>
        <v>#REF!</v>
      </c>
      <c r="AI137" s="252" t="e">
        <f t="shared" si="600"/>
        <v>#REF!</v>
      </c>
      <c r="AJ137" s="253" t="e">
        <f t="shared" si="600"/>
        <v>#REF!</v>
      </c>
      <c r="AK137" s="255" t="e">
        <f t="shared" si="600"/>
        <v>#REF!</v>
      </c>
      <c r="AL137" s="252" t="e">
        <f t="shared" si="600"/>
        <v>#REF!</v>
      </c>
      <c r="AM137" s="252" t="e">
        <f t="shared" si="600"/>
        <v>#REF!</v>
      </c>
      <c r="AN137" s="253" t="e">
        <f t="shared" si="600"/>
        <v>#REF!</v>
      </c>
      <c r="AO137" s="255" t="e">
        <f t="shared" si="600"/>
        <v>#REF!</v>
      </c>
      <c r="AP137" s="252" t="e">
        <f t="shared" si="600"/>
        <v>#REF!</v>
      </c>
      <c r="AQ137" s="252" t="e">
        <f t="shared" si="600"/>
        <v>#REF!</v>
      </c>
      <c r="AR137" s="253" t="e">
        <f t="shared" si="600"/>
        <v>#REF!</v>
      </c>
      <c r="AS137" s="255" t="e">
        <f t="shared" si="600"/>
        <v>#REF!</v>
      </c>
      <c r="AT137" s="252" t="e">
        <f t="shared" si="600"/>
        <v>#REF!</v>
      </c>
      <c r="AU137" s="252" t="e">
        <f t="shared" si="600"/>
        <v>#REF!</v>
      </c>
      <c r="AV137" s="253" t="e">
        <f t="shared" si="600"/>
        <v>#REF!</v>
      </c>
      <c r="AW137" s="85"/>
      <c r="BR137" s="77">
        <f t="shared" si="354"/>
        <v>134</v>
      </c>
    </row>
    <row r="138" spans="1:70" ht="12" x14ac:dyDescent="0.15">
      <c r="A138" s="95"/>
      <c r="B138" s="191"/>
      <c r="C138" s="128"/>
      <c r="D138" s="128"/>
      <c r="E138" s="142"/>
      <c r="F138" s="142"/>
      <c r="G138" s="142"/>
      <c r="H138" s="142"/>
      <c r="I138" s="142"/>
      <c r="J138" s="142"/>
      <c r="K138" s="142"/>
      <c r="L138" s="490"/>
      <c r="M138" s="490"/>
      <c r="N138" s="490"/>
      <c r="O138" s="490"/>
      <c r="P138" s="490"/>
      <c r="Q138" s="490"/>
      <c r="R138" s="490"/>
      <c r="S138" s="490"/>
      <c r="T138" s="490"/>
      <c r="U138" s="490"/>
      <c r="V138" s="490"/>
      <c r="W138" s="490"/>
      <c r="X138" s="490"/>
      <c r="Y138" s="490"/>
      <c r="Z138" s="490"/>
      <c r="AA138" s="490"/>
      <c r="AB138" s="490"/>
      <c r="AC138" s="490"/>
      <c r="AD138" s="490"/>
      <c r="AE138" s="490"/>
      <c r="AF138" s="490"/>
      <c r="AG138" s="490"/>
      <c r="AH138" s="490"/>
      <c r="AI138" s="490"/>
      <c r="AJ138" s="490"/>
      <c r="AK138" s="490"/>
      <c r="AL138" s="490"/>
      <c r="AM138" s="490"/>
      <c r="AN138" s="490"/>
      <c r="AO138" s="490"/>
      <c r="AP138" s="490"/>
      <c r="AQ138" s="490"/>
      <c r="AR138" s="490"/>
      <c r="AS138" s="490"/>
      <c r="AT138" s="490"/>
      <c r="AU138" s="490"/>
      <c r="AV138" s="490"/>
      <c r="AW138" s="85"/>
      <c r="BR138" s="77"/>
    </row>
    <row r="139" spans="1:70" ht="12" x14ac:dyDescent="0.15">
      <c r="A139" s="85"/>
      <c r="B139" s="188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3"/>
      <c r="AP139" s="133"/>
      <c r="AQ139" s="132"/>
      <c r="AR139" s="132"/>
      <c r="AS139" s="133"/>
      <c r="AT139" s="133"/>
      <c r="AU139" s="132"/>
      <c r="AV139" s="132"/>
      <c r="AW139" s="132"/>
      <c r="AX139" s="118"/>
      <c r="AY139" s="118"/>
      <c r="AZ139" s="118"/>
      <c r="BA139" s="118"/>
      <c r="BB139" s="118"/>
      <c r="BC139" s="118"/>
      <c r="BR139" s="77">
        <f t="shared" si="354"/>
        <v>136</v>
      </c>
    </row>
    <row r="140" spans="1:70" ht="12" x14ac:dyDescent="0.15">
      <c r="A140" s="85"/>
      <c r="B140" s="188"/>
      <c r="C140" s="85"/>
      <c r="D140" s="85"/>
      <c r="E140" s="119" t="str">
        <f t="shared" ref="E140:AV140" si="602">E3</f>
        <v>Q1</v>
      </c>
      <c r="F140" s="120" t="str">
        <f t="shared" si="602"/>
        <v>Q2</v>
      </c>
      <c r="G140" s="120" t="str">
        <f t="shared" si="602"/>
        <v>Q3</v>
      </c>
      <c r="H140" s="121" t="str">
        <f t="shared" si="602"/>
        <v>Q4</v>
      </c>
      <c r="I140" s="119" t="str">
        <f t="shared" si="602"/>
        <v>Q1</v>
      </c>
      <c r="J140" s="120" t="str">
        <f t="shared" si="602"/>
        <v>Q2</v>
      </c>
      <c r="K140" s="120" t="str">
        <f t="shared" si="602"/>
        <v>Q3</v>
      </c>
      <c r="L140" s="121" t="str">
        <f t="shared" si="602"/>
        <v>Q4</v>
      </c>
      <c r="M140" s="119">
        <f t="shared" si="602"/>
        <v>1</v>
      </c>
      <c r="N140" s="120">
        <f t="shared" si="602"/>
        <v>2</v>
      </c>
      <c r="O140" s="120">
        <f t="shared" si="602"/>
        <v>3</v>
      </c>
      <c r="P140" s="121">
        <f t="shared" si="602"/>
        <v>4</v>
      </c>
      <c r="Q140" s="119">
        <f t="shared" si="602"/>
        <v>1</v>
      </c>
      <c r="R140" s="120">
        <f t="shared" si="602"/>
        <v>2</v>
      </c>
      <c r="S140" s="120">
        <f t="shared" si="602"/>
        <v>3</v>
      </c>
      <c r="T140" s="121">
        <f t="shared" si="602"/>
        <v>4</v>
      </c>
      <c r="U140" s="119">
        <f t="shared" si="602"/>
        <v>1</v>
      </c>
      <c r="V140" s="120">
        <f t="shared" si="602"/>
        <v>2</v>
      </c>
      <c r="W140" s="120">
        <f t="shared" si="602"/>
        <v>3</v>
      </c>
      <c r="X140" s="121">
        <f t="shared" si="602"/>
        <v>4</v>
      </c>
      <c r="Y140" s="119">
        <f t="shared" si="602"/>
        <v>1</v>
      </c>
      <c r="Z140" s="120">
        <f t="shared" si="602"/>
        <v>2</v>
      </c>
      <c r="AA140" s="120">
        <f t="shared" si="602"/>
        <v>3</v>
      </c>
      <c r="AB140" s="121">
        <f t="shared" si="602"/>
        <v>4</v>
      </c>
      <c r="AC140" s="119">
        <f t="shared" ref="AC140" si="603">AC3</f>
        <v>1</v>
      </c>
      <c r="AD140" s="122">
        <f t="shared" si="602"/>
        <v>2</v>
      </c>
      <c r="AE140" s="122">
        <f t="shared" si="602"/>
        <v>3</v>
      </c>
      <c r="AF140" s="123">
        <f t="shared" si="602"/>
        <v>4</v>
      </c>
      <c r="AG140" s="124">
        <f t="shared" si="602"/>
        <v>1</v>
      </c>
      <c r="AH140" s="122">
        <f t="shared" si="602"/>
        <v>2</v>
      </c>
      <c r="AI140" s="122">
        <f t="shared" si="602"/>
        <v>3</v>
      </c>
      <c r="AJ140" s="123">
        <f t="shared" si="602"/>
        <v>4</v>
      </c>
      <c r="AK140" s="124">
        <f t="shared" si="602"/>
        <v>1</v>
      </c>
      <c r="AL140" s="122">
        <f t="shared" si="602"/>
        <v>2</v>
      </c>
      <c r="AM140" s="122">
        <f t="shared" si="602"/>
        <v>3</v>
      </c>
      <c r="AN140" s="123">
        <f t="shared" si="602"/>
        <v>4</v>
      </c>
      <c r="AO140" s="124">
        <f t="shared" si="602"/>
        <v>1</v>
      </c>
      <c r="AP140" s="122">
        <f t="shared" si="602"/>
        <v>2</v>
      </c>
      <c r="AQ140" s="122">
        <f t="shared" si="602"/>
        <v>3</v>
      </c>
      <c r="AR140" s="123">
        <f t="shared" si="602"/>
        <v>4</v>
      </c>
      <c r="AS140" s="124">
        <f t="shared" si="602"/>
        <v>1</v>
      </c>
      <c r="AT140" s="122">
        <f t="shared" si="602"/>
        <v>2</v>
      </c>
      <c r="AU140" s="122">
        <f t="shared" si="602"/>
        <v>3</v>
      </c>
      <c r="AV140" s="123">
        <f t="shared" si="602"/>
        <v>4</v>
      </c>
      <c r="AW140" s="132"/>
      <c r="AX140" s="118"/>
      <c r="AY140" s="118"/>
      <c r="AZ140" s="118"/>
      <c r="BA140" s="118"/>
      <c r="BB140" s="118"/>
      <c r="BC140" s="118"/>
      <c r="BR140" s="77">
        <f t="shared" si="354"/>
        <v>137</v>
      </c>
    </row>
    <row r="141" spans="1:70" ht="12" x14ac:dyDescent="0.15">
      <c r="A141" s="6" t="s">
        <v>16</v>
      </c>
      <c r="B141" s="188"/>
      <c r="C141" s="85"/>
      <c r="D141" s="85"/>
      <c r="E141" s="134">
        <f t="shared" ref="E141:AV141" si="604">E4</f>
        <v>40633</v>
      </c>
      <c r="F141" s="135">
        <f t="shared" si="604"/>
        <v>40724</v>
      </c>
      <c r="G141" s="135">
        <f t="shared" si="604"/>
        <v>40816</v>
      </c>
      <c r="H141" s="136">
        <f t="shared" si="604"/>
        <v>40908</v>
      </c>
      <c r="I141" s="134">
        <f t="shared" si="604"/>
        <v>40999</v>
      </c>
      <c r="J141" s="135">
        <f t="shared" si="604"/>
        <v>41090</v>
      </c>
      <c r="K141" s="135">
        <f t="shared" si="604"/>
        <v>41182</v>
      </c>
      <c r="L141" s="136">
        <f t="shared" si="604"/>
        <v>41274</v>
      </c>
      <c r="M141" s="134">
        <f t="shared" si="604"/>
        <v>41364</v>
      </c>
      <c r="N141" s="135">
        <f t="shared" si="604"/>
        <v>41455</v>
      </c>
      <c r="O141" s="135">
        <f t="shared" si="604"/>
        <v>41547</v>
      </c>
      <c r="P141" s="136">
        <f t="shared" si="604"/>
        <v>41639</v>
      </c>
      <c r="Q141" s="134">
        <f t="shared" si="604"/>
        <v>41729</v>
      </c>
      <c r="R141" s="135">
        <f t="shared" si="604"/>
        <v>41820</v>
      </c>
      <c r="S141" s="135">
        <f t="shared" si="604"/>
        <v>41912</v>
      </c>
      <c r="T141" s="136">
        <f t="shared" si="604"/>
        <v>42004</v>
      </c>
      <c r="U141" s="134">
        <f t="shared" si="604"/>
        <v>42094</v>
      </c>
      <c r="V141" s="135">
        <f t="shared" si="604"/>
        <v>42185</v>
      </c>
      <c r="W141" s="135">
        <f t="shared" si="604"/>
        <v>42277</v>
      </c>
      <c r="X141" s="136">
        <f t="shared" si="604"/>
        <v>42369</v>
      </c>
      <c r="Y141" s="134">
        <f t="shared" si="604"/>
        <v>42460</v>
      </c>
      <c r="Z141" s="135">
        <f t="shared" si="604"/>
        <v>42551</v>
      </c>
      <c r="AA141" s="135">
        <f t="shared" si="604"/>
        <v>42643</v>
      </c>
      <c r="AB141" s="136">
        <f t="shared" si="604"/>
        <v>42735</v>
      </c>
      <c r="AC141" s="134">
        <f t="shared" ref="AC141" si="605">AC4</f>
        <v>42825</v>
      </c>
      <c r="AD141" s="137">
        <f t="shared" si="604"/>
        <v>42916</v>
      </c>
      <c r="AE141" s="137">
        <f t="shared" si="604"/>
        <v>43008</v>
      </c>
      <c r="AF141" s="138">
        <f t="shared" si="604"/>
        <v>43100</v>
      </c>
      <c r="AG141" s="139">
        <f t="shared" si="604"/>
        <v>43190</v>
      </c>
      <c r="AH141" s="137">
        <f t="shared" si="604"/>
        <v>43281</v>
      </c>
      <c r="AI141" s="137">
        <f t="shared" si="604"/>
        <v>43373</v>
      </c>
      <c r="AJ141" s="138">
        <f t="shared" si="604"/>
        <v>43465</v>
      </c>
      <c r="AK141" s="139">
        <f t="shared" si="604"/>
        <v>43555</v>
      </c>
      <c r="AL141" s="137">
        <f t="shared" si="604"/>
        <v>43646</v>
      </c>
      <c r="AM141" s="137">
        <f t="shared" si="604"/>
        <v>43738</v>
      </c>
      <c r="AN141" s="138">
        <f t="shared" si="604"/>
        <v>43830</v>
      </c>
      <c r="AO141" s="139">
        <f t="shared" si="604"/>
        <v>43921</v>
      </c>
      <c r="AP141" s="137">
        <f t="shared" si="604"/>
        <v>44012</v>
      </c>
      <c r="AQ141" s="137">
        <f t="shared" si="604"/>
        <v>44104</v>
      </c>
      <c r="AR141" s="138">
        <f t="shared" si="604"/>
        <v>44196</v>
      </c>
      <c r="AS141" s="139">
        <f t="shared" si="604"/>
        <v>44286</v>
      </c>
      <c r="AT141" s="137">
        <f t="shared" si="604"/>
        <v>44377</v>
      </c>
      <c r="AU141" s="137">
        <f t="shared" si="604"/>
        <v>44469</v>
      </c>
      <c r="AV141" s="138">
        <f t="shared" si="604"/>
        <v>44561</v>
      </c>
      <c r="AW141" s="132"/>
      <c r="AX141" s="118"/>
      <c r="AY141" s="118"/>
      <c r="AZ141" s="118"/>
      <c r="BA141" s="118"/>
      <c r="BB141" s="118"/>
      <c r="BC141" s="118"/>
      <c r="BR141" s="77">
        <f t="shared" si="354"/>
        <v>138</v>
      </c>
    </row>
    <row r="142" spans="1:70" ht="12" x14ac:dyDescent="0.15">
      <c r="A142" s="85"/>
      <c r="B142" s="188"/>
      <c r="C142" s="85"/>
      <c r="D142" s="85"/>
      <c r="E142" s="125"/>
      <c r="F142" s="140"/>
      <c r="G142" s="140"/>
      <c r="H142" s="141"/>
      <c r="I142" s="125"/>
      <c r="J142" s="140"/>
      <c r="K142" s="140"/>
      <c r="L142" s="141"/>
      <c r="M142" s="125"/>
      <c r="N142" s="140"/>
      <c r="O142" s="140"/>
      <c r="P142" s="141"/>
      <c r="Q142" s="125"/>
      <c r="R142" s="140"/>
      <c r="S142" s="140"/>
      <c r="T142" s="141"/>
      <c r="U142" s="125"/>
      <c r="V142" s="140"/>
      <c r="W142" s="140"/>
      <c r="X142" s="141"/>
      <c r="Y142" s="125"/>
      <c r="Z142" s="140"/>
      <c r="AA142" s="140"/>
      <c r="AB142" s="141"/>
      <c r="AC142" s="125"/>
      <c r="AD142" s="142"/>
      <c r="AE142" s="142"/>
      <c r="AF142" s="143"/>
      <c r="AG142" s="144"/>
      <c r="AH142" s="142"/>
      <c r="AI142" s="142"/>
      <c r="AJ142" s="143"/>
      <c r="AK142" s="144"/>
      <c r="AL142" s="142"/>
      <c r="AM142" s="142"/>
      <c r="AN142" s="143"/>
      <c r="AO142" s="145"/>
      <c r="AP142" s="146"/>
      <c r="AQ142" s="142"/>
      <c r="AR142" s="143"/>
      <c r="AS142" s="145"/>
      <c r="AT142" s="146"/>
      <c r="AU142" s="142"/>
      <c r="AV142" s="143"/>
      <c r="AW142" s="132"/>
      <c r="AX142" s="118"/>
      <c r="AY142" s="118"/>
      <c r="AZ142" s="118"/>
      <c r="BA142" s="118"/>
      <c r="BB142" s="118"/>
      <c r="BC142" s="118"/>
      <c r="BR142" s="77">
        <f t="shared" si="354"/>
        <v>139</v>
      </c>
    </row>
    <row r="143" spans="1:70" ht="12" x14ac:dyDescent="0.15">
      <c r="A143" s="6" t="str">
        <f>Reported!A77</f>
        <v>Operating activites</v>
      </c>
      <c r="B143" s="188"/>
      <c r="C143" s="85"/>
      <c r="D143" s="85"/>
      <c r="E143" s="125"/>
      <c r="F143" s="140"/>
      <c r="G143" s="140"/>
      <c r="H143" s="141"/>
      <c r="I143" s="125"/>
      <c r="J143" s="140"/>
      <c r="K143" s="140"/>
      <c r="L143" s="141"/>
      <c r="M143" s="125"/>
      <c r="N143" s="140"/>
      <c r="O143" s="140"/>
      <c r="P143" s="141"/>
      <c r="Q143" s="125"/>
      <c r="R143" s="140"/>
      <c r="S143" s="140"/>
      <c r="T143" s="141"/>
      <c r="U143" s="125"/>
      <c r="V143" s="140"/>
      <c r="W143" s="140"/>
      <c r="X143" s="141"/>
      <c r="Y143" s="125"/>
      <c r="Z143" s="140"/>
      <c r="AA143" s="140"/>
      <c r="AB143" s="141"/>
      <c r="AC143" s="125"/>
      <c r="AD143" s="142"/>
      <c r="AE143" s="142"/>
      <c r="AF143" s="143"/>
      <c r="AG143" s="144"/>
      <c r="AH143" s="142"/>
      <c r="AI143" s="142"/>
      <c r="AJ143" s="143"/>
      <c r="AK143" s="144"/>
      <c r="AL143" s="142"/>
      <c r="AM143" s="142"/>
      <c r="AN143" s="143"/>
      <c r="AO143" s="145"/>
      <c r="AP143" s="146"/>
      <c r="AQ143" s="142"/>
      <c r="AR143" s="143"/>
      <c r="AS143" s="145"/>
      <c r="AT143" s="146"/>
      <c r="AU143" s="142"/>
      <c r="AV143" s="143"/>
      <c r="AW143" s="132"/>
      <c r="AX143" s="118"/>
      <c r="AY143" s="118"/>
      <c r="AZ143" s="118"/>
      <c r="BA143" s="118"/>
      <c r="BB143" s="118"/>
      <c r="BC143" s="118"/>
      <c r="BR143" s="77">
        <f t="shared" si="354"/>
        <v>140</v>
      </c>
    </row>
    <row r="144" spans="1:70" ht="12" x14ac:dyDescent="0.15">
      <c r="A144" s="188" t="str">
        <f>Reported!A78</f>
        <v>Net loss for the period</v>
      </c>
      <c r="B144" s="10"/>
      <c r="C144" s="85"/>
      <c r="D144" s="85"/>
      <c r="E144" s="169">
        <f t="shared" ref="E144:AV144" si="606">E85</f>
        <v>0</v>
      </c>
      <c r="F144" s="240">
        <f t="shared" si="606"/>
        <v>0</v>
      </c>
      <c r="G144" s="240">
        <f t="shared" si="606"/>
        <v>0</v>
      </c>
      <c r="H144" s="241">
        <f t="shared" si="606"/>
        <v>0</v>
      </c>
      <c r="I144" s="169">
        <f t="shared" si="606"/>
        <v>0</v>
      </c>
      <c r="J144" s="240">
        <f t="shared" si="606"/>
        <v>0</v>
      </c>
      <c r="K144" s="240">
        <f t="shared" si="606"/>
        <v>0</v>
      </c>
      <c r="L144" s="241">
        <f t="shared" si="606"/>
        <v>0</v>
      </c>
      <c r="M144" s="169">
        <f t="shared" si="606"/>
        <v>0</v>
      </c>
      <c r="N144" s="240">
        <f t="shared" si="606"/>
        <v>0</v>
      </c>
      <c r="O144" s="240">
        <f t="shared" si="606"/>
        <v>0</v>
      </c>
      <c r="P144" s="241">
        <f t="shared" si="606"/>
        <v>0</v>
      </c>
      <c r="Q144" s="169">
        <f t="shared" si="606"/>
        <v>0</v>
      </c>
      <c r="R144" s="240">
        <f t="shared" si="606"/>
        <v>0</v>
      </c>
      <c r="S144" s="240">
        <f t="shared" si="606"/>
        <v>0</v>
      </c>
      <c r="T144" s="241">
        <f t="shared" si="606"/>
        <v>0</v>
      </c>
      <c r="U144" s="169">
        <f t="shared" si="606"/>
        <v>0</v>
      </c>
      <c r="V144" s="240">
        <f t="shared" si="606"/>
        <v>0</v>
      </c>
      <c r="W144" s="240">
        <f t="shared" si="606"/>
        <v>0</v>
      </c>
      <c r="X144" s="241">
        <f t="shared" si="606"/>
        <v>0</v>
      </c>
      <c r="Y144" s="169">
        <f t="shared" si="606"/>
        <v>0</v>
      </c>
      <c r="Z144" s="240">
        <f t="shared" si="606"/>
        <v>0</v>
      </c>
      <c r="AA144" s="240">
        <f t="shared" si="606"/>
        <v>0</v>
      </c>
      <c r="AB144" s="241">
        <f t="shared" si="606"/>
        <v>0</v>
      </c>
      <c r="AC144" s="169">
        <f t="shared" ref="AC144" si="607">AC85</f>
        <v>0</v>
      </c>
      <c r="AD144" s="150">
        <f t="shared" si="606"/>
        <v>0</v>
      </c>
      <c r="AE144" s="150">
        <f t="shared" si="606"/>
        <v>0</v>
      </c>
      <c r="AF144" s="151">
        <f t="shared" si="606"/>
        <v>0</v>
      </c>
      <c r="AG144" s="152">
        <f t="shared" si="606"/>
        <v>0</v>
      </c>
      <c r="AH144" s="150">
        <f t="shared" si="606"/>
        <v>0</v>
      </c>
      <c r="AI144" s="150">
        <f t="shared" si="606"/>
        <v>0</v>
      </c>
      <c r="AJ144" s="151">
        <f t="shared" si="606"/>
        <v>0</v>
      </c>
      <c r="AK144" s="152">
        <f t="shared" si="606"/>
        <v>0</v>
      </c>
      <c r="AL144" s="150">
        <f t="shared" si="606"/>
        <v>0</v>
      </c>
      <c r="AM144" s="150">
        <f t="shared" si="606"/>
        <v>0</v>
      </c>
      <c r="AN144" s="151">
        <f t="shared" si="606"/>
        <v>0</v>
      </c>
      <c r="AO144" s="153">
        <f t="shared" si="606"/>
        <v>0</v>
      </c>
      <c r="AP144" s="154">
        <f t="shared" si="606"/>
        <v>0</v>
      </c>
      <c r="AQ144" s="150">
        <f t="shared" si="606"/>
        <v>0</v>
      </c>
      <c r="AR144" s="151">
        <f t="shared" si="606"/>
        <v>0</v>
      </c>
      <c r="AS144" s="153">
        <f t="shared" si="606"/>
        <v>0</v>
      </c>
      <c r="AT144" s="154">
        <f t="shared" si="606"/>
        <v>0</v>
      </c>
      <c r="AU144" s="150">
        <f t="shared" si="606"/>
        <v>0</v>
      </c>
      <c r="AV144" s="151">
        <f t="shared" si="606"/>
        <v>0</v>
      </c>
      <c r="AW144" s="132"/>
      <c r="AX144" s="118"/>
      <c r="AY144" s="118"/>
      <c r="AZ144" s="118"/>
      <c r="BA144" s="118"/>
      <c r="BB144" s="118"/>
      <c r="BC144" s="118"/>
      <c r="BR144" s="77">
        <f t="shared" si="354"/>
        <v>141</v>
      </c>
    </row>
    <row r="145" spans="1:70" ht="12" x14ac:dyDescent="0.15">
      <c r="A145" s="85"/>
      <c r="B145" s="188" t="str">
        <f>Reported!A79</f>
        <v>Depreciation of PPE</v>
      </c>
      <c r="C145" s="85"/>
      <c r="D145" s="85"/>
      <c r="E145" s="169">
        <f>Reported!C79</f>
        <v>0</v>
      </c>
      <c r="F145" s="240">
        <f>Reported!D79</f>
        <v>0</v>
      </c>
      <c r="G145" s="240">
        <f>Reported!E79</f>
        <v>0</v>
      </c>
      <c r="H145" s="241">
        <f>Reported!F79</f>
        <v>0</v>
      </c>
      <c r="I145" s="169">
        <f>Reported!G79</f>
        <v>0</v>
      </c>
      <c r="J145" s="240">
        <f>Reported!H79</f>
        <v>0</v>
      </c>
      <c r="K145" s="240">
        <f>Reported!I79</f>
        <v>0</v>
      </c>
      <c r="L145" s="241">
        <f>Reported!J79</f>
        <v>0</v>
      </c>
      <c r="M145" s="169">
        <f>Reported!K79</f>
        <v>0</v>
      </c>
      <c r="N145" s="240">
        <f>Reported!L79</f>
        <v>0</v>
      </c>
      <c r="O145" s="240">
        <f>Reported!M79</f>
        <v>0</v>
      </c>
      <c r="P145" s="241">
        <f>Reported!N79</f>
        <v>0</v>
      </c>
      <c r="Q145" s="169">
        <f>Reported!O79</f>
        <v>0</v>
      </c>
      <c r="R145" s="240">
        <f>Reported!P79</f>
        <v>0</v>
      </c>
      <c r="S145" s="240">
        <f>Reported!Q79</f>
        <v>0</v>
      </c>
      <c r="T145" s="241">
        <f>Reported!R79</f>
        <v>0</v>
      </c>
      <c r="U145" s="169">
        <f>Reported!S79</f>
        <v>0</v>
      </c>
      <c r="V145" s="240">
        <f>Reported!T79</f>
        <v>0</v>
      </c>
      <c r="W145" s="240">
        <f>Reported!U79</f>
        <v>0</v>
      </c>
      <c r="X145" s="241">
        <f>Reported!V79</f>
        <v>0</v>
      </c>
      <c r="Y145" s="169">
        <f>Reported!W79</f>
        <v>0</v>
      </c>
      <c r="Z145" s="240">
        <f>Reported!X79</f>
        <v>0</v>
      </c>
      <c r="AA145" s="240">
        <f>Reported!Y79</f>
        <v>0</v>
      </c>
      <c r="AB145" s="241">
        <f>Reported!Z79</f>
        <v>0</v>
      </c>
      <c r="AC145" s="169">
        <f>Reported!AA79</f>
        <v>0</v>
      </c>
      <c r="AD145" s="150">
        <f t="shared" ref="AD145:AV145" si="608">AD79</f>
        <v>0</v>
      </c>
      <c r="AE145" s="150">
        <f t="shared" si="608"/>
        <v>0</v>
      </c>
      <c r="AF145" s="151">
        <f t="shared" si="608"/>
        <v>0</v>
      </c>
      <c r="AG145" s="152">
        <f t="shared" si="608"/>
        <v>0</v>
      </c>
      <c r="AH145" s="150">
        <f t="shared" si="608"/>
        <v>0</v>
      </c>
      <c r="AI145" s="150">
        <f t="shared" si="608"/>
        <v>0</v>
      </c>
      <c r="AJ145" s="151">
        <f t="shared" si="608"/>
        <v>0</v>
      </c>
      <c r="AK145" s="152">
        <f t="shared" si="608"/>
        <v>0</v>
      </c>
      <c r="AL145" s="150">
        <f t="shared" si="608"/>
        <v>0</v>
      </c>
      <c r="AM145" s="150">
        <f t="shared" si="608"/>
        <v>0</v>
      </c>
      <c r="AN145" s="151">
        <f t="shared" si="608"/>
        <v>0</v>
      </c>
      <c r="AO145" s="153">
        <f t="shared" si="608"/>
        <v>0</v>
      </c>
      <c r="AP145" s="154">
        <f t="shared" si="608"/>
        <v>0</v>
      </c>
      <c r="AQ145" s="150">
        <f t="shared" si="608"/>
        <v>0</v>
      </c>
      <c r="AR145" s="151">
        <f t="shared" si="608"/>
        <v>0</v>
      </c>
      <c r="AS145" s="153">
        <f t="shared" si="608"/>
        <v>0</v>
      </c>
      <c r="AT145" s="154">
        <f t="shared" si="608"/>
        <v>0</v>
      </c>
      <c r="AU145" s="150">
        <f t="shared" si="608"/>
        <v>0</v>
      </c>
      <c r="AV145" s="151">
        <f t="shared" si="608"/>
        <v>0</v>
      </c>
      <c r="AW145" s="132"/>
      <c r="AX145" s="118"/>
      <c r="AY145" s="118"/>
      <c r="AZ145" s="118"/>
      <c r="BA145" s="118"/>
      <c r="BB145" s="118"/>
      <c r="BC145" s="118"/>
      <c r="BR145" s="77">
        <f t="shared" si="354"/>
        <v>142</v>
      </c>
    </row>
    <row r="146" spans="1:70" ht="12" x14ac:dyDescent="0.15">
      <c r="A146" s="85"/>
      <c r="B146" s="188" t="str">
        <f>Reported!A80</f>
        <v>Amortization of intangible assets</v>
      </c>
      <c r="C146" s="85"/>
      <c r="D146" s="85"/>
      <c r="E146" s="169">
        <f>Reported!C80</f>
        <v>0</v>
      </c>
      <c r="F146" s="240">
        <f>Reported!D80</f>
        <v>0</v>
      </c>
      <c r="G146" s="240">
        <f>Reported!E80</f>
        <v>0</v>
      </c>
      <c r="H146" s="241">
        <f>Reported!F80</f>
        <v>0</v>
      </c>
      <c r="I146" s="169">
        <f>Reported!G80</f>
        <v>0</v>
      </c>
      <c r="J146" s="240">
        <f>Reported!H80</f>
        <v>0</v>
      </c>
      <c r="K146" s="240">
        <f>Reported!I80</f>
        <v>0</v>
      </c>
      <c r="L146" s="241">
        <f>Reported!J80</f>
        <v>0</v>
      </c>
      <c r="M146" s="169">
        <f>Reported!K80</f>
        <v>0</v>
      </c>
      <c r="N146" s="240">
        <f>Reported!L80</f>
        <v>0</v>
      </c>
      <c r="O146" s="240">
        <f>Reported!M80</f>
        <v>0</v>
      </c>
      <c r="P146" s="241">
        <f>Reported!N80</f>
        <v>0</v>
      </c>
      <c r="Q146" s="169">
        <f>Reported!O80</f>
        <v>0</v>
      </c>
      <c r="R146" s="240">
        <f>Reported!P80</f>
        <v>0</v>
      </c>
      <c r="S146" s="240">
        <f>Reported!Q80</f>
        <v>0</v>
      </c>
      <c r="T146" s="241">
        <f>Reported!R80</f>
        <v>0</v>
      </c>
      <c r="U146" s="169">
        <f>Reported!S80</f>
        <v>0</v>
      </c>
      <c r="V146" s="240">
        <f>Reported!T80</f>
        <v>0</v>
      </c>
      <c r="W146" s="240">
        <f>Reported!U80</f>
        <v>0</v>
      </c>
      <c r="X146" s="241">
        <f>Reported!V80</f>
        <v>0</v>
      </c>
      <c r="Y146" s="169">
        <f>Reported!W80</f>
        <v>0</v>
      </c>
      <c r="Z146" s="240">
        <f>Reported!X80</f>
        <v>0</v>
      </c>
      <c r="AA146" s="240">
        <f>Reported!Y80</f>
        <v>0</v>
      </c>
      <c r="AB146" s="241">
        <f>Reported!Z80</f>
        <v>0</v>
      </c>
      <c r="AC146" s="169">
        <f>Reported!AA80</f>
        <v>0</v>
      </c>
      <c r="AD146" s="150">
        <f t="shared" ref="AD146:AV146" si="609">AD80</f>
        <v>0</v>
      </c>
      <c r="AE146" s="150">
        <f t="shared" si="609"/>
        <v>0</v>
      </c>
      <c r="AF146" s="151">
        <f t="shared" si="609"/>
        <v>0</v>
      </c>
      <c r="AG146" s="152">
        <f t="shared" si="609"/>
        <v>0</v>
      </c>
      <c r="AH146" s="150">
        <f t="shared" si="609"/>
        <v>0</v>
      </c>
      <c r="AI146" s="150">
        <f t="shared" si="609"/>
        <v>0</v>
      </c>
      <c r="AJ146" s="151">
        <f t="shared" si="609"/>
        <v>0</v>
      </c>
      <c r="AK146" s="152">
        <f t="shared" si="609"/>
        <v>0</v>
      </c>
      <c r="AL146" s="150">
        <f t="shared" si="609"/>
        <v>0</v>
      </c>
      <c r="AM146" s="150">
        <f t="shared" si="609"/>
        <v>0</v>
      </c>
      <c r="AN146" s="151">
        <f t="shared" si="609"/>
        <v>0</v>
      </c>
      <c r="AO146" s="153">
        <f t="shared" si="609"/>
        <v>0</v>
      </c>
      <c r="AP146" s="154">
        <f t="shared" si="609"/>
        <v>0</v>
      </c>
      <c r="AQ146" s="150">
        <f t="shared" si="609"/>
        <v>0</v>
      </c>
      <c r="AR146" s="151">
        <f t="shared" si="609"/>
        <v>0</v>
      </c>
      <c r="AS146" s="153">
        <f t="shared" si="609"/>
        <v>0</v>
      </c>
      <c r="AT146" s="154">
        <f t="shared" si="609"/>
        <v>0</v>
      </c>
      <c r="AU146" s="150">
        <f t="shared" si="609"/>
        <v>0</v>
      </c>
      <c r="AV146" s="151">
        <f t="shared" si="609"/>
        <v>0</v>
      </c>
      <c r="AW146" s="132"/>
      <c r="AX146" s="118"/>
      <c r="AY146" s="118"/>
      <c r="AZ146" s="118"/>
      <c r="BA146" s="118"/>
      <c r="BB146" s="118"/>
      <c r="BC146" s="118"/>
      <c r="BR146" s="77">
        <f t="shared" si="354"/>
        <v>143</v>
      </c>
    </row>
    <row r="147" spans="1:70" ht="12" x14ac:dyDescent="0.15">
      <c r="A147" s="85"/>
      <c r="B147" s="188" t="str">
        <f>Reported!A81</f>
        <v>Stock based compensation</v>
      </c>
      <c r="C147" s="85"/>
      <c r="D147" s="85"/>
      <c r="E147" s="169">
        <f>Reported!C81</f>
        <v>0</v>
      </c>
      <c r="F147" s="240">
        <f>Reported!D81</f>
        <v>0</v>
      </c>
      <c r="G147" s="240">
        <f>Reported!E81</f>
        <v>0</v>
      </c>
      <c r="H147" s="241">
        <f>Reported!F81</f>
        <v>0</v>
      </c>
      <c r="I147" s="169">
        <f>Reported!G81</f>
        <v>0</v>
      </c>
      <c r="J147" s="240">
        <f>Reported!H81</f>
        <v>0</v>
      </c>
      <c r="K147" s="240">
        <f>Reported!I81</f>
        <v>0</v>
      </c>
      <c r="L147" s="241">
        <f>Reported!J81</f>
        <v>0</v>
      </c>
      <c r="M147" s="169">
        <f>Reported!K81</f>
        <v>0</v>
      </c>
      <c r="N147" s="240">
        <f>Reported!L81</f>
        <v>0</v>
      </c>
      <c r="O147" s="240">
        <f>Reported!M81</f>
        <v>0</v>
      </c>
      <c r="P147" s="241">
        <f>Reported!N81</f>
        <v>0</v>
      </c>
      <c r="Q147" s="169">
        <f>Reported!O81</f>
        <v>0</v>
      </c>
      <c r="R147" s="240">
        <f>Reported!P81</f>
        <v>0</v>
      </c>
      <c r="S147" s="240">
        <f>Reported!Q81</f>
        <v>0</v>
      </c>
      <c r="T147" s="241">
        <f>Reported!R81</f>
        <v>0</v>
      </c>
      <c r="U147" s="169">
        <f>Reported!S81</f>
        <v>0</v>
      </c>
      <c r="V147" s="240">
        <f>Reported!T81</f>
        <v>0</v>
      </c>
      <c r="W147" s="240">
        <f>Reported!U81</f>
        <v>0</v>
      </c>
      <c r="X147" s="241">
        <f>Reported!V81</f>
        <v>0</v>
      </c>
      <c r="Y147" s="169">
        <f>Reported!W81</f>
        <v>0</v>
      </c>
      <c r="Z147" s="240">
        <f>Reported!X81</f>
        <v>0</v>
      </c>
      <c r="AA147" s="240">
        <f>Reported!Y81</f>
        <v>0</v>
      </c>
      <c r="AB147" s="241">
        <f>Reported!Z81</f>
        <v>0</v>
      </c>
      <c r="AC147" s="169">
        <f>Reported!AA81</f>
        <v>0</v>
      </c>
      <c r="AD147" s="150">
        <f t="shared" ref="AD147:AV147" si="610">AD81</f>
        <v>0</v>
      </c>
      <c r="AE147" s="150">
        <f t="shared" si="610"/>
        <v>0</v>
      </c>
      <c r="AF147" s="151">
        <f t="shared" si="610"/>
        <v>0</v>
      </c>
      <c r="AG147" s="152">
        <f t="shared" si="610"/>
        <v>0</v>
      </c>
      <c r="AH147" s="150">
        <f t="shared" si="610"/>
        <v>0</v>
      </c>
      <c r="AI147" s="150">
        <f t="shared" si="610"/>
        <v>0</v>
      </c>
      <c r="AJ147" s="151">
        <f t="shared" si="610"/>
        <v>0</v>
      </c>
      <c r="AK147" s="152">
        <f t="shared" si="610"/>
        <v>0</v>
      </c>
      <c r="AL147" s="150">
        <f t="shared" si="610"/>
        <v>0</v>
      </c>
      <c r="AM147" s="150">
        <f t="shared" si="610"/>
        <v>0</v>
      </c>
      <c r="AN147" s="151">
        <f t="shared" si="610"/>
        <v>0</v>
      </c>
      <c r="AO147" s="153">
        <f t="shared" si="610"/>
        <v>0</v>
      </c>
      <c r="AP147" s="154">
        <f t="shared" si="610"/>
        <v>0</v>
      </c>
      <c r="AQ147" s="150">
        <f t="shared" si="610"/>
        <v>0</v>
      </c>
      <c r="AR147" s="151">
        <f t="shared" si="610"/>
        <v>0</v>
      </c>
      <c r="AS147" s="153">
        <f t="shared" si="610"/>
        <v>0</v>
      </c>
      <c r="AT147" s="154">
        <f t="shared" si="610"/>
        <v>0</v>
      </c>
      <c r="AU147" s="150">
        <f t="shared" si="610"/>
        <v>0</v>
      </c>
      <c r="AV147" s="151">
        <f t="shared" si="610"/>
        <v>0</v>
      </c>
      <c r="AW147" s="132"/>
      <c r="AX147" s="118"/>
      <c r="AY147" s="118"/>
      <c r="AZ147" s="118"/>
      <c r="BA147" s="118"/>
      <c r="BB147" s="118"/>
      <c r="BC147" s="118"/>
      <c r="BR147" s="77">
        <f t="shared" si="354"/>
        <v>144</v>
      </c>
    </row>
    <row r="148" spans="1:70" ht="12" x14ac:dyDescent="0.15">
      <c r="A148" s="85"/>
      <c r="B148" s="188" t="s">
        <v>37</v>
      </c>
      <c r="C148" s="85"/>
      <c r="D148" s="85"/>
      <c r="E148" s="169"/>
      <c r="F148" s="240"/>
      <c r="G148" s="240"/>
      <c r="H148" s="241"/>
      <c r="I148" s="169"/>
      <c r="J148" s="240"/>
      <c r="K148" s="240"/>
      <c r="L148" s="241"/>
      <c r="M148" s="169">
        <f>Reported!K82</f>
        <v>0</v>
      </c>
      <c r="N148" s="240">
        <f>Reported!L82</f>
        <v>0</v>
      </c>
      <c r="O148" s="240">
        <f>Reported!M82</f>
        <v>0</v>
      </c>
      <c r="P148" s="241">
        <f>Reported!N82</f>
        <v>0</v>
      </c>
      <c r="Q148" s="169">
        <f>Reported!O82</f>
        <v>0</v>
      </c>
      <c r="R148" s="240">
        <f>Reported!P82</f>
        <v>0</v>
      </c>
      <c r="S148" s="240">
        <f>Reported!Q82</f>
        <v>0</v>
      </c>
      <c r="T148" s="241">
        <f>Reported!R82</f>
        <v>0</v>
      </c>
      <c r="U148" s="169">
        <f>Reported!S82</f>
        <v>0</v>
      </c>
      <c r="V148" s="240">
        <f>Reported!T82</f>
        <v>0</v>
      </c>
      <c r="W148" s="240">
        <f>Reported!U82</f>
        <v>0</v>
      </c>
      <c r="X148" s="241">
        <f>Reported!V82</f>
        <v>0</v>
      </c>
      <c r="Y148" s="169">
        <f>Reported!W82</f>
        <v>0</v>
      </c>
      <c r="Z148" s="240">
        <f>Reported!X82</f>
        <v>0</v>
      </c>
      <c r="AA148" s="240">
        <f>Reported!Y82</f>
        <v>0</v>
      </c>
      <c r="AB148" s="241">
        <f>Reported!Z82</f>
        <v>0</v>
      </c>
      <c r="AC148" s="169">
        <f>Reported!AA82</f>
        <v>0</v>
      </c>
      <c r="AD148" s="150" t="e">
        <f t="shared" ref="AD148:AV148" si="611">SUM(AA20:AD20)*(AD215/365)-AC193</f>
        <v>#DIV/0!</v>
      </c>
      <c r="AE148" s="150" t="e">
        <f t="shared" si="611"/>
        <v>#DIV/0!</v>
      </c>
      <c r="AF148" s="151" t="e">
        <f t="shared" si="611"/>
        <v>#DIV/0!</v>
      </c>
      <c r="AG148" s="152" t="e">
        <f t="shared" si="611"/>
        <v>#DIV/0!</v>
      </c>
      <c r="AH148" s="150" t="e">
        <f t="shared" si="611"/>
        <v>#DIV/0!</v>
      </c>
      <c r="AI148" s="150" t="e">
        <f t="shared" si="611"/>
        <v>#DIV/0!</v>
      </c>
      <c r="AJ148" s="151" t="e">
        <f t="shared" si="611"/>
        <v>#DIV/0!</v>
      </c>
      <c r="AK148" s="152" t="e">
        <f t="shared" si="611"/>
        <v>#DIV/0!</v>
      </c>
      <c r="AL148" s="150" t="e">
        <f t="shared" si="611"/>
        <v>#DIV/0!</v>
      </c>
      <c r="AM148" s="150" t="e">
        <f t="shared" si="611"/>
        <v>#DIV/0!</v>
      </c>
      <c r="AN148" s="151" t="e">
        <f t="shared" si="611"/>
        <v>#DIV/0!</v>
      </c>
      <c r="AO148" s="153" t="e">
        <f t="shared" si="611"/>
        <v>#DIV/0!</v>
      </c>
      <c r="AP148" s="154" t="e">
        <f t="shared" si="611"/>
        <v>#DIV/0!</v>
      </c>
      <c r="AQ148" s="150" t="e">
        <f t="shared" si="611"/>
        <v>#DIV/0!</v>
      </c>
      <c r="AR148" s="151" t="e">
        <f t="shared" si="611"/>
        <v>#DIV/0!</v>
      </c>
      <c r="AS148" s="153" t="e">
        <f t="shared" si="611"/>
        <v>#DIV/0!</v>
      </c>
      <c r="AT148" s="154" t="e">
        <f t="shared" si="611"/>
        <v>#DIV/0!</v>
      </c>
      <c r="AU148" s="150" t="e">
        <f t="shared" si="611"/>
        <v>#DIV/0!</v>
      </c>
      <c r="AV148" s="151" t="e">
        <f t="shared" si="611"/>
        <v>#DIV/0!</v>
      </c>
      <c r="AW148" s="132"/>
      <c r="AX148" s="118"/>
      <c r="AY148" s="118"/>
      <c r="AZ148" s="118"/>
      <c r="BA148" s="118"/>
      <c r="BB148" s="118"/>
      <c r="BC148" s="118"/>
      <c r="BR148" s="77">
        <f t="shared" si="354"/>
        <v>145</v>
      </c>
    </row>
    <row r="149" spans="1:70" ht="12" x14ac:dyDescent="0.15">
      <c r="A149" s="85"/>
      <c r="B149" s="188" t="str">
        <f>Reported!A83</f>
        <v>Finance income/cost</v>
      </c>
      <c r="C149" s="85"/>
      <c r="D149" s="85"/>
      <c r="E149" s="169">
        <f>Reported!C83</f>
        <v>0</v>
      </c>
      <c r="F149" s="240">
        <f>Reported!D83</f>
        <v>0</v>
      </c>
      <c r="G149" s="240">
        <f>Reported!E83</f>
        <v>0</v>
      </c>
      <c r="H149" s="241">
        <f>Reported!F83</f>
        <v>0</v>
      </c>
      <c r="I149" s="169">
        <f>Reported!G83</f>
        <v>0</v>
      </c>
      <c r="J149" s="240">
        <f>Reported!H83</f>
        <v>0</v>
      </c>
      <c r="K149" s="240">
        <f>Reported!I83</f>
        <v>0</v>
      </c>
      <c r="L149" s="241">
        <f>Reported!J83</f>
        <v>0</v>
      </c>
      <c r="M149" s="169">
        <f>Reported!K83</f>
        <v>0</v>
      </c>
      <c r="N149" s="240">
        <f>Reported!L83</f>
        <v>0</v>
      </c>
      <c r="O149" s="240">
        <f>Reported!M83</f>
        <v>0</v>
      </c>
      <c r="P149" s="241">
        <f>Reported!N83</f>
        <v>0</v>
      </c>
      <c r="Q149" s="169">
        <f>Reported!O83</f>
        <v>0</v>
      </c>
      <c r="R149" s="240">
        <f>Reported!P83</f>
        <v>0</v>
      </c>
      <c r="S149" s="240">
        <f>Reported!Q83</f>
        <v>0</v>
      </c>
      <c r="T149" s="241">
        <f>Reported!R83</f>
        <v>0</v>
      </c>
      <c r="U149" s="169">
        <f>Reported!S83</f>
        <v>0</v>
      </c>
      <c r="V149" s="240">
        <f>Reported!T83</f>
        <v>0</v>
      </c>
      <c r="W149" s="240">
        <f>Reported!U83</f>
        <v>0</v>
      </c>
      <c r="X149" s="241">
        <f>Reported!V83</f>
        <v>0</v>
      </c>
      <c r="Y149" s="169">
        <f>Reported!W83</f>
        <v>0</v>
      </c>
      <c r="Z149" s="240">
        <f>Reported!X83</f>
        <v>0</v>
      </c>
      <c r="AA149" s="240">
        <f>Reported!Y83</f>
        <v>0</v>
      </c>
      <c r="AB149" s="241">
        <f>Reported!Z83</f>
        <v>0</v>
      </c>
      <c r="AC149" s="169">
        <f>Reported!AA83</f>
        <v>0</v>
      </c>
      <c r="AD149" s="258">
        <f t="shared" ref="AD149:AR149" si="612">AVERAGE(Z149:AC149)</f>
        <v>0</v>
      </c>
      <c r="AE149" s="258">
        <f t="shared" si="612"/>
        <v>0</v>
      </c>
      <c r="AF149" s="259">
        <f t="shared" si="612"/>
        <v>0</v>
      </c>
      <c r="AG149" s="170">
        <f t="shared" si="612"/>
        <v>0</v>
      </c>
      <c r="AH149" s="258">
        <f t="shared" si="612"/>
        <v>0</v>
      </c>
      <c r="AI149" s="258">
        <f t="shared" si="612"/>
        <v>0</v>
      </c>
      <c r="AJ149" s="259">
        <f t="shared" si="612"/>
        <v>0</v>
      </c>
      <c r="AK149" s="170">
        <f t="shared" si="612"/>
        <v>0</v>
      </c>
      <c r="AL149" s="258">
        <f t="shared" si="612"/>
        <v>0</v>
      </c>
      <c r="AM149" s="258">
        <f t="shared" si="612"/>
        <v>0</v>
      </c>
      <c r="AN149" s="259">
        <f t="shared" si="612"/>
        <v>0</v>
      </c>
      <c r="AO149" s="88">
        <f t="shared" si="612"/>
        <v>0</v>
      </c>
      <c r="AP149" s="86">
        <f t="shared" si="612"/>
        <v>0</v>
      </c>
      <c r="AQ149" s="258">
        <f t="shared" si="612"/>
        <v>0</v>
      </c>
      <c r="AR149" s="259">
        <f t="shared" si="612"/>
        <v>0</v>
      </c>
      <c r="AS149" s="88">
        <f t="shared" ref="AS149" si="613">AVERAGE(AO149:AR149)</f>
        <v>0</v>
      </c>
      <c r="AT149" s="86">
        <f t="shared" ref="AT149" si="614">AVERAGE(AP149:AS149)</f>
        <v>0</v>
      </c>
      <c r="AU149" s="258">
        <f t="shared" ref="AU149" si="615">AVERAGE(AQ149:AT149)</f>
        <v>0</v>
      </c>
      <c r="AV149" s="259">
        <f t="shared" ref="AV149" si="616">AVERAGE(AR149:AU149)</f>
        <v>0</v>
      </c>
      <c r="AW149" s="85"/>
      <c r="BR149" s="77">
        <f t="shared" si="354"/>
        <v>146</v>
      </c>
    </row>
    <row r="150" spans="1:70" ht="12" x14ac:dyDescent="0.15">
      <c r="A150" s="85"/>
      <c r="B150" s="188" t="str">
        <f>Reported!A84</f>
        <v>Working capital changes</v>
      </c>
      <c r="C150" s="85"/>
      <c r="D150" s="85"/>
      <c r="E150" s="169">
        <f>Reported!C84</f>
        <v>0</v>
      </c>
      <c r="F150" s="240">
        <f>Reported!D84</f>
        <v>0</v>
      </c>
      <c r="G150" s="240">
        <f>Reported!E84</f>
        <v>0</v>
      </c>
      <c r="H150" s="241">
        <f>Reported!F84</f>
        <v>0</v>
      </c>
      <c r="I150" s="169">
        <f>Reported!G84</f>
        <v>0</v>
      </c>
      <c r="J150" s="240">
        <f>Reported!H84</f>
        <v>0</v>
      </c>
      <c r="K150" s="240">
        <f>Reported!I84</f>
        <v>0</v>
      </c>
      <c r="L150" s="241">
        <f>Reported!J84</f>
        <v>0</v>
      </c>
      <c r="M150" s="169">
        <f>Reported!K84</f>
        <v>0</v>
      </c>
      <c r="N150" s="240">
        <f>Reported!L84</f>
        <v>0</v>
      </c>
      <c r="O150" s="240">
        <f>Reported!M84</f>
        <v>0</v>
      </c>
      <c r="P150" s="241">
        <f>Reported!N84</f>
        <v>0</v>
      </c>
      <c r="Q150" s="169">
        <f>Reported!O84</f>
        <v>0</v>
      </c>
      <c r="R150" s="240">
        <f>Reported!P84</f>
        <v>0</v>
      </c>
      <c r="S150" s="240">
        <f>Reported!Q84</f>
        <v>0</v>
      </c>
      <c r="T150" s="241">
        <f>Reported!R84</f>
        <v>0</v>
      </c>
      <c r="U150" s="169">
        <f>Reported!S84</f>
        <v>0</v>
      </c>
      <c r="V150" s="240">
        <f>Reported!T84</f>
        <v>0</v>
      </c>
      <c r="W150" s="240">
        <f>Reported!U84</f>
        <v>0</v>
      </c>
      <c r="X150" s="241">
        <f>Reported!V84</f>
        <v>0</v>
      </c>
      <c r="Y150" s="169">
        <f>Reported!W84</f>
        <v>0</v>
      </c>
      <c r="Z150" s="240">
        <f>Reported!X84</f>
        <v>0</v>
      </c>
      <c r="AA150" s="240">
        <f>Reported!Y84</f>
        <v>0</v>
      </c>
      <c r="AB150" s="241">
        <f>Reported!Z84</f>
        <v>0</v>
      </c>
      <c r="AC150" s="169">
        <f>Reported!AA84</f>
        <v>0</v>
      </c>
      <c r="AD150" s="258">
        <f t="shared" ref="AD150:AR150" si="617">AC180-AD180+AC181-AD181+AC182-AD182+AD192-AC192+AD195-AC195</f>
        <v>0</v>
      </c>
      <c r="AE150" s="258">
        <f t="shared" si="617"/>
        <v>0</v>
      </c>
      <c r="AF150" s="259">
        <f t="shared" si="617"/>
        <v>0</v>
      </c>
      <c r="AG150" s="170">
        <f t="shared" si="617"/>
        <v>0</v>
      </c>
      <c r="AH150" s="258">
        <f t="shared" si="617"/>
        <v>0</v>
      </c>
      <c r="AI150" s="258">
        <f t="shared" si="617"/>
        <v>0</v>
      </c>
      <c r="AJ150" s="259">
        <f t="shared" si="617"/>
        <v>0</v>
      </c>
      <c r="AK150" s="170">
        <f t="shared" si="617"/>
        <v>0</v>
      </c>
      <c r="AL150" s="258">
        <f t="shared" si="617"/>
        <v>0</v>
      </c>
      <c r="AM150" s="258">
        <f t="shared" si="617"/>
        <v>0</v>
      </c>
      <c r="AN150" s="259">
        <f t="shared" si="617"/>
        <v>0</v>
      </c>
      <c r="AO150" s="88">
        <f t="shared" si="617"/>
        <v>0</v>
      </c>
      <c r="AP150" s="86">
        <f t="shared" si="617"/>
        <v>0</v>
      </c>
      <c r="AQ150" s="258">
        <f t="shared" si="617"/>
        <v>0</v>
      </c>
      <c r="AR150" s="259">
        <f t="shared" si="617"/>
        <v>0</v>
      </c>
      <c r="AS150" s="88">
        <f t="shared" ref="AS150" si="618">AR180-AS180+AR181-AS181+AR182-AS182+AS192-AR192+AS195-AR195</f>
        <v>0</v>
      </c>
      <c r="AT150" s="86">
        <f t="shared" ref="AT150" si="619">AS180-AT180+AS181-AT181+AS182-AT182+AT192-AS192+AT195-AS195</f>
        <v>0</v>
      </c>
      <c r="AU150" s="258">
        <f t="shared" ref="AU150" si="620">AT180-AU180+AT181-AU181+AT182-AU182+AU192-AT192+AU195-AT195</f>
        <v>0</v>
      </c>
      <c r="AV150" s="259">
        <f t="shared" ref="AV150" si="621">AU180-AV180+AU181-AV181+AU182-AV182+AV192-AU192+AV195-AU195</f>
        <v>0</v>
      </c>
      <c r="AW150" s="85"/>
      <c r="BR150" s="77">
        <f t="shared" si="354"/>
        <v>147</v>
      </c>
    </row>
    <row r="151" spans="1:70" ht="11.25" customHeight="1" x14ac:dyDescent="0.25">
      <c r="A151" s="85"/>
      <c r="B151" s="188" t="str">
        <f>Reported!A85</f>
        <v>Other</v>
      </c>
      <c r="C151" s="85"/>
      <c r="D151" s="85"/>
      <c r="E151" s="238">
        <f>Reported!C85</f>
        <v>0</v>
      </c>
      <c r="F151" s="242">
        <f>Reported!D85</f>
        <v>0</v>
      </c>
      <c r="G151" s="242">
        <f>Reported!E85</f>
        <v>0</v>
      </c>
      <c r="H151" s="243">
        <f>Reported!F85</f>
        <v>0</v>
      </c>
      <c r="I151" s="238">
        <f>Reported!G85</f>
        <v>0</v>
      </c>
      <c r="J151" s="242">
        <f>Reported!H85</f>
        <v>0</v>
      </c>
      <c r="K151" s="242">
        <f>Reported!I85</f>
        <v>0</v>
      </c>
      <c r="L151" s="243">
        <f>Reported!J85</f>
        <v>0</v>
      </c>
      <c r="M151" s="238">
        <f>Reported!K85</f>
        <v>0</v>
      </c>
      <c r="N151" s="242">
        <f>Reported!L85</f>
        <v>0</v>
      </c>
      <c r="O151" s="242">
        <f>Reported!M85</f>
        <v>0</v>
      </c>
      <c r="P151" s="243">
        <f>Reported!N85</f>
        <v>0</v>
      </c>
      <c r="Q151" s="238">
        <f>Reported!O85</f>
        <v>0</v>
      </c>
      <c r="R151" s="242">
        <f>Reported!P85</f>
        <v>0</v>
      </c>
      <c r="S151" s="242">
        <f>Reported!Q85</f>
        <v>0</v>
      </c>
      <c r="T151" s="243">
        <f>Reported!R85</f>
        <v>0</v>
      </c>
      <c r="U151" s="238">
        <f>Reported!S85</f>
        <v>0</v>
      </c>
      <c r="V151" s="242">
        <f>Reported!T85</f>
        <v>0</v>
      </c>
      <c r="W151" s="242">
        <f>Reported!U85</f>
        <v>0</v>
      </c>
      <c r="X151" s="243">
        <f>Reported!V85</f>
        <v>0</v>
      </c>
      <c r="Y151" s="238">
        <f>Reported!W85</f>
        <v>0</v>
      </c>
      <c r="Z151" s="242">
        <f>Reported!X85</f>
        <v>0</v>
      </c>
      <c r="AA151" s="242">
        <f>Reported!Y85</f>
        <v>0</v>
      </c>
      <c r="AB151" s="243">
        <f>Reported!Z85</f>
        <v>0</v>
      </c>
      <c r="AC151" s="238">
        <f>Reported!AA85</f>
        <v>0</v>
      </c>
      <c r="AD151" s="274">
        <v>0</v>
      </c>
      <c r="AE151" s="274">
        <v>0</v>
      </c>
      <c r="AF151" s="275">
        <v>0</v>
      </c>
      <c r="AG151" s="273">
        <v>0</v>
      </c>
      <c r="AH151" s="274">
        <v>0</v>
      </c>
      <c r="AI151" s="274">
        <v>0</v>
      </c>
      <c r="AJ151" s="275">
        <v>0</v>
      </c>
      <c r="AK151" s="273">
        <v>0</v>
      </c>
      <c r="AL151" s="274">
        <v>0</v>
      </c>
      <c r="AM151" s="274">
        <v>0</v>
      </c>
      <c r="AN151" s="275">
        <v>0</v>
      </c>
      <c r="AO151" s="18">
        <v>0</v>
      </c>
      <c r="AP151" s="19">
        <v>0</v>
      </c>
      <c r="AQ151" s="274">
        <v>0</v>
      </c>
      <c r="AR151" s="275">
        <v>0</v>
      </c>
      <c r="AS151" s="18">
        <v>0</v>
      </c>
      <c r="AT151" s="19">
        <v>0</v>
      </c>
      <c r="AU151" s="274">
        <v>0</v>
      </c>
      <c r="AV151" s="275">
        <v>0</v>
      </c>
      <c r="AW151" s="85"/>
      <c r="BR151" s="77">
        <f t="shared" si="354"/>
        <v>148</v>
      </c>
    </row>
    <row r="152" spans="1:70" ht="12" x14ac:dyDescent="0.15">
      <c r="A152" s="188" t="str">
        <f>Reported!A86</f>
        <v>Inc. (Dec.) in Cash from operations</v>
      </c>
      <c r="B152" s="10"/>
      <c r="C152" s="85"/>
      <c r="D152" s="85"/>
      <c r="E152" s="169">
        <f t="shared" ref="E152:T152" si="622">SUM(E144:E151)</f>
        <v>0</v>
      </c>
      <c r="F152" s="240">
        <f t="shared" si="622"/>
        <v>0</v>
      </c>
      <c r="G152" s="240">
        <f t="shared" si="622"/>
        <v>0</v>
      </c>
      <c r="H152" s="241">
        <f t="shared" si="622"/>
        <v>0</v>
      </c>
      <c r="I152" s="169">
        <f t="shared" si="622"/>
        <v>0</v>
      </c>
      <c r="J152" s="240">
        <f t="shared" si="622"/>
        <v>0</v>
      </c>
      <c r="K152" s="240">
        <f t="shared" si="622"/>
        <v>0</v>
      </c>
      <c r="L152" s="241">
        <f t="shared" si="622"/>
        <v>0</v>
      </c>
      <c r="M152" s="169">
        <f t="shared" si="622"/>
        <v>0</v>
      </c>
      <c r="N152" s="240">
        <f t="shared" si="622"/>
        <v>0</v>
      </c>
      <c r="O152" s="240">
        <f t="shared" si="622"/>
        <v>0</v>
      </c>
      <c r="P152" s="241">
        <f t="shared" si="622"/>
        <v>0</v>
      </c>
      <c r="Q152" s="169">
        <f t="shared" si="622"/>
        <v>0</v>
      </c>
      <c r="R152" s="240">
        <f t="shared" si="622"/>
        <v>0</v>
      </c>
      <c r="S152" s="240">
        <f t="shared" si="622"/>
        <v>0</v>
      </c>
      <c r="T152" s="241">
        <f t="shared" si="622"/>
        <v>0</v>
      </c>
      <c r="U152" s="169">
        <f t="shared" ref="U152:V152" si="623">SUM(U144:U151)</f>
        <v>0</v>
      </c>
      <c r="V152" s="240">
        <f t="shared" si="623"/>
        <v>0</v>
      </c>
      <c r="W152" s="240">
        <f t="shared" ref="W152" si="624">SUM(W144:W151)</f>
        <v>0</v>
      </c>
      <c r="X152" s="241">
        <f t="shared" ref="X152:AA152" si="625">SUM(X144:X151)</f>
        <v>0</v>
      </c>
      <c r="Y152" s="169">
        <f t="shared" si="625"/>
        <v>0</v>
      </c>
      <c r="Z152" s="240">
        <f t="shared" si="625"/>
        <v>0</v>
      </c>
      <c r="AA152" s="240">
        <f t="shared" si="625"/>
        <v>0</v>
      </c>
      <c r="AB152" s="241">
        <f t="shared" ref="AB152:AC152" si="626">SUM(AB144:AB151)</f>
        <v>0</v>
      </c>
      <c r="AC152" s="169">
        <f t="shared" si="626"/>
        <v>0</v>
      </c>
      <c r="AD152" s="258" t="e">
        <f t="shared" ref="AD152:AR152" si="627">SUM(AD144:AD150)</f>
        <v>#DIV/0!</v>
      </c>
      <c r="AE152" s="258" t="e">
        <f t="shared" si="627"/>
        <v>#DIV/0!</v>
      </c>
      <c r="AF152" s="259" t="e">
        <f t="shared" si="627"/>
        <v>#DIV/0!</v>
      </c>
      <c r="AG152" s="170" t="e">
        <f t="shared" si="627"/>
        <v>#DIV/0!</v>
      </c>
      <c r="AH152" s="258" t="e">
        <f t="shared" si="627"/>
        <v>#DIV/0!</v>
      </c>
      <c r="AI152" s="258" t="e">
        <f t="shared" si="627"/>
        <v>#DIV/0!</v>
      </c>
      <c r="AJ152" s="259" t="e">
        <f t="shared" si="627"/>
        <v>#DIV/0!</v>
      </c>
      <c r="AK152" s="170" t="e">
        <f t="shared" si="627"/>
        <v>#DIV/0!</v>
      </c>
      <c r="AL152" s="258" t="e">
        <f t="shared" si="627"/>
        <v>#DIV/0!</v>
      </c>
      <c r="AM152" s="258" t="e">
        <f t="shared" si="627"/>
        <v>#DIV/0!</v>
      </c>
      <c r="AN152" s="259" t="e">
        <f t="shared" si="627"/>
        <v>#DIV/0!</v>
      </c>
      <c r="AO152" s="88" t="e">
        <f t="shared" si="627"/>
        <v>#DIV/0!</v>
      </c>
      <c r="AP152" s="86" t="e">
        <f t="shared" si="627"/>
        <v>#DIV/0!</v>
      </c>
      <c r="AQ152" s="258" t="e">
        <f t="shared" si="627"/>
        <v>#DIV/0!</v>
      </c>
      <c r="AR152" s="259" t="e">
        <f t="shared" si="627"/>
        <v>#DIV/0!</v>
      </c>
      <c r="AS152" s="88" t="e">
        <f t="shared" ref="AS152:AV152" si="628">SUM(AS144:AS150)</f>
        <v>#DIV/0!</v>
      </c>
      <c r="AT152" s="86" t="e">
        <f t="shared" si="628"/>
        <v>#DIV/0!</v>
      </c>
      <c r="AU152" s="258" t="e">
        <f t="shared" si="628"/>
        <v>#DIV/0!</v>
      </c>
      <c r="AV152" s="259" t="e">
        <f t="shared" si="628"/>
        <v>#DIV/0!</v>
      </c>
      <c r="AW152" s="85"/>
      <c r="BR152" s="77">
        <f t="shared" si="354"/>
        <v>149</v>
      </c>
    </row>
    <row r="153" spans="1:70" ht="12" x14ac:dyDescent="0.15">
      <c r="A153" s="85"/>
      <c r="B153" s="188"/>
      <c r="C153" s="85"/>
      <c r="D153" s="85"/>
      <c r="E153" s="147"/>
      <c r="F153" s="148"/>
      <c r="G153" s="148"/>
      <c r="H153" s="149"/>
      <c r="I153" s="147"/>
      <c r="J153" s="148"/>
      <c r="K153" s="148"/>
      <c r="L153" s="149"/>
      <c r="M153" s="147"/>
      <c r="N153" s="148"/>
      <c r="O153" s="148"/>
      <c r="P153" s="149"/>
      <c r="Q153" s="147"/>
      <c r="R153" s="148"/>
      <c r="S153" s="148"/>
      <c r="T153" s="149"/>
      <c r="U153" s="147"/>
      <c r="V153" s="148"/>
      <c r="W153" s="148"/>
      <c r="X153" s="149"/>
      <c r="Y153" s="147"/>
      <c r="Z153" s="148"/>
      <c r="AA153" s="148"/>
      <c r="AB153" s="149"/>
      <c r="AC153" s="147"/>
      <c r="AD153" s="258"/>
      <c r="AE153" s="258"/>
      <c r="AF153" s="259"/>
      <c r="AG153" s="170"/>
      <c r="AH153" s="258"/>
      <c r="AI153" s="258"/>
      <c r="AJ153" s="259"/>
      <c r="AK153" s="170"/>
      <c r="AL153" s="258"/>
      <c r="AM153" s="258"/>
      <c r="AN153" s="259"/>
      <c r="AO153" s="88"/>
      <c r="AP153" s="86"/>
      <c r="AQ153" s="258"/>
      <c r="AR153" s="259"/>
      <c r="AS153" s="88"/>
      <c r="AT153" s="86"/>
      <c r="AU153" s="258"/>
      <c r="AV153" s="259"/>
      <c r="AW153" s="85"/>
      <c r="BR153" s="77">
        <f t="shared" si="354"/>
        <v>150</v>
      </c>
    </row>
    <row r="154" spans="1:70" ht="12" x14ac:dyDescent="0.15">
      <c r="A154" s="6" t="str">
        <f>Reported!A88</f>
        <v>Investing activities</v>
      </c>
      <c r="B154" s="188"/>
      <c r="C154" s="85"/>
      <c r="D154" s="85"/>
      <c r="E154" s="147"/>
      <c r="F154" s="148"/>
      <c r="G154" s="148"/>
      <c r="H154" s="149"/>
      <c r="I154" s="147"/>
      <c r="J154" s="148"/>
      <c r="K154" s="148"/>
      <c r="L154" s="149"/>
      <c r="M154" s="147"/>
      <c r="N154" s="148"/>
      <c r="O154" s="148"/>
      <c r="P154" s="149"/>
      <c r="Q154" s="147"/>
      <c r="R154" s="148"/>
      <c r="S154" s="148"/>
      <c r="T154" s="149"/>
      <c r="U154" s="147"/>
      <c r="V154" s="148"/>
      <c r="W154" s="148"/>
      <c r="X154" s="149"/>
      <c r="Y154" s="147"/>
      <c r="Z154" s="148"/>
      <c r="AA154" s="148"/>
      <c r="AB154" s="149"/>
      <c r="AC154" s="147"/>
      <c r="AD154" s="258"/>
      <c r="AE154" s="258"/>
      <c r="AF154" s="259"/>
      <c r="AG154" s="170"/>
      <c r="AH154" s="258"/>
      <c r="AI154" s="258"/>
      <c r="AJ154" s="259"/>
      <c r="AK154" s="170"/>
      <c r="AL154" s="258"/>
      <c r="AM154" s="258"/>
      <c r="AN154" s="259"/>
      <c r="AO154" s="88"/>
      <c r="AP154" s="86"/>
      <c r="AQ154" s="258"/>
      <c r="AR154" s="259"/>
      <c r="AS154" s="88"/>
      <c r="AT154" s="86"/>
      <c r="AU154" s="258"/>
      <c r="AV154" s="259"/>
      <c r="AW154" s="85"/>
      <c r="BR154" s="77">
        <f t="shared" si="354"/>
        <v>151</v>
      </c>
    </row>
    <row r="155" spans="1:70" ht="12" x14ac:dyDescent="0.15">
      <c r="A155" s="85"/>
      <c r="B155" s="188" t="str">
        <f>Reported!A93</f>
        <v>Interest received</v>
      </c>
      <c r="C155" s="85"/>
      <c r="D155" s="85"/>
      <c r="E155" s="169">
        <f>Reported!C93</f>
        <v>0</v>
      </c>
      <c r="F155" s="240">
        <f>Reported!D93</f>
        <v>0</v>
      </c>
      <c r="G155" s="240">
        <f>Reported!E93</f>
        <v>0</v>
      </c>
      <c r="H155" s="241">
        <f>Reported!F93</f>
        <v>0</v>
      </c>
      <c r="I155" s="169">
        <f>Reported!G93</f>
        <v>0</v>
      </c>
      <c r="J155" s="240">
        <f>Reported!H93</f>
        <v>0</v>
      </c>
      <c r="K155" s="240">
        <f>Reported!I93</f>
        <v>0</v>
      </c>
      <c r="L155" s="241">
        <f>Reported!J93</f>
        <v>0</v>
      </c>
      <c r="M155" s="169">
        <f>Reported!K93</f>
        <v>0</v>
      </c>
      <c r="N155" s="240">
        <f>Reported!L93</f>
        <v>0</v>
      </c>
      <c r="O155" s="240">
        <f>Reported!M93</f>
        <v>0</v>
      </c>
      <c r="P155" s="241">
        <f>Reported!N93</f>
        <v>0</v>
      </c>
      <c r="Q155" s="169">
        <f>Reported!O93</f>
        <v>0</v>
      </c>
      <c r="R155" s="240">
        <f>Reported!P93</f>
        <v>0</v>
      </c>
      <c r="S155" s="240">
        <f>Reported!Q93</f>
        <v>0</v>
      </c>
      <c r="T155" s="241">
        <f>Reported!R93</f>
        <v>0</v>
      </c>
      <c r="U155" s="169">
        <f>Reported!S93</f>
        <v>0</v>
      </c>
      <c r="V155" s="240">
        <f>Reported!T93</f>
        <v>0</v>
      </c>
      <c r="W155" s="240">
        <f>Reported!U93</f>
        <v>0</v>
      </c>
      <c r="X155" s="241">
        <f>Reported!V93</f>
        <v>0</v>
      </c>
      <c r="Y155" s="169">
        <f>Reported!W93</f>
        <v>0</v>
      </c>
      <c r="Z155" s="240">
        <f>Reported!X93</f>
        <v>0</v>
      </c>
      <c r="AA155" s="240">
        <f>Reported!Y93</f>
        <v>0</v>
      </c>
      <c r="AB155" s="241">
        <f>Reported!Z93</f>
        <v>0</v>
      </c>
      <c r="AC155" s="169">
        <f>Reported!AA93</f>
        <v>0</v>
      </c>
      <c r="AD155" s="258">
        <f t="shared" ref="AD155:AR155" si="629">AVERAGE(Z155:AC155)</f>
        <v>0</v>
      </c>
      <c r="AE155" s="258">
        <f t="shared" si="629"/>
        <v>0</v>
      </c>
      <c r="AF155" s="259">
        <f t="shared" si="629"/>
        <v>0</v>
      </c>
      <c r="AG155" s="170">
        <f t="shared" si="629"/>
        <v>0</v>
      </c>
      <c r="AH155" s="258">
        <f t="shared" si="629"/>
        <v>0</v>
      </c>
      <c r="AI155" s="258">
        <f t="shared" si="629"/>
        <v>0</v>
      </c>
      <c r="AJ155" s="259">
        <f t="shared" si="629"/>
        <v>0</v>
      </c>
      <c r="AK155" s="170">
        <f t="shared" si="629"/>
        <v>0</v>
      </c>
      <c r="AL155" s="258">
        <f t="shared" si="629"/>
        <v>0</v>
      </c>
      <c r="AM155" s="258">
        <f t="shared" si="629"/>
        <v>0</v>
      </c>
      <c r="AN155" s="259">
        <f t="shared" si="629"/>
        <v>0</v>
      </c>
      <c r="AO155" s="88">
        <f t="shared" si="629"/>
        <v>0</v>
      </c>
      <c r="AP155" s="86">
        <f t="shared" si="629"/>
        <v>0</v>
      </c>
      <c r="AQ155" s="258">
        <f t="shared" si="629"/>
        <v>0</v>
      </c>
      <c r="AR155" s="259">
        <f t="shared" si="629"/>
        <v>0</v>
      </c>
      <c r="AS155" s="88">
        <f t="shared" ref="AS155" si="630">AVERAGE(AO155:AR155)</f>
        <v>0</v>
      </c>
      <c r="AT155" s="86">
        <f t="shared" ref="AT155" si="631">AVERAGE(AP155:AS155)</f>
        <v>0</v>
      </c>
      <c r="AU155" s="258">
        <f t="shared" ref="AU155" si="632">AVERAGE(AQ155:AT155)</f>
        <v>0</v>
      </c>
      <c r="AV155" s="259">
        <f t="shared" ref="AV155" si="633">AVERAGE(AR155:AU155)</f>
        <v>0</v>
      </c>
      <c r="AW155" s="85"/>
      <c r="BR155" s="77">
        <f t="shared" si="354"/>
        <v>152</v>
      </c>
    </row>
    <row r="156" spans="1:70" ht="11.25" customHeight="1" x14ac:dyDescent="0.2">
      <c r="A156" s="85"/>
      <c r="B156" s="188" t="str">
        <f>Reported!A89</f>
        <v>Capital asset (additions)/disposals</v>
      </c>
      <c r="C156" s="85"/>
      <c r="D156" s="85"/>
      <c r="E156" s="169">
        <f>Reported!C89</f>
        <v>0</v>
      </c>
      <c r="F156" s="240">
        <f>Reported!D89</f>
        <v>0</v>
      </c>
      <c r="G156" s="240">
        <f>Reported!E89</f>
        <v>0</v>
      </c>
      <c r="H156" s="241">
        <f>Reported!F89</f>
        <v>0</v>
      </c>
      <c r="I156" s="169">
        <f>Reported!G89</f>
        <v>0</v>
      </c>
      <c r="J156" s="240">
        <f>Reported!H89</f>
        <v>0</v>
      </c>
      <c r="K156" s="240">
        <f>Reported!I89</f>
        <v>0</v>
      </c>
      <c r="L156" s="241">
        <f>Reported!J89</f>
        <v>0</v>
      </c>
      <c r="M156" s="169">
        <f>Reported!K89</f>
        <v>0</v>
      </c>
      <c r="N156" s="240">
        <f>Reported!L89</f>
        <v>0</v>
      </c>
      <c r="O156" s="240">
        <f>Reported!M89</f>
        <v>0</v>
      </c>
      <c r="P156" s="241">
        <f>Reported!N89</f>
        <v>0</v>
      </c>
      <c r="Q156" s="169">
        <f>Reported!O89</f>
        <v>0</v>
      </c>
      <c r="R156" s="240">
        <f>Reported!P89</f>
        <v>0</v>
      </c>
      <c r="S156" s="240">
        <f>Reported!Q89</f>
        <v>0</v>
      </c>
      <c r="T156" s="241">
        <f>Reported!R89</f>
        <v>0</v>
      </c>
      <c r="U156" s="169">
        <f>Reported!S89</f>
        <v>0</v>
      </c>
      <c r="V156" s="240">
        <f>Reported!T89</f>
        <v>0</v>
      </c>
      <c r="W156" s="240">
        <f>Reported!U89</f>
        <v>0</v>
      </c>
      <c r="X156" s="241">
        <f>Reported!V89</f>
        <v>0</v>
      </c>
      <c r="Y156" s="169">
        <f>Reported!W89</f>
        <v>0</v>
      </c>
      <c r="Z156" s="240">
        <f>Reported!X89</f>
        <v>0</v>
      </c>
      <c r="AA156" s="240">
        <f>Reported!Y89</f>
        <v>0</v>
      </c>
      <c r="AB156" s="241">
        <f>Reported!Z89</f>
        <v>0</v>
      </c>
      <c r="AC156" s="169">
        <f>Reported!AA89</f>
        <v>0</v>
      </c>
      <c r="AD156" s="72">
        <f t="shared" ref="AD156:AF157" si="634">IFERROR((SUM(Z156:AC156)*(1+$BK156))*AY156/4,0)</f>
        <v>0</v>
      </c>
      <c r="AE156" s="72">
        <f t="shared" si="634"/>
        <v>0</v>
      </c>
      <c r="AF156" s="73">
        <f t="shared" si="634"/>
        <v>0</v>
      </c>
      <c r="AG156" s="72">
        <f t="shared" ref="AG156:AJ157" si="635">IFERROR((SUM(AC156:AF156)*(1+$BL156))*AX156/4,0)</f>
        <v>0</v>
      </c>
      <c r="AH156" s="72">
        <f t="shared" si="635"/>
        <v>0</v>
      </c>
      <c r="AI156" s="72">
        <f t="shared" si="635"/>
        <v>0</v>
      </c>
      <c r="AJ156" s="73">
        <f t="shared" si="635"/>
        <v>0</v>
      </c>
      <c r="AK156" s="71">
        <f t="shared" ref="AK156:AN157" si="636">IFERROR((SUM(AG156:AJ156)*(1+$BM156))*AX156/4,0)</f>
        <v>0</v>
      </c>
      <c r="AL156" s="72">
        <f t="shared" si="636"/>
        <v>0</v>
      </c>
      <c r="AM156" s="72">
        <f t="shared" si="636"/>
        <v>0</v>
      </c>
      <c r="AN156" s="73">
        <f t="shared" si="636"/>
        <v>0</v>
      </c>
      <c r="AO156" s="71">
        <f t="shared" ref="AO156:AR157" si="637">IFERROR((SUM(AK156:AN156)*(1+$BN156))*AX156/4,0)</f>
        <v>0</v>
      </c>
      <c r="AP156" s="72">
        <f t="shared" si="637"/>
        <v>0</v>
      </c>
      <c r="AQ156" s="72">
        <f t="shared" si="637"/>
        <v>0</v>
      </c>
      <c r="AR156" s="73">
        <f t="shared" si="637"/>
        <v>0</v>
      </c>
      <c r="AS156" s="71">
        <f>IFERROR((SUM(AO156:AR156)*(1+$BO156))*AX156/4,0)</f>
        <v>0</v>
      </c>
      <c r="AT156" s="72">
        <f t="shared" ref="AT156:AV156" si="638">IFERROR((SUM(AP156:AS156)*(1+$BO156))*AY156/4,0)</f>
        <v>0</v>
      </c>
      <c r="AU156" s="72">
        <f t="shared" si="638"/>
        <v>0</v>
      </c>
      <c r="AV156" s="73">
        <f t="shared" si="638"/>
        <v>0</v>
      </c>
      <c r="AW156" s="17"/>
      <c r="AX156" s="293">
        <f>IFERROR(1-(1-$BB156)*(1-(SUMIFS($E156:$AR156,$E$3:$AR$3,#REF!,$E$5:$AR$5,"Actual"))/SUMIFS($E156:$AR156,$E$5:$AR$5,"Actual")*4),0)</f>
        <v>0</v>
      </c>
      <c r="AY156" s="293">
        <f>IFERROR(1-(1-$BB156)*(1-(SUMIFS($E156:$AR156,$E$3:$AR$3,#REF!,$E$5:$AR$5,"Actual"))/SUMIFS($E156:$AR156,$E$5:$AR$5,"Actual")*4),0)</f>
        <v>0</v>
      </c>
      <c r="AZ156" s="293">
        <f>IFERROR(1-(1-$BB156)*(1-(SUMIFS($E156:$AR156,$E$3:$AR$3,#REF!,$E$5:$AR$5,"Actual"))/SUMIFS($E156:$AR156,$E$5:$AR$5,"Actual")*4),0)</f>
        <v>0</v>
      </c>
      <c r="BA156" s="293">
        <f>IFERROR(1-(1-$BB156)*(1-(SUMIFS($E156:$AR156,$E$3:$AR$3,#REF!,$E$5:$AR$5,"Actual"))/SUMIFS($E156:$AR156,$E$5:$AR$5,"Actual")*4),0)</f>
        <v>0</v>
      </c>
      <c r="BB156" s="70">
        <v>1</v>
      </c>
      <c r="BC156" s="2"/>
      <c r="BD156"/>
      <c r="BE156" s="188" t="str">
        <f>"Growth in "&amp;B156</f>
        <v>Growth in Capital asset (additions)/disposals</v>
      </c>
      <c r="BF156" s="59">
        <f>IFERROR(SUM(I156:L156)/SUM(E156:H156)-1,0)</f>
        <v>0</v>
      </c>
      <c r="BG156" s="59">
        <f>IFERROR(SUM(M156:P156)/SUM(I156:L156)-1,0)</f>
        <v>0</v>
      </c>
      <c r="BH156" s="59">
        <f>IFERROR(SUM(Q156:T156)/SUM(M156:P156)-1,0)</f>
        <v>0</v>
      </c>
      <c r="BI156" s="59">
        <f t="shared" ref="BI156" si="639">IFERROR(SUM(U156:X156)/SUM(Q156:T156)-1,0)</f>
        <v>0</v>
      </c>
      <c r="BJ156" s="59">
        <f t="shared" ref="BJ156" si="640">IFERROR(SUM(Y156:AB156)/SUM(U156:X156)-1,0)</f>
        <v>0</v>
      </c>
      <c r="BK156" s="207">
        <v>0.2</v>
      </c>
      <c r="BL156" s="207">
        <v>0.2</v>
      </c>
      <c r="BM156" s="207">
        <v>0.2</v>
      </c>
      <c r="BN156" s="207">
        <v>0.1</v>
      </c>
      <c r="BO156" s="207">
        <v>0.1</v>
      </c>
      <c r="BR156" s="77">
        <f t="shared" si="354"/>
        <v>153</v>
      </c>
    </row>
    <row r="157" spans="1:70" ht="11.25" customHeight="1" x14ac:dyDescent="0.2">
      <c r="A157" s="85"/>
      <c r="B157" s="188" t="str">
        <f>Reported!A90</f>
        <v>Intangible asset (additions)/disposals</v>
      </c>
      <c r="C157" s="85"/>
      <c r="D157" s="85"/>
      <c r="E157" s="169">
        <f>Reported!C90</f>
        <v>0</v>
      </c>
      <c r="F157" s="240">
        <f>Reported!D90</f>
        <v>0</v>
      </c>
      <c r="G157" s="240">
        <f>Reported!E90</f>
        <v>0</v>
      </c>
      <c r="H157" s="241">
        <f>Reported!F90</f>
        <v>0</v>
      </c>
      <c r="I157" s="169">
        <f>Reported!G90</f>
        <v>0</v>
      </c>
      <c r="J157" s="240">
        <f>Reported!H90</f>
        <v>0</v>
      </c>
      <c r="K157" s="240">
        <f>Reported!I90</f>
        <v>0</v>
      </c>
      <c r="L157" s="241">
        <f>Reported!J90</f>
        <v>0</v>
      </c>
      <c r="M157" s="169">
        <f>Reported!K90</f>
        <v>0</v>
      </c>
      <c r="N157" s="240">
        <f>Reported!L90</f>
        <v>0</v>
      </c>
      <c r="O157" s="240">
        <f>Reported!M90</f>
        <v>0</v>
      </c>
      <c r="P157" s="241">
        <f>Reported!N90</f>
        <v>0</v>
      </c>
      <c r="Q157" s="169">
        <f>Reported!O90</f>
        <v>0</v>
      </c>
      <c r="R157" s="240">
        <f>Reported!P90</f>
        <v>0</v>
      </c>
      <c r="S157" s="240">
        <f>Reported!Q90</f>
        <v>0</v>
      </c>
      <c r="T157" s="241">
        <f>Reported!R90</f>
        <v>0</v>
      </c>
      <c r="U157" s="169">
        <f>Reported!S90</f>
        <v>0</v>
      </c>
      <c r="V157" s="240">
        <f>Reported!T90</f>
        <v>0</v>
      </c>
      <c r="W157" s="240">
        <f>Reported!U90</f>
        <v>0</v>
      </c>
      <c r="X157" s="241">
        <f>Reported!V90</f>
        <v>0</v>
      </c>
      <c r="Y157" s="169">
        <f>Reported!W90</f>
        <v>0</v>
      </c>
      <c r="Z157" s="240">
        <f>Reported!X90</f>
        <v>0</v>
      </c>
      <c r="AA157" s="240">
        <f>Reported!Y90</f>
        <v>0</v>
      </c>
      <c r="AB157" s="241">
        <f>Reported!Z90</f>
        <v>0</v>
      </c>
      <c r="AC157" s="169">
        <f>Reported!AA90</f>
        <v>0</v>
      </c>
      <c r="AD157" s="72">
        <f t="shared" si="634"/>
        <v>0</v>
      </c>
      <c r="AE157" s="72">
        <f t="shared" si="634"/>
        <v>0</v>
      </c>
      <c r="AF157" s="73">
        <f t="shared" si="634"/>
        <v>0</v>
      </c>
      <c r="AG157" s="72">
        <f t="shared" si="635"/>
        <v>0</v>
      </c>
      <c r="AH157" s="72">
        <f t="shared" si="635"/>
        <v>0</v>
      </c>
      <c r="AI157" s="72">
        <f t="shared" si="635"/>
        <v>0</v>
      </c>
      <c r="AJ157" s="73">
        <f t="shared" si="635"/>
        <v>0</v>
      </c>
      <c r="AK157" s="71">
        <f t="shared" si="636"/>
        <v>0</v>
      </c>
      <c r="AL157" s="72">
        <f t="shared" si="636"/>
        <v>0</v>
      </c>
      <c r="AM157" s="72">
        <f t="shared" si="636"/>
        <v>0</v>
      </c>
      <c r="AN157" s="73">
        <f t="shared" si="636"/>
        <v>0</v>
      </c>
      <c r="AO157" s="71">
        <f t="shared" si="637"/>
        <v>0</v>
      </c>
      <c r="AP157" s="72">
        <f t="shared" si="637"/>
        <v>0</v>
      </c>
      <c r="AQ157" s="72">
        <f t="shared" si="637"/>
        <v>0</v>
      </c>
      <c r="AR157" s="73">
        <f t="shared" si="637"/>
        <v>0</v>
      </c>
      <c r="AS157" s="71">
        <f>IFERROR((SUM(AO157:AR157)*(1+$BO157))*AX157/4,0)</f>
        <v>0</v>
      </c>
      <c r="AT157" s="72">
        <f t="shared" ref="AT157:AV157" si="641">IFERROR((SUM(AP157:AS157)*(1+$BO157))*AY157/4,0)</f>
        <v>0</v>
      </c>
      <c r="AU157" s="72">
        <f t="shared" si="641"/>
        <v>0</v>
      </c>
      <c r="AV157" s="73">
        <f t="shared" si="641"/>
        <v>0</v>
      </c>
      <c r="AW157" s="17"/>
      <c r="AX157" s="293">
        <f>IFERROR(1-(1-$BB157)*(1-(SUMIFS($E157:$AR157,$E$3:$AR$3,#REF!,$E$5:$AR$5,"Actual"))/SUMIFS($E157:$AR157,$E$5:$AR$5,"Actual")*4),0)</f>
        <v>0</v>
      </c>
      <c r="AY157" s="293">
        <f>IFERROR(1-(1-$BB157)*(1-(SUMIFS($E157:$AR157,$E$3:$AR$3,#REF!,$E$5:$AR$5,"Actual"))/SUMIFS($E157:$AR157,$E$5:$AR$5,"Actual")*4),0)</f>
        <v>0</v>
      </c>
      <c r="AZ157" s="293">
        <f>IFERROR(1-(1-$BB157)*(1-(SUMIFS($E157:$AR157,$E$3:$AR$3,#REF!,$E$5:$AR$5,"Actual"))/SUMIFS($E157:$AR157,$E$5:$AR$5,"Actual")*4),0)</f>
        <v>0</v>
      </c>
      <c r="BA157" s="293">
        <f>IFERROR(1-(1-$BB157)*(1-(SUMIFS($E157:$AR157,$E$3:$AR$3,#REF!,$E$5:$AR$5,"Actual"))/SUMIFS($E157:$AR157,$E$5:$AR$5,"Actual")*4),0)</f>
        <v>0</v>
      </c>
      <c r="BB157" s="70">
        <v>1</v>
      </c>
      <c r="BC157" s="2"/>
      <c r="BD157"/>
      <c r="BE157" s="188" t="str">
        <f>"Growth in "&amp;B157</f>
        <v>Growth in Intangible asset (additions)/disposals</v>
      </c>
      <c r="BF157" s="59">
        <f>IFERROR(SUM(I157:L157)/SUM(E157:H157)-1,0)</f>
        <v>0</v>
      </c>
      <c r="BG157" s="59">
        <f>IFERROR(SUM(M157:P157)/SUM(I157:L157)-1,0)</f>
        <v>0</v>
      </c>
      <c r="BH157" s="59">
        <f>IFERROR(SUM(Q157:T157)/SUM(M157:P157)-1,0)</f>
        <v>0</v>
      </c>
      <c r="BI157" s="59">
        <f t="shared" ref="BI157:BI158" si="642">IFERROR(SUM(U157:X157)/SUM(Q157:T157)-1,0)</f>
        <v>0</v>
      </c>
      <c r="BJ157" s="59">
        <f t="shared" ref="BJ157:BJ158" si="643">IFERROR(SUM(Y157:AB157)/SUM(U157:X157)-1,0)</f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R157" s="77">
        <f t="shared" ref="BR157:BR214" si="644">ROW()-3</f>
        <v>154</v>
      </c>
    </row>
    <row r="158" spans="1:70" ht="11.25" customHeight="1" x14ac:dyDescent="0.2">
      <c r="A158" s="85"/>
      <c r="B158" s="188" t="str">
        <f>Reported!A91</f>
        <v>(Purchase) Redemption of investments</v>
      </c>
      <c r="C158" s="85"/>
      <c r="D158" s="85"/>
      <c r="E158" s="169">
        <f>Reported!C91</f>
        <v>0</v>
      </c>
      <c r="F158" s="240">
        <f>Reported!D91</f>
        <v>0</v>
      </c>
      <c r="G158" s="240">
        <f>Reported!E91</f>
        <v>0</v>
      </c>
      <c r="H158" s="241">
        <f>Reported!F91</f>
        <v>0</v>
      </c>
      <c r="I158" s="169">
        <f>Reported!G91</f>
        <v>0</v>
      </c>
      <c r="J158" s="240">
        <f>Reported!H91</f>
        <v>0</v>
      </c>
      <c r="K158" s="240">
        <f>Reported!I91</f>
        <v>0</v>
      </c>
      <c r="L158" s="241">
        <f>Reported!J91</f>
        <v>0</v>
      </c>
      <c r="M158" s="169">
        <f>Reported!K91</f>
        <v>0</v>
      </c>
      <c r="N158" s="240">
        <f>Reported!L91</f>
        <v>0</v>
      </c>
      <c r="O158" s="240">
        <f>Reported!M91</f>
        <v>0</v>
      </c>
      <c r="P158" s="241">
        <f>Reported!N91</f>
        <v>0</v>
      </c>
      <c r="Q158" s="169">
        <f>Reported!O91</f>
        <v>0</v>
      </c>
      <c r="R158" s="240">
        <f>Reported!P91</f>
        <v>0</v>
      </c>
      <c r="S158" s="240">
        <f>Reported!Q91</f>
        <v>0</v>
      </c>
      <c r="T158" s="241">
        <f>Reported!R91</f>
        <v>0</v>
      </c>
      <c r="U158" s="169">
        <f>Reported!S91</f>
        <v>0</v>
      </c>
      <c r="V158" s="240">
        <f>Reported!T91</f>
        <v>0</v>
      </c>
      <c r="W158" s="240">
        <f>Reported!U91</f>
        <v>0</v>
      </c>
      <c r="X158" s="241">
        <f>Reported!V91</f>
        <v>0</v>
      </c>
      <c r="Y158" s="169">
        <f>Reported!W91</f>
        <v>0</v>
      </c>
      <c r="Z158" s="240">
        <f>Reported!X91</f>
        <v>0</v>
      </c>
      <c r="AA158" s="240">
        <f>Reported!Y91</f>
        <v>0</v>
      </c>
      <c r="AB158" s="241">
        <f>Reported!Z91</f>
        <v>0</v>
      </c>
      <c r="AC158" s="169">
        <f>Reported!AA91</f>
        <v>0</v>
      </c>
      <c r="AD158" s="72">
        <v>0</v>
      </c>
      <c r="AE158" s="72">
        <v>0</v>
      </c>
      <c r="AF158" s="73">
        <v>0</v>
      </c>
      <c r="AG158" s="72">
        <v>0</v>
      </c>
      <c r="AH158" s="72">
        <v>0</v>
      </c>
      <c r="AI158" s="72">
        <v>0</v>
      </c>
      <c r="AJ158" s="73">
        <v>0</v>
      </c>
      <c r="AK158" s="71">
        <v>0</v>
      </c>
      <c r="AL158" s="72">
        <v>0</v>
      </c>
      <c r="AM158" s="72">
        <v>0</v>
      </c>
      <c r="AN158" s="73">
        <v>0</v>
      </c>
      <c r="AO158" s="71">
        <v>0</v>
      </c>
      <c r="AP158" s="72">
        <v>0</v>
      </c>
      <c r="AQ158" s="72">
        <v>0</v>
      </c>
      <c r="AR158" s="73">
        <v>0</v>
      </c>
      <c r="AS158" s="71">
        <v>0</v>
      </c>
      <c r="AT158" s="72">
        <v>0</v>
      </c>
      <c r="AU158" s="72">
        <v>0</v>
      </c>
      <c r="AV158" s="73">
        <v>0</v>
      </c>
      <c r="AW158" s="17"/>
      <c r="AX158" s="293">
        <f>IFERROR(1-(1-$BB158)*(1-(SUMIFS($E158:$AR158,$E$3:$AR$3,#REF!,$E$5:$AR$5,"Actual"))/SUMIFS($E158:$AR158,$E$5:$AR$5,"Actual")*4),0)</f>
        <v>0</v>
      </c>
      <c r="AY158" s="293">
        <f>IFERROR(1-(1-$BB158)*(1-(SUMIFS($E158:$AR158,$E$3:$AR$3,#REF!,$E$5:$AR$5,"Actual"))/SUMIFS($E158:$AR158,$E$5:$AR$5,"Actual")*4),0)</f>
        <v>0</v>
      </c>
      <c r="AZ158" s="293">
        <f>IFERROR(1-(1-$BB158)*(1-(SUMIFS($E158:$AR158,$E$3:$AR$3,#REF!,$E$5:$AR$5,"Actual"))/SUMIFS($E158:$AR158,$E$5:$AR$5,"Actual")*4),0)</f>
        <v>0</v>
      </c>
      <c r="BA158" s="293">
        <f>IFERROR(1-(1-$BB158)*(1-(SUMIFS($E158:$AR158,$E$3:$AR$3,#REF!,$E$5:$AR$5,"Actual"))/SUMIFS($E158:$AR158,$E$5:$AR$5,"Actual")*4),0)</f>
        <v>0</v>
      </c>
      <c r="BB158" s="70">
        <v>1</v>
      </c>
      <c r="BC158" s="2"/>
      <c r="BD158"/>
      <c r="BE158" s="188" t="str">
        <f>"Growth in "&amp;B158</f>
        <v>Growth in (Purchase) Redemption of investments</v>
      </c>
      <c r="BF158" s="59">
        <f>IFERROR(SUM(I158:L158)/SUM(E158:H158)-1,0)</f>
        <v>0</v>
      </c>
      <c r="BG158" s="59">
        <f>IFERROR(SUM(M158:P158)/SUM(I158:L158)-1,0)</f>
        <v>0</v>
      </c>
      <c r="BH158" s="59">
        <f>IFERROR(SUM(Q158:T158)/SUM(M158:P158)-1,0)</f>
        <v>0</v>
      </c>
      <c r="BI158" s="59">
        <f t="shared" si="642"/>
        <v>0</v>
      </c>
      <c r="BJ158" s="59">
        <f t="shared" si="643"/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R158" s="77">
        <f t="shared" si="644"/>
        <v>155</v>
      </c>
    </row>
    <row r="159" spans="1:70" ht="12" x14ac:dyDescent="0.15">
      <c r="A159" s="85"/>
      <c r="B159" s="188" t="str">
        <f>Reported!A92</f>
        <v>Acquisitions</v>
      </c>
      <c r="C159" s="85"/>
      <c r="D159" s="85"/>
      <c r="E159" s="169">
        <f>Reported!C92</f>
        <v>0</v>
      </c>
      <c r="F159" s="240">
        <f>Reported!D92</f>
        <v>0</v>
      </c>
      <c r="G159" s="240">
        <f>Reported!E92</f>
        <v>0</v>
      </c>
      <c r="H159" s="241">
        <f>Reported!F92</f>
        <v>0</v>
      </c>
      <c r="I159" s="169">
        <f>Reported!G92</f>
        <v>0</v>
      </c>
      <c r="J159" s="240">
        <f>Reported!H92</f>
        <v>0</v>
      </c>
      <c r="K159" s="240">
        <f>Reported!I92</f>
        <v>0</v>
      </c>
      <c r="L159" s="241">
        <f>Reported!J92</f>
        <v>0</v>
      </c>
      <c r="M159" s="169">
        <f>Reported!K92</f>
        <v>0</v>
      </c>
      <c r="N159" s="240">
        <f>Reported!L92</f>
        <v>0</v>
      </c>
      <c r="O159" s="240">
        <f>Reported!M92</f>
        <v>0</v>
      </c>
      <c r="P159" s="241">
        <f>Reported!N92</f>
        <v>0</v>
      </c>
      <c r="Q159" s="169">
        <f>Reported!O92</f>
        <v>0</v>
      </c>
      <c r="R159" s="240">
        <f>Reported!P92</f>
        <v>0</v>
      </c>
      <c r="S159" s="240">
        <f>Reported!Q92</f>
        <v>0</v>
      </c>
      <c r="T159" s="241">
        <f>Reported!R92</f>
        <v>0</v>
      </c>
      <c r="U159" s="169">
        <f>Reported!S92</f>
        <v>0</v>
      </c>
      <c r="V159" s="240">
        <f>Reported!T92</f>
        <v>0</v>
      </c>
      <c r="W159" s="240">
        <f>Reported!U92</f>
        <v>0</v>
      </c>
      <c r="X159" s="241">
        <f>Reported!V92</f>
        <v>0</v>
      </c>
      <c r="Y159" s="169">
        <f>Reported!W92</f>
        <v>0</v>
      </c>
      <c r="Z159" s="240">
        <f>Reported!X92</f>
        <v>0</v>
      </c>
      <c r="AA159" s="240">
        <f>Reported!Y92</f>
        <v>0</v>
      </c>
      <c r="AB159" s="241">
        <f>Reported!Z92</f>
        <v>0</v>
      </c>
      <c r="AC159" s="169">
        <f>Reported!AA92</f>
        <v>0</v>
      </c>
      <c r="AD159" s="258">
        <v>0</v>
      </c>
      <c r="AE159" s="258">
        <v>0</v>
      </c>
      <c r="AF159" s="259">
        <v>0</v>
      </c>
      <c r="AG159" s="170">
        <v>0</v>
      </c>
      <c r="AH159" s="258">
        <v>0</v>
      </c>
      <c r="AI159" s="258">
        <v>0</v>
      </c>
      <c r="AJ159" s="259">
        <v>0</v>
      </c>
      <c r="AK159" s="170">
        <v>0</v>
      </c>
      <c r="AL159" s="258">
        <v>0</v>
      </c>
      <c r="AM159" s="258">
        <v>0</v>
      </c>
      <c r="AN159" s="259">
        <v>0</v>
      </c>
      <c r="AO159" s="88">
        <v>0</v>
      </c>
      <c r="AP159" s="86">
        <v>0</v>
      </c>
      <c r="AQ159" s="258">
        <v>0</v>
      </c>
      <c r="AR159" s="259">
        <v>0</v>
      </c>
      <c r="AS159" s="88">
        <v>0</v>
      </c>
      <c r="AT159" s="86">
        <v>0</v>
      </c>
      <c r="AU159" s="258">
        <v>0</v>
      </c>
      <c r="AV159" s="259">
        <v>0</v>
      </c>
      <c r="AW159" s="85"/>
      <c r="BR159" s="77">
        <f t="shared" si="644"/>
        <v>156</v>
      </c>
    </row>
    <row r="160" spans="1:70" ht="11.25" customHeight="1" x14ac:dyDescent="0.25">
      <c r="A160" s="85"/>
      <c r="B160" s="188" t="str">
        <f>Reported!A94</f>
        <v>Other</v>
      </c>
      <c r="C160" s="85"/>
      <c r="D160" s="85"/>
      <c r="E160" s="238">
        <f>Reported!C94</f>
        <v>0</v>
      </c>
      <c r="F160" s="242">
        <f>Reported!D94</f>
        <v>0</v>
      </c>
      <c r="G160" s="242">
        <f>Reported!E94</f>
        <v>0</v>
      </c>
      <c r="H160" s="243">
        <f>Reported!F94</f>
        <v>0</v>
      </c>
      <c r="I160" s="238">
        <f>Reported!G94</f>
        <v>0</v>
      </c>
      <c r="J160" s="242">
        <f>Reported!H94</f>
        <v>0</v>
      </c>
      <c r="K160" s="242">
        <f>Reported!I94</f>
        <v>0</v>
      </c>
      <c r="L160" s="243">
        <f>Reported!J94</f>
        <v>0</v>
      </c>
      <c r="M160" s="238">
        <f>Reported!K94</f>
        <v>0</v>
      </c>
      <c r="N160" s="242">
        <f>Reported!L94</f>
        <v>0</v>
      </c>
      <c r="O160" s="242">
        <f>Reported!M94</f>
        <v>0</v>
      </c>
      <c r="P160" s="243">
        <f>Reported!N94</f>
        <v>0</v>
      </c>
      <c r="Q160" s="238">
        <f>Reported!O94</f>
        <v>0</v>
      </c>
      <c r="R160" s="242">
        <f>Reported!P94</f>
        <v>0</v>
      </c>
      <c r="S160" s="242">
        <f>Reported!Q94</f>
        <v>0</v>
      </c>
      <c r="T160" s="243">
        <f>Reported!R94</f>
        <v>0</v>
      </c>
      <c r="U160" s="238">
        <f>Reported!S94</f>
        <v>0</v>
      </c>
      <c r="V160" s="242">
        <f>Reported!T94</f>
        <v>0</v>
      </c>
      <c r="W160" s="242">
        <f>Reported!U94</f>
        <v>0</v>
      </c>
      <c r="X160" s="243">
        <f>Reported!V94</f>
        <v>0</v>
      </c>
      <c r="Y160" s="238">
        <f>Reported!W94</f>
        <v>0</v>
      </c>
      <c r="Z160" s="242">
        <f>Reported!X94</f>
        <v>0</v>
      </c>
      <c r="AA160" s="242">
        <f>Reported!Y94</f>
        <v>0</v>
      </c>
      <c r="AB160" s="243">
        <f>Reported!Z94</f>
        <v>0</v>
      </c>
      <c r="AC160" s="238">
        <f>Reported!AA94</f>
        <v>0</v>
      </c>
      <c r="AD160" s="274">
        <v>0</v>
      </c>
      <c r="AE160" s="274">
        <v>0</v>
      </c>
      <c r="AF160" s="275">
        <v>0</v>
      </c>
      <c r="AG160" s="273">
        <v>0</v>
      </c>
      <c r="AH160" s="274">
        <v>0</v>
      </c>
      <c r="AI160" s="274">
        <v>0</v>
      </c>
      <c r="AJ160" s="275">
        <v>0</v>
      </c>
      <c r="AK160" s="273">
        <v>0</v>
      </c>
      <c r="AL160" s="274">
        <v>0</v>
      </c>
      <c r="AM160" s="274">
        <v>0</v>
      </c>
      <c r="AN160" s="275">
        <v>0</v>
      </c>
      <c r="AO160" s="18">
        <v>0</v>
      </c>
      <c r="AP160" s="19">
        <v>0</v>
      </c>
      <c r="AQ160" s="274">
        <v>0</v>
      </c>
      <c r="AR160" s="275">
        <v>0</v>
      </c>
      <c r="AS160" s="18">
        <v>0</v>
      </c>
      <c r="AT160" s="19">
        <v>0</v>
      </c>
      <c r="AU160" s="274">
        <v>0</v>
      </c>
      <c r="AV160" s="275">
        <v>0</v>
      </c>
      <c r="AW160" s="85"/>
      <c r="BR160" s="77">
        <f t="shared" si="644"/>
        <v>157</v>
      </c>
    </row>
    <row r="161" spans="1:70" ht="12" x14ac:dyDescent="0.15">
      <c r="A161" s="188" t="str">
        <f>Reported!A95</f>
        <v>Inc. (Dec.) in Cash from investing activities</v>
      </c>
      <c r="B161" s="10"/>
      <c r="C161" s="85"/>
      <c r="D161" s="85"/>
      <c r="E161" s="169">
        <f t="shared" ref="E161:T161" si="645">SUM(E155:E160)</f>
        <v>0</v>
      </c>
      <c r="F161" s="240">
        <f t="shared" si="645"/>
        <v>0</v>
      </c>
      <c r="G161" s="240">
        <f t="shared" si="645"/>
        <v>0</v>
      </c>
      <c r="H161" s="241">
        <f t="shared" si="645"/>
        <v>0</v>
      </c>
      <c r="I161" s="169">
        <f t="shared" si="645"/>
        <v>0</v>
      </c>
      <c r="J161" s="240">
        <f t="shared" si="645"/>
        <v>0</v>
      </c>
      <c r="K161" s="240">
        <f t="shared" si="645"/>
        <v>0</v>
      </c>
      <c r="L161" s="241">
        <f t="shared" si="645"/>
        <v>0</v>
      </c>
      <c r="M161" s="169">
        <f t="shared" si="645"/>
        <v>0</v>
      </c>
      <c r="N161" s="240">
        <f t="shared" si="645"/>
        <v>0</v>
      </c>
      <c r="O161" s="240">
        <f t="shared" si="645"/>
        <v>0</v>
      </c>
      <c r="P161" s="241">
        <f t="shared" si="645"/>
        <v>0</v>
      </c>
      <c r="Q161" s="169">
        <f t="shared" si="645"/>
        <v>0</v>
      </c>
      <c r="R161" s="240">
        <f t="shared" si="645"/>
        <v>0</v>
      </c>
      <c r="S161" s="240">
        <f t="shared" si="645"/>
        <v>0</v>
      </c>
      <c r="T161" s="241">
        <f t="shared" si="645"/>
        <v>0</v>
      </c>
      <c r="U161" s="169">
        <f t="shared" ref="U161:V161" si="646">SUM(U155:U160)</f>
        <v>0</v>
      </c>
      <c r="V161" s="240">
        <f t="shared" si="646"/>
        <v>0</v>
      </c>
      <c r="W161" s="240">
        <f t="shared" ref="W161" si="647">SUM(W155:W160)</f>
        <v>0</v>
      </c>
      <c r="X161" s="241">
        <f t="shared" ref="X161:AA161" si="648">SUM(X155:X160)</f>
        <v>0</v>
      </c>
      <c r="Y161" s="169">
        <f t="shared" si="648"/>
        <v>0</v>
      </c>
      <c r="Z161" s="240">
        <f t="shared" si="648"/>
        <v>0</v>
      </c>
      <c r="AA161" s="240">
        <f t="shared" si="648"/>
        <v>0</v>
      </c>
      <c r="AB161" s="241">
        <f t="shared" ref="AB161:AC161" si="649">SUM(AB155:AB160)</f>
        <v>0</v>
      </c>
      <c r="AC161" s="169">
        <f t="shared" si="649"/>
        <v>0</v>
      </c>
      <c r="AD161" s="258">
        <f t="shared" ref="AD161:AR161" si="650">SUM(AD155:AD157)</f>
        <v>0</v>
      </c>
      <c r="AE161" s="258">
        <f t="shared" si="650"/>
        <v>0</v>
      </c>
      <c r="AF161" s="259">
        <f t="shared" si="650"/>
        <v>0</v>
      </c>
      <c r="AG161" s="170">
        <f t="shared" si="650"/>
        <v>0</v>
      </c>
      <c r="AH161" s="258">
        <f t="shared" si="650"/>
        <v>0</v>
      </c>
      <c r="AI161" s="258">
        <f t="shared" si="650"/>
        <v>0</v>
      </c>
      <c r="AJ161" s="259">
        <f t="shared" si="650"/>
        <v>0</v>
      </c>
      <c r="AK161" s="170">
        <f t="shared" si="650"/>
        <v>0</v>
      </c>
      <c r="AL161" s="258">
        <f t="shared" si="650"/>
        <v>0</v>
      </c>
      <c r="AM161" s="258">
        <f t="shared" si="650"/>
        <v>0</v>
      </c>
      <c r="AN161" s="259">
        <f t="shared" si="650"/>
        <v>0</v>
      </c>
      <c r="AO161" s="88">
        <f t="shared" si="650"/>
        <v>0</v>
      </c>
      <c r="AP161" s="86">
        <f t="shared" si="650"/>
        <v>0</v>
      </c>
      <c r="AQ161" s="258">
        <f t="shared" si="650"/>
        <v>0</v>
      </c>
      <c r="AR161" s="259">
        <f t="shared" si="650"/>
        <v>0</v>
      </c>
      <c r="AS161" s="88">
        <f t="shared" ref="AS161:AV161" si="651">SUM(AS155:AS157)</f>
        <v>0</v>
      </c>
      <c r="AT161" s="86">
        <f t="shared" si="651"/>
        <v>0</v>
      </c>
      <c r="AU161" s="258">
        <f t="shared" si="651"/>
        <v>0</v>
      </c>
      <c r="AV161" s="259">
        <f t="shared" si="651"/>
        <v>0</v>
      </c>
      <c r="AW161" s="85"/>
      <c r="BR161" s="77">
        <f t="shared" si="644"/>
        <v>158</v>
      </c>
    </row>
    <row r="162" spans="1:70" ht="12" x14ac:dyDescent="0.15">
      <c r="A162" s="85"/>
      <c r="B162" s="188"/>
      <c r="C162" s="85"/>
      <c r="D162" s="85"/>
      <c r="E162" s="147"/>
      <c r="F162" s="148"/>
      <c r="G162" s="148"/>
      <c r="H162" s="149"/>
      <c r="I162" s="147"/>
      <c r="J162" s="148"/>
      <c r="K162" s="148"/>
      <c r="L162" s="149"/>
      <c r="M162" s="147"/>
      <c r="N162" s="148"/>
      <c r="O162" s="148"/>
      <c r="P162" s="149"/>
      <c r="Q162" s="147"/>
      <c r="R162" s="148"/>
      <c r="S162" s="148"/>
      <c r="T162" s="149"/>
      <c r="U162" s="147"/>
      <c r="V162" s="148"/>
      <c r="W162" s="148"/>
      <c r="X162" s="149"/>
      <c r="Y162" s="147"/>
      <c r="Z162" s="148"/>
      <c r="AA162" s="148"/>
      <c r="AB162" s="149"/>
      <c r="AC162" s="147"/>
      <c r="AD162" s="258"/>
      <c r="AE162" s="258"/>
      <c r="AF162" s="259"/>
      <c r="AG162" s="170"/>
      <c r="AH162" s="258"/>
      <c r="AI162" s="258"/>
      <c r="AJ162" s="259"/>
      <c r="AK162" s="170"/>
      <c r="AL162" s="258"/>
      <c r="AM162" s="258"/>
      <c r="AN162" s="259"/>
      <c r="AO162" s="88"/>
      <c r="AP162" s="86"/>
      <c r="AQ162" s="258"/>
      <c r="AR162" s="259"/>
      <c r="AS162" s="88"/>
      <c r="AT162" s="86"/>
      <c r="AU162" s="258"/>
      <c r="AV162" s="259"/>
      <c r="AW162" s="85"/>
      <c r="BR162" s="77">
        <f t="shared" si="644"/>
        <v>159</v>
      </c>
    </row>
    <row r="163" spans="1:70" ht="12" x14ac:dyDescent="0.15">
      <c r="A163" s="6" t="str">
        <f>Reported!A97</f>
        <v>Financing activities</v>
      </c>
      <c r="B163" s="188"/>
      <c r="C163" s="85"/>
      <c r="D163" s="85"/>
      <c r="E163" s="147"/>
      <c r="F163" s="148"/>
      <c r="G163" s="148"/>
      <c r="H163" s="149"/>
      <c r="I163" s="147"/>
      <c r="J163" s="148"/>
      <c r="K163" s="148"/>
      <c r="L163" s="149"/>
      <c r="M163" s="147"/>
      <c r="N163" s="148"/>
      <c r="O163" s="148"/>
      <c r="P163" s="149"/>
      <c r="Q163" s="147"/>
      <c r="R163" s="148"/>
      <c r="S163" s="148"/>
      <c r="T163" s="149"/>
      <c r="U163" s="147"/>
      <c r="V163" s="148"/>
      <c r="W163" s="148"/>
      <c r="X163" s="149"/>
      <c r="Y163" s="147"/>
      <c r="Z163" s="148"/>
      <c r="AA163" s="148"/>
      <c r="AB163" s="149"/>
      <c r="AC163" s="147"/>
      <c r="AD163" s="258"/>
      <c r="AE163" s="258"/>
      <c r="AF163" s="259"/>
      <c r="AG163" s="170"/>
      <c r="AH163" s="258"/>
      <c r="AI163" s="258"/>
      <c r="AJ163" s="259"/>
      <c r="AK163" s="170"/>
      <c r="AL163" s="258"/>
      <c r="AM163" s="258"/>
      <c r="AN163" s="259"/>
      <c r="AO163" s="88"/>
      <c r="AP163" s="86"/>
      <c r="AQ163" s="258"/>
      <c r="AR163" s="259"/>
      <c r="AS163" s="88"/>
      <c r="AT163" s="86"/>
      <c r="AU163" s="258"/>
      <c r="AV163" s="259"/>
      <c r="AW163" s="85"/>
      <c r="BR163" s="77">
        <f t="shared" si="644"/>
        <v>160</v>
      </c>
    </row>
    <row r="164" spans="1:70" ht="12" x14ac:dyDescent="0.15">
      <c r="A164" s="85"/>
      <c r="B164" s="188" t="str">
        <f>Reported!A98</f>
        <v>Proceeds from exercise of share options</v>
      </c>
      <c r="C164" s="85"/>
      <c r="D164" s="85"/>
      <c r="E164" s="169">
        <f>Reported!C98</f>
        <v>0</v>
      </c>
      <c r="F164" s="240">
        <f>Reported!D98</f>
        <v>0</v>
      </c>
      <c r="G164" s="240">
        <f>Reported!E98</f>
        <v>0</v>
      </c>
      <c r="H164" s="241">
        <f>Reported!F98</f>
        <v>0</v>
      </c>
      <c r="I164" s="169">
        <f>Reported!G98</f>
        <v>0</v>
      </c>
      <c r="J164" s="240">
        <f>Reported!H98</f>
        <v>0</v>
      </c>
      <c r="K164" s="240">
        <f>Reported!I98</f>
        <v>0</v>
      </c>
      <c r="L164" s="241">
        <f>Reported!J98</f>
        <v>0</v>
      </c>
      <c r="M164" s="169">
        <f>Reported!K98</f>
        <v>0</v>
      </c>
      <c r="N164" s="240">
        <f>Reported!L98</f>
        <v>0</v>
      </c>
      <c r="O164" s="240">
        <f>Reported!M98</f>
        <v>0</v>
      </c>
      <c r="P164" s="241">
        <f>Reported!N98</f>
        <v>0</v>
      </c>
      <c r="Q164" s="169">
        <f>Reported!O98</f>
        <v>0</v>
      </c>
      <c r="R164" s="240">
        <f>Reported!P98</f>
        <v>0</v>
      </c>
      <c r="S164" s="240">
        <f>Reported!Q98</f>
        <v>0</v>
      </c>
      <c r="T164" s="241">
        <f>Reported!R98</f>
        <v>0</v>
      </c>
      <c r="U164" s="169">
        <f>Reported!S98</f>
        <v>0</v>
      </c>
      <c r="V164" s="240">
        <f>Reported!T98</f>
        <v>0</v>
      </c>
      <c r="W164" s="240">
        <f>Reported!U98</f>
        <v>0</v>
      </c>
      <c r="X164" s="241">
        <f>Reported!V98</f>
        <v>0</v>
      </c>
      <c r="Y164" s="169">
        <f>Reported!W98</f>
        <v>0</v>
      </c>
      <c r="Z164" s="240">
        <f>Reported!X98</f>
        <v>0</v>
      </c>
      <c r="AA164" s="240">
        <f>Reported!Y98</f>
        <v>0</v>
      </c>
      <c r="AB164" s="241">
        <f>Reported!Z98</f>
        <v>0</v>
      </c>
      <c r="AC164" s="169">
        <f>Reported!AA98</f>
        <v>0</v>
      </c>
      <c r="AD164" s="258">
        <v>0</v>
      </c>
      <c r="AE164" s="258">
        <v>0</v>
      </c>
      <c r="AF164" s="259">
        <v>0</v>
      </c>
      <c r="AG164" s="170">
        <v>0</v>
      </c>
      <c r="AH164" s="258">
        <v>0</v>
      </c>
      <c r="AI164" s="258">
        <v>0</v>
      </c>
      <c r="AJ164" s="259">
        <v>0</v>
      </c>
      <c r="AK164" s="170">
        <v>0</v>
      </c>
      <c r="AL164" s="258">
        <v>0</v>
      </c>
      <c r="AM164" s="258">
        <v>0</v>
      </c>
      <c r="AN164" s="259">
        <v>0</v>
      </c>
      <c r="AO164" s="88">
        <v>0</v>
      </c>
      <c r="AP164" s="86">
        <v>0</v>
      </c>
      <c r="AQ164" s="258">
        <v>0</v>
      </c>
      <c r="AR164" s="259">
        <v>0</v>
      </c>
      <c r="AS164" s="88">
        <v>0</v>
      </c>
      <c r="AT164" s="86">
        <v>0</v>
      </c>
      <c r="AU164" s="258">
        <v>0</v>
      </c>
      <c r="AV164" s="259">
        <v>0</v>
      </c>
      <c r="AW164" s="85"/>
      <c r="BR164" s="77">
        <f t="shared" si="644"/>
        <v>161</v>
      </c>
    </row>
    <row r="165" spans="1:70" ht="12" x14ac:dyDescent="0.15">
      <c r="A165" s="85"/>
      <c r="B165" s="188" t="str">
        <f>Reported!A99</f>
        <v>Net proceeds from issue of share capital (repurchase)</v>
      </c>
      <c r="C165" s="85"/>
      <c r="D165" s="85"/>
      <c r="E165" s="169">
        <f>Reported!C99</f>
        <v>0</v>
      </c>
      <c r="F165" s="240">
        <f>Reported!D99</f>
        <v>0</v>
      </c>
      <c r="G165" s="240">
        <f>Reported!E99</f>
        <v>0</v>
      </c>
      <c r="H165" s="241">
        <f>Reported!F99</f>
        <v>0</v>
      </c>
      <c r="I165" s="169">
        <f>Reported!G99</f>
        <v>0</v>
      </c>
      <c r="J165" s="240">
        <f>Reported!H99</f>
        <v>0</v>
      </c>
      <c r="K165" s="240">
        <f>Reported!I99</f>
        <v>0</v>
      </c>
      <c r="L165" s="241">
        <f>Reported!J99</f>
        <v>0</v>
      </c>
      <c r="M165" s="169">
        <f>Reported!K99</f>
        <v>0</v>
      </c>
      <c r="N165" s="240">
        <f>Reported!L99</f>
        <v>0</v>
      </c>
      <c r="O165" s="240">
        <f>Reported!M99</f>
        <v>0</v>
      </c>
      <c r="P165" s="241">
        <f>Reported!N99</f>
        <v>0</v>
      </c>
      <c r="Q165" s="169">
        <f>Reported!O99</f>
        <v>0</v>
      </c>
      <c r="R165" s="240">
        <f>Reported!P99</f>
        <v>0</v>
      </c>
      <c r="S165" s="240">
        <f>Reported!Q99</f>
        <v>0</v>
      </c>
      <c r="T165" s="241">
        <f>Reported!R99</f>
        <v>0</v>
      </c>
      <c r="U165" s="169">
        <f>Reported!S99</f>
        <v>0</v>
      </c>
      <c r="V165" s="240">
        <f>Reported!T99</f>
        <v>0</v>
      </c>
      <c r="W165" s="240">
        <f>Reported!U99</f>
        <v>0</v>
      </c>
      <c r="X165" s="241">
        <f>Reported!V99</f>
        <v>0</v>
      </c>
      <c r="Y165" s="169">
        <f>Reported!W99</f>
        <v>0</v>
      </c>
      <c r="Z165" s="240">
        <f>Reported!X99</f>
        <v>0</v>
      </c>
      <c r="AA165" s="240">
        <f>Reported!Y99</f>
        <v>0</v>
      </c>
      <c r="AB165" s="241">
        <f>Reported!Z99</f>
        <v>0</v>
      </c>
      <c r="AC165" s="169">
        <f>Reported!AA99</f>
        <v>0</v>
      </c>
      <c r="AD165" s="72">
        <f t="shared" ref="AD165:AV165" si="652">-(AD102-AC102)*AC103</f>
        <v>0</v>
      </c>
      <c r="AE165" s="72">
        <f t="shared" si="652"/>
        <v>0</v>
      </c>
      <c r="AF165" s="73">
        <f t="shared" si="652"/>
        <v>0</v>
      </c>
      <c r="AG165" s="71">
        <f t="shared" si="652"/>
        <v>0</v>
      </c>
      <c r="AH165" s="72">
        <f t="shared" si="652"/>
        <v>0</v>
      </c>
      <c r="AI165" s="72">
        <f t="shared" si="652"/>
        <v>0</v>
      </c>
      <c r="AJ165" s="73">
        <f t="shared" si="652"/>
        <v>0</v>
      </c>
      <c r="AK165" s="71">
        <f t="shared" si="652"/>
        <v>0</v>
      </c>
      <c r="AL165" s="72">
        <f t="shared" si="652"/>
        <v>0</v>
      </c>
      <c r="AM165" s="72">
        <f t="shared" si="652"/>
        <v>0</v>
      </c>
      <c r="AN165" s="73">
        <f t="shared" si="652"/>
        <v>0</v>
      </c>
      <c r="AO165" s="71">
        <f t="shared" si="652"/>
        <v>0</v>
      </c>
      <c r="AP165" s="72">
        <f t="shared" si="652"/>
        <v>0</v>
      </c>
      <c r="AQ165" s="72">
        <f t="shared" si="652"/>
        <v>0</v>
      </c>
      <c r="AR165" s="73">
        <f t="shared" si="652"/>
        <v>0</v>
      </c>
      <c r="AS165" s="71">
        <f t="shared" si="652"/>
        <v>0</v>
      </c>
      <c r="AT165" s="72">
        <f t="shared" si="652"/>
        <v>0</v>
      </c>
      <c r="AU165" s="72">
        <f t="shared" si="652"/>
        <v>0</v>
      </c>
      <c r="AV165" s="73">
        <f t="shared" si="652"/>
        <v>0</v>
      </c>
      <c r="AW165" s="85"/>
      <c r="BR165" s="77">
        <f t="shared" si="644"/>
        <v>162</v>
      </c>
    </row>
    <row r="166" spans="1:70" ht="12" x14ac:dyDescent="0.15">
      <c r="A166" s="85"/>
      <c r="B166" s="188" t="str">
        <f>Reported!A100</f>
        <v>Net proceeds from issue of debt</v>
      </c>
      <c r="C166" s="85"/>
      <c r="D166" s="85"/>
      <c r="E166" s="169">
        <f>Reported!C100</f>
        <v>0</v>
      </c>
      <c r="F166" s="240">
        <f>Reported!D100</f>
        <v>0</v>
      </c>
      <c r="G166" s="240">
        <f>Reported!E100</f>
        <v>0</v>
      </c>
      <c r="H166" s="241">
        <f>Reported!F100</f>
        <v>0</v>
      </c>
      <c r="I166" s="169">
        <f>Reported!G100</f>
        <v>0</v>
      </c>
      <c r="J166" s="240">
        <f>Reported!H100</f>
        <v>0</v>
      </c>
      <c r="K166" s="240">
        <f>Reported!I100</f>
        <v>0</v>
      </c>
      <c r="L166" s="241">
        <f>Reported!J100</f>
        <v>0</v>
      </c>
      <c r="M166" s="169">
        <f>Reported!K100</f>
        <v>0</v>
      </c>
      <c r="N166" s="240">
        <f>Reported!L100</f>
        <v>0</v>
      </c>
      <c r="O166" s="240">
        <f>Reported!M100</f>
        <v>0</v>
      </c>
      <c r="P166" s="241">
        <f>Reported!N100</f>
        <v>0</v>
      </c>
      <c r="Q166" s="169">
        <f>Reported!O100</f>
        <v>0</v>
      </c>
      <c r="R166" s="240">
        <f>Reported!P100</f>
        <v>0</v>
      </c>
      <c r="S166" s="240">
        <f>Reported!Q100</f>
        <v>0</v>
      </c>
      <c r="T166" s="241">
        <f>Reported!R100</f>
        <v>0</v>
      </c>
      <c r="U166" s="169">
        <f>Reported!S100</f>
        <v>0</v>
      </c>
      <c r="V166" s="240">
        <f>Reported!T100</f>
        <v>0</v>
      </c>
      <c r="W166" s="240">
        <f>Reported!U100</f>
        <v>0</v>
      </c>
      <c r="X166" s="241">
        <f>Reported!V100</f>
        <v>0</v>
      </c>
      <c r="Y166" s="169">
        <f>Reported!W100</f>
        <v>0</v>
      </c>
      <c r="Z166" s="240">
        <f>Reported!X100</f>
        <v>0</v>
      </c>
      <c r="AA166" s="240">
        <f>Reported!Y100</f>
        <v>0</v>
      </c>
      <c r="AB166" s="241">
        <f>Reported!Z100</f>
        <v>0</v>
      </c>
      <c r="AC166" s="169">
        <f>Reported!AA100</f>
        <v>0</v>
      </c>
      <c r="AD166" s="72">
        <v>0</v>
      </c>
      <c r="AE166" s="72">
        <v>0</v>
      </c>
      <c r="AF166" s="73">
        <v>0</v>
      </c>
      <c r="AG166" s="71">
        <v>0</v>
      </c>
      <c r="AH166" s="72">
        <v>0</v>
      </c>
      <c r="AI166" s="72">
        <v>0</v>
      </c>
      <c r="AJ166" s="73">
        <v>0</v>
      </c>
      <c r="AK166" s="71">
        <v>0</v>
      </c>
      <c r="AL166" s="72">
        <v>0</v>
      </c>
      <c r="AM166" s="72">
        <v>0</v>
      </c>
      <c r="AN166" s="73">
        <v>0</v>
      </c>
      <c r="AO166" s="71">
        <v>0</v>
      </c>
      <c r="AP166" s="72">
        <v>0</v>
      </c>
      <c r="AQ166" s="72">
        <v>0</v>
      </c>
      <c r="AR166" s="73">
        <v>0</v>
      </c>
      <c r="AS166" s="71">
        <v>0</v>
      </c>
      <c r="AT166" s="72">
        <v>0</v>
      </c>
      <c r="AU166" s="72">
        <v>0</v>
      </c>
      <c r="AV166" s="73">
        <v>0</v>
      </c>
      <c r="AW166" s="85"/>
      <c r="BR166" s="77">
        <f t="shared" si="644"/>
        <v>163</v>
      </c>
    </row>
    <row r="167" spans="1:70" ht="12" x14ac:dyDescent="0.15">
      <c r="A167" s="85"/>
      <c r="B167" s="188" t="str">
        <f>Reported!A101</f>
        <v>Interest and other finance costs paid</v>
      </c>
      <c r="C167" s="85"/>
      <c r="D167" s="85"/>
      <c r="E167" s="169">
        <f>Reported!C101</f>
        <v>0</v>
      </c>
      <c r="F167" s="240">
        <f>Reported!D101</f>
        <v>0</v>
      </c>
      <c r="G167" s="240">
        <f>Reported!E101</f>
        <v>0</v>
      </c>
      <c r="H167" s="241">
        <f>Reported!F101</f>
        <v>0</v>
      </c>
      <c r="I167" s="169">
        <f>Reported!G101</f>
        <v>0</v>
      </c>
      <c r="J167" s="240">
        <f>Reported!H101</f>
        <v>0</v>
      </c>
      <c r="K167" s="240">
        <f>Reported!I101</f>
        <v>0</v>
      </c>
      <c r="L167" s="241">
        <f>Reported!J101</f>
        <v>0</v>
      </c>
      <c r="M167" s="169">
        <f>Reported!K101</f>
        <v>0</v>
      </c>
      <c r="N167" s="240">
        <f>Reported!L101</f>
        <v>0</v>
      </c>
      <c r="O167" s="240">
        <f>Reported!M101</f>
        <v>0</v>
      </c>
      <c r="P167" s="241">
        <f>Reported!N101</f>
        <v>0</v>
      </c>
      <c r="Q167" s="169">
        <f>Reported!O101</f>
        <v>0</v>
      </c>
      <c r="R167" s="240">
        <f>Reported!P101</f>
        <v>0</v>
      </c>
      <c r="S167" s="240">
        <f>Reported!Q101</f>
        <v>0</v>
      </c>
      <c r="T167" s="241">
        <f>Reported!R101</f>
        <v>0</v>
      </c>
      <c r="U167" s="169">
        <f>Reported!S101</f>
        <v>0</v>
      </c>
      <c r="V167" s="240">
        <f>Reported!T101</f>
        <v>0</v>
      </c>
      <c r="W167" s="240">
        <f>Reported!U101</f>
        <v>0</v>
      </c>
      <c r="X167" s="241">
        <f>Reported!V101</f>
        <v>0</v>
      </c>
      <c r="Y167" s="169">
        <f>Reported!W101</f>
        <v>0</v>
      </c>
      <c r="Z167" s="240">
        <f>Reported!X101</f>
        <v>0</v>
      </c>
      <c r="AA167" s="240">
        <f>Reported!Y101</f>
        <v>0</v>
      </c>
      <c r="AB167" s="241">
        <f>Reported!Z101</f>
        <v>0</v>
      </c>
      <c r="AC167" s="169">
        <f>Reported!AA101</f>
        <v>0</v>
      </c>
      <c r="AD167" s="258">
        <f t="shared" ref="AD167:AR167" si="653">AVERAGE(Z167:AC167)</f>
        <v>0</v>
      </c>
      <c r="AE167" s="258">
        <f t="shared" si="653"/>
        <v>0</v>
      </c>
      <c r="AF167" s="259">
        <f t="shared" si="653"/>
        <v>0</v>
      </c>
      <c r="AG167" s="170">
        <f t="shared" si="653"/>
        <v>0</v>
      </c>
      <c r="AH167" s="258">
        <f t="shared" si="653"/>
        <v>0</v>
      </c>
      <c r="AI167" s="258">
        <f t="shared" si="653"/>
        <v>0</v>
      </c>
      <c r="AJ167" s="259">
        <f t="shared" si="653"/>
        <v>0</v>
      </c>
      <c r="AK167" s="170">
        <f t="shared" si="653"/>
        <v>0</v>
      </c>
      <c r="AL167" s="258">
        <f t="shared" si="653"/>
        <v>0</v>
      </c>
      <c r="AM167" s="258">
        <f t="shared" si="653"/>
        <v>0</v>
      </c>
      <c r="AN167" s="259">
        <f t="shared" si="653"/>
        <v>0</v>
      </c>
      <c r="AO167" s="88">
        <f t="shared" si="653"/>
        <v>0</v>
      </c>
      <c r="AP167" s="86">
        <f t="shared" si="653"/>
        <v>0</v>
      </c>
      <c r="AQ167" s="258">
        <f t="shared" si="653"/>
        <v>0</v>
      </c>
      <c r="AR167" s="259">
        <f t="shared" si="653"/>
        <v>0</v>
      </c>
      <c r="AS167" s="88">
        <f t="shared" ref="AS167" si="654">AVERAGE(AO167:AR167)</f>
        <v>0</v>
      </c>
      <c r="AT167" s="86">
        <f t="shared" ref="AT167" si="655">AVERAGE(AP167:AS167)</f>
        <v>0</v>
      </c>
      <c r="AU167" s="258">
        <f t="shared" ref="AU167" si="656">AVERAGE(AQ167:AT167)</f>
        <v>0</v>
      </c>
      <c r="AV167" s="259">
        <f t="shared" ref="AV167" si="657">AVERAGE(AR167:AU167)</f>
        <v>0</v>
      </c>
      <c r="AW167" s="85"/>
      <c r="BR167" s="77">
        <f t="shared" si="644"/>
        <v>164</v>
      </c>
    </row>
    <row r="168" spans="1:70" ht="12" x14ac:dyDescent="0.15">
      <c r="A168" s="85"/>
      <c r="B168" s="188" t="str">
        <f>Reported!A102</f>
        <v>Dividends paid</v>
      </c>
      <c r="C168" s="85"/>
      <c r="D168" s="85"/>
      <c r="E168" s="169">
        <f>Reported!C102</f>
        <v>0</v>
      </c>
      <c r="F168" s="240">
        <f>Reported!D102</f>
        <v>0</v>
      </c>
      <c r="G168" s="240">
        <f>Reported!E102</f>
        <v>0</v>
      </c>
      <c r="H168" s="241">
        <f>Reported!F102</f>
        <v>0</v>
      </c>
      <c r="I168" s="169">
        <f>Reported!G102</f>
        <v>0</v>
      </c>
      <c r="J168" s="240">
        <f>Reported!H102</f>
        <v>0</v>
      </c>
      <c r="K168" s="240">
        <f>Reported!I102</f>
        <v>0</v>
      </c>
      <c r="L168" s="241">
        <f>Reported!J102</f>
        <v>0</v>
      </c>
      <c r="M168" s="169">
        <f>Reported!K102</f>
        <v>0</v>
      </c>
      <c r="N168" s="240">
        <f>Reported!L102</f>
        <v>0</v>
      </c>
      <c r="O168" s="240">
        <f>Reported!M102</f>
        <v>0</v>
      </c>
      <c r="P168" s="241">
        <f>Reported!N102</f>
        <v>0</v>
      </c>
      <c r="Q168" s="169">
        <f>Reported!O102</f>
        <v>0</v>
      </c>
      <c r="R168" s="240">
        <f>Reported!P102</f>
        <v>0</v>
      </c>
      <c r="S168" s="240">
        <f>Reported!Q102</f>
        <v>0</v>
      </c>
      <c r="T168" s="241">
        <f>Reported!R102</f>
        <v>0</v>
      </c>
      <c r="U168" s="169">
        <f>Reported!S102</f>
        <v>0</v>
      </c>
      <c r="V168" s="240">
        <f>Reported!T102</f>
        <v>0</v>
      </c>
      <c r="W168" s="240">
        <f>Reported!U102</f>
        <v>0</v>
      </c>
      <c r="X168" s="241">
        <f>Reported!V102</f>
        <v>0</v>
      </c>
      <c r="Y168" s="169">
        <f>Reported!W102</f>
        <v>0</v>
      </c>
      <c r="Z168" s="240">
        <f>Reported!X102</f>
        <v>0</v>
      </c>
      <c r="AA168" s="240">
        <f>Reported!Y102</f>
        <v>0</v>
      </c>
      <c r="AB168" s="241">
        <f>Reported!Z102</f>
        <v>0</v>
      </c>
      <c r="AC168" s="169">
        <f>Reported!AA102</f>
        <v>0</v>
      </c>
      <c r="AD168" s="258">
        <f t="shared" ref="AD168:AV168" si="658">AD99*AD101</f>
        <v>0</v>
      </c>
      <c r="AE168" s="258">
        <f t="shared" si="658"/>
        <v>0</v>
      </c>
      <c r="AF168" s="259">
        <f t="shared" si="658"/>
        <v>0</v>
      </c>
      <c r="AG168" s="170">
        <f t="shared" si="658"/>
        <v>0</v>
      </c>
      <c r="AH168" s="258">
        <f t="shared" si="658"/>
        <v>0</v>
      </c>
      <c r="AI168" s="258">
        <f t="shared" si="658"/>
        <v>0</v>
      </c>
      <c r="AJ168" s="259">
        <f t="shared" si="658"/>
        <v>0</v>
      </c>
      <c r="AK168" s="170">
        <f t="shared" si="658"/>
        <v>0</v>
      </c>
      <c r="AL168" s="258">
        <f t="shared" si="658"/>
        <v>0</v>
      </c>
      <c r="AM168" s="258">
        <f t="shared" si="658"/>
        <v>0</v>
      </c>
      <c r="AN168" s="259">
        <f t="shared" si="658"/>
        <v>0</v>
      </c>
      <c r="AO168" s="88">
        <f t="shared" si="658"/>
        <v>0</v>
      </c>
      <c r="AP168" s="86">
        <f t="shared" si="658"/>
        <v>0</v>
      </c>
      <c r="AQ168" s="258">
        <f t="shared" si="658"/>
        <v>0</v>
      </c>
      <c r="AR168" s="259">
        <f t="shared" si="658"/>
        <v>0</v>
      </c>
      <c r="AS168" s="88">
        <f t="shared" si="658"/>
        <v>0</v>
      </c>
      <c r="AT168" s="86">
        <f t="shared" si="658"/>
        <v>0</v>
      </c>
      <c r="AU168" s="258">
        <f t="shared" si="658"/>
        <v>0</v>
      </c>
      <c r="AV168" s="259">
        <f t="shared" si="658"/>
        <v>0</v>
      </c>
      <c r="AW168" s="85"/>
      <c r="BR168" s="77">
        <f t="shared" si="644"/>
        <v>165</v>
      </c>
    </row>
    <row r="169" spans="1:70" ht="11.25" customHeight="1" x14ac:dyDescent="0.25">
      <c r="A169" s="85"/>
      <c r="B169" s="188" t="str">
        <f>Reported!A103</f>
        <v>Other</v>
      </c>
      <c r="C169" s="85"/>
      <c r="D169" s="85"/>
      <c r="E169" s="238">
        <f>Reported!C103</f>
        <v>0</v>
      </c>
      <c r="F169" s="242">
        <f>Reported!D103</f>
        <v>0</v>
      </c>
      <c r="G169" s="242">
        <f>Reported!E103</f>
        <v>0</v>
      </c>
      <c r="H169" s="243">
        <f>Reported!F103</f>
        <v>0</v>
      </c>
      <c r="I169" s="238">
        <f>Reported!G103</f>
        <v>0</v>
      </c>
      <c r="J169" s="242">
        <f>Reported!H103</f>
        <v>0</v>
      </c>
      <c r="K169" s="242">
        <f>Reported!I103</f>
        <v>0</v>
      </c>
      <c r="L169" s="243">
        <f>Reported!J103</f>
        <v>0</v>
      </c>
      <c r="M169" s="238">
        <f>Reported!K103</f>
        <v>0</v>
      </c>
      <c r="N169" s="242">
        <f>Reported!L103</f>
        <v>0</v>
      </c>
      <c r="O169" s="242">
        <f>Reported!M103</f>
        <v>0</v>
      </c>
      <c r="P169" s="243">
        <f>Reported!N103</f>
        <v>0</v>
      </c>
      <c r="Q169" s="238">
        <f>Reported!O103</f>
        <v>0</v>
      </c>
      <c r="R169" s="242">
        <f>Reported!P103</f>
        <v>0</v>
      </c>
      <c r="S169" s="242">
        <f>Reported!Q103</f>
        <v>0</v>
      </c>
      <c r="T169" s="243">
        <f>Reported!R103</f>
        <v>0</v>
      </c>
      <c r="U169" s="238">
        <f>Reported!S103</f>
        <v>0</v>
      </c>
      <c r="V169" s="242">
        <f>Reported!T103</f>
        <v>0</v>
      </c>
      <c r="W169" s="242">
        <f>Reported!U103</f>
        <v>0</v>
      </c>
      <c r="X169" s="243">
        <f>Reported!V103</f>
        <v>0</v>
      </c>
      <c r="Y169" s="238">
        <f>Reported!W103</f>
        <v>0</v>
      </c>
      <c r="Z169" s="242">
        <f>Reported!X103</f>
        <v>0</v>
      </c>
      <c r="AA169" s="242">
        <f>Reported!Y103</f>
        <v>0</v>
      </c>
      <c r="AB169" s="243">
        <f>Reported!Z103</f>
        <v>0</v>
      </c>
      <c r="AC169" s="238">
        <f>Reported!AA103</f>
        <v>0</v>
      </c>
      <c r="AD169" s="274">
        <v>0</v>
      </c>
      <c r="AE169" s="274">
        <v>0</v>
      </c>
      <c r="AF169" s="275">
        <v>0</v>
      </c>
      <c r="AG169" s="273">
        <v>0</v>
      </c>
      <c r="AH169" s="274">
        <v>0</v>
      </c>
      <c r="AI169" s="274">
        <v>0</v>
      </c>
      <c r="AJ169" s="275">
        <v>0</v>
      </c>
      <c r="AK169" s="273">
        <v>0</v>
      </c>
      <c r="AL169" s="274">
        <v>0</v>
      </c>
      <c r="AM169" s="274">
        <v>0</v>
      </c>
      <c r="AN169" s="275">
        <v>0</v>
      </c>
      <c r="AO169" s="18">
        <v>0</v>
      </c>
      <c r="AP169" s="19">
        <v>0</v>
      </c>
      <c r="AQ169" s="274">
        <v>0</v>
      </c>
      <c r="AR169" s="275">
        <v>0</v>
      </c>
      <c r="AS169" s="18">
        <v>0</v>
      </c>
      <c r="AT169" s="19">
        <v>0</v>
      </c>
      <c r="AU169" s="274">
        <v>0</v>
      </c>
      <c r="AV169" s="275">
        <v>0</v>
      </c>
      <c r="AW169" s="85"/>
      <c r="BR169" s="77">
        <f t="shared" si="644"/>
        <v>166</v>
      </c>
    </row>
    <row r="170" spans="1:70" ht="12" x14ac:dyDescent="0.15">
      <c r="A170" s="85" t="s">
        <v>111</v>
      </c>
      <c r="B170" s="188"/>
      <c r="C170" s="85"/>
      <c r="D170" s="85"/>
      <c r="E170" s="169">
        <f t="shared" ref="E170:AR170" si="659">SUM(E164:E169)</f>
        <v>0</v>
      </c>
      <c r="F170" s="240">
        <f t="shared" si="659"/>
        <v>0</v>
      </c>
      <c r="G170" s="240">
        <f t="shared" si="659"/>
        <v>0</v>
      </c>
      <c r="H170" s="241">
        <f t="shared" si="659"/>
        <v>0</v>
      </c>
      <c r="I170" s="169">
        <f t="shared" si="659"/>
        <v>0</v>
      </c>
      <c r="J170" s="240">
        <f t="shared" si="659"/>
        <v>0</v>
      </c>
      <c r="K170" s="240">
        <f t="shared" si="659"/>
        <v>0</v>
      </c>
      <c r="L170" s="241">
        <f t="shared" si="659"/>
        <v>0</v>
      </c>
      <c r="M170" s="169">
        <f t="shared" si="659"/>
        <v>0</v>
      </c>
      <c r="N170" s="240">
        <f t="shared" si="659"/>
        <v>0</v>
      </c>
      <c r="O170" s="240">
        <f t="shared" si="659"/>
        <v>0</v>
      </c>
      <c r="P170" s="241">
        <f t="shared" si="659"/>
        <v>0</v>
      </c>
      <c r="Q170" s="169">
        <f t="shared" si="659"/>
        <v>0</v>
      </c>
      <c r="R170" s="240">
        <f t="shared" si="659"/>
        <v>0</v>
      </c>
      <c r="S170" s="240">
        <f t="shared" si="659"/>
        <v>0</v>
      </c>
      <c r="T170" s="241">
        <f t="shared" si="659"/>
        <v>0</v>
      </c>
      <c r="U170" s="169">
        <f t="shared" ref="U170:V170" si="660">SUM(U164:U169)</f>
        <v>0</v>
      </c>
      <c r="V170" s="240">
        <f t="shared" si="660"/>
        <v>0</v>
      </c>
      <c r="W170" s="240">
        <f t="shared" ref="W170:Z170" si="661">SUM(W164:W169)</f>
        <v>0</v>
      </c>
      <c r="X170" s="241">
        <f t="shared" si="661"/>
        <v>0</v>
      </c>
      <c r="Y170" s="169">
        <f t="shared" si="661"/>
        <v>0</v>
      </c>
      <c r="Z170" s="240">
        <f t="shared" si="661"/>
        <v>0</v>
      </c>
      <c r="AA170" s="240">
        <f t="shared" ref="AA170:AC170" si="662">SUM(AA164:AA169)</f>
        <v>0</v>
      </c>
      <c r="AB170" s="241">
        <f t="shared" si="662"/>
        <v>0</v>
      </c>
      <c r="AC170" s="169">
        <f t="shared" si="662"/>
        <v>0</v>
      </c>
      <c r="AD170" s="258">
        <f t="shared" si="659"/>
        <v>0</v>
      </c>
      <c r="AE170" s="258">
        <f t="shared" si="659"/>
        <v>0</v>
      </c>
      <c r="AF170" s="259">
        <f t="shared" si="659"/>
        <v>0</v>
      </c>
      <c r="AG170" s="170">
        <f t="shared" si="659"/>
        <v>0</v>
      </c>
      <c r="AH170" s="258">
        <f t="shared" si="659"/>
        <v>0</v>
      </c>
      <c r="AI170" s="258">
        <f t="shared" si="659"/>
        <v>0</v>
      </c>
      <c r="AJ170" s="259">
        <f t="shared" si="659"/>
        <v>0</v>
      </c>
      <c r="AK170" s="170">
        <f t="shared" si="659"/>
        <v>0</v>
      </c>
      <c r="AL170" s="258">
        <f t="shared" si="659"/>
        <v>0</v>
      </c>
      <c r="AM170" s="258">
        <f t="shared" si="659"/>
        <v>0</v>
      </c>
      <c r="AN170" s="259">
        <f t="shared" si="659"/>
        <v>0</v>
      </c>
      <c r="AO170" s="88">
        <f t="shared" si="659"/>
        <v>0</v>
      </c>
      <c r="AP170" s="86">
        <f t="shared" si="659"/>
        <v>0</v>
      </c>
      <c r="AQ170" s="258">
        <f t="shared" si="659"/>
        <v>0</v>
      </c>
      <c r="AR170" s="259">
        <f t="shared" si="659"/>
        <v>0</v>
      </c>
      <c r="AS170" s="88">
        <f t="shared" ref="AS170:AV170" si="663">SUM(AS164:AS169)</f>
        <v>0</v>
      </c>
      <c r="AT170" s="86">
        <f t="shared" si="663"/>
        <v>0</v>
      </c>
      <c r="AU170" s="258">
        <f t="shared" si="663"/>
        <v>0</v>
      </c>
      <c r="AV170" s="259">
        <f t="shared" si="663"/>
        <v>0</v>
      </c>
      <c r="AW170" s="85"/>
      <c r="BR170" s="77">
        <f t="shared" si="644"/>
        <v>167</v>
      </c>
    </row>
    <row r="171" spans="1:70" ht="12" x14ac:dyDescent="0.15">
      <c r="A171" s="85"/>
      <c r="B171" s="188"/>
      <c r="C171" s="85"/>
      <c r="D171" s="85"/>
      <c r="E171" s="169"/>
      <c r="F171" s="240"/>
      <c r="G171" s="240"/>
      <c r="H171" s="241"/>
      <c r="I171" s="169"/>
      <c r="J171" s="240"/>
      <c r="K171" s="240"/>
      <c r="L171" s="241"/>
      <c r="M171" s="169"/>
      <c r="N171" s="240"/>
      <c r="O171" s="240"/>
      <c r="P171" s="241"/>
      <c r="Q171" s="169"/>
      <c r="R171" s="240"/>
      <c r="S171" s="240"/>
      <c r="T171" s="241"/>
      <c r="U171" s="169"/>
      <c r="V171" s="240"/>
      <c r="W171" s="240"/>
      <c r="X171" s="241"/>
      <c r="Y171" s="169"/>
      <c r="Z171" s="240"/>
      <c r="AA171" s="240"/>
      <c r="AB171" s="241"/>
      <c r="AC171" s="169"/>
      <c r="AD171" s="258"/>
      <c r="AE171" s="258"/>
      <c r="AF171" s="259"/>
      <c r="AG171" s="170"/>
      <c r="AH171" s="258"/>
      <c r="AI171" s="258"/>
      <c r="AJ171" s="259"/>
      <c r="AK171" s="170"/>
      <c r="AL171" s="258"/>
      <c r="AM171" s="258"/>
      <c r="AN171" s="259"/>
      <c r="AO171" s="88"/>
      <c r="AP171" s="86"/>
      <c r="AQ171" s="258"/>
      <c r="AR171" s="259"/>
      <c r="AS171" s="88"/>
      <c r="AT171" s="86"/>
      <c r="AU171" s="258"/>
      <c r="AV171" s="259"/>
      <c r="AW171" s="85"/>
      <c r="BR171" s="77">
        <f t="shared" si="644"/>
        <v>168</v>
      </c>
    </row>
    <row r="172" spans="1:70" ht="13.5" x14ac:dyDescent="0.25">
      <c r="A172" s="188" t="str">
        <f>Reported!A106</f>
        <v>Effect of foreign exchange on cash balances</v>
      </c>
      <c r="B172" s="10"/>
      <c r="C172" s="85"/>
      <c r="D172" s="85"/>
      <c r="E172" s="238">
        <f>Reported!C106</f>
        <v>0</v>
      </c>
      <c r="F172" s="242">
        <f>Reported!D106</f>
        <v>0</v>
      </c>
      <c r="G172" s="242">
        <f>Reported!E106</f>
        <v>0</v>
      </c>
      <c r="H172" s="243">
        <f>Reported!F106</f>
        <v>0</v>
      </c>
      <c r="I172" s="238">
        <f>Reported!G106</f>
        <v>0</v>
      </c>
      <c r="J172" s="242">
        <f>Reported!H106</f>
        <v>0</v>
      </c>
      <c r="K172" s="242">
        <f>Reported!I106</f>
        <v>0</v>
      </c>
      <c r="L172" s="243">
        <f>Reported!J106</f>
        <v>0</v>
      </c>
      <c r="M172" s="238">
        <f>Reported!K106</f>
        <v>0</v>
      </c>
      <c r="N172" s="242">
        <f>Reported!L106</f>
        <v>0</v>
      </c>
      <c r="O172" s="242">
        <f>Reported!M106</f>
        <v>0</v>
      </c>
      <c r="P172" s="243">
        <f>Reported!N106</f>
        <v>0</v>
      </c>
      <c r="Q172" s="238">
        <f>Reported!O106</f>
        <v>0</v>
      </c>
      <c r="R172" s="242">
        <f>Reported!P106</f>
        <v>0</v>
      </c>
      <c r="S172" s="242">
        <f>Reported!Q106</f>
        <v>0</v>
      </c>
      <c r="T172" s="243">
        <f>Reported!R106</f>
        <v>0</v>
      </c>
      <c r="U172" s="238">
        <f>Reported!S106</f>
        <v>0</v>
      </c>
      <c r="V172" s="242">
        <f>Reported!T106</f>
        <v>0</v>
      </c>
      <c r="W172" s="242">
        <f>Reported!U106</f>
        <v>0</v>
      </c>
      <c r="X172" s="243">
        <f>Reported!V106</f>
        <v>0</v>
      </c>
      <c r="Y172" s="238">
        <f>Reported!W106</f>
        <v>0</v>
      </c>
      <c r="Z172" s="242">
        <f>Reported!X106</f>
        <v>0</v>
      </c>
      <c r="AA172" s="242">
        <f>Reported!Y106</f>
        <v>0</v>
      </c>
      <c r="AB172" s="243">
        <f>Reported!Z106</f>
        <v>0</v>
      </c>
      <c r="AC172" s="238">
        <f>Reported!AA106</f>
        <v>0</v>
      </c>
      <c r="AD172" s="274">
        <v>0</v>
      </c>
      <c r="AE172" s="274">
        <v>0</v>
      </c>
      <c r="AF172" s="275">
        <v>0</v>
      </c>
      <c r="AG172" s="273">
        <v>0</v>
      </c>
      <c r="AH172" s="274">
        <v>0</v>
      </c>
      <c r="AI172" s="274">
        <v>0</v>
      </c>
      <c r="AJ172" s="275">
        <v>0</v>
      </c>
      <c r="AK172" s="273">
        <v>0</v>
      </c>
      <c r="AL172" s="274">
        <v>0</v>
      </c>
      <c r="AM172" s="274">
        <v>0</v>
      </c>
      <c r="AN172" s="275">
        <v>0</v>
      </c>
      <c r="AO172" s="18">
        <v>0</v>
      </c>
      <c r="AP172" s="19">
        <v>0</v>
      </c>
      <c r="AQ172" s="274">
        <v>0</v>
      </c>
      <c r="AR172" s="275">
        <v>0</v>
      </c>
      <c r="AS172" s="18">
        <v>0</v>
      </c>
      <c r="AT172" s="19">
        <v>0</v>
      </c>
      <c r="AU172" s="274">
        <v>0</v>
      </c>
      <c r="AV172" s="275">
        <v>0</v>
      </c>
      <c r="AW172" s="85"/>
      <c r="BR172" s="77">
        <f t="shared" si="644"/>
        <v>169</v>
      </c>
    </row>
    <row r="173" spans="1:70" ht="12" x14ac:dyDescent="0.15">
      <c r="A173" s="85"/>
      <c r="B173" s="188"/>
      <c r="C173" s="85"/>
      <c r="D173" s="85"/>
      <c r="E173" s="147"/>
      <c r="F173" s="148"/>
      <c r="G173" s="148"/>
      <c r="H173" s="149"/>
      <c r="I173" s="147"/>
      <c r="J173" s="148"/>
      <c r="K173" s="148"/>
      <c r="L173" s="149"/>
      <c r="M173" s="147"/>
      <c r="N173" s="148"/>
      <c r="O173" s="148"/>
      <c r="P173" s="149"/>
      <c r="Q173" s="147"/>
      <c r="R173" s="148"/>
      <c r="S173" s="148"/>
      <c r="T173" s="149"/>
      <c r="U173" s="147"/>
      <c r="V173" s="148"/>
      <c r="W173" s="148"/>
      <c r="X173" s="149"/>
      <c r="Y173" s="147"/>
      <c r="Z173" s="148"/>
      <c r="AA173" s="148"/>
      <c r="AB173" s="149"/>
      <c r="AC173" s="147"/>
      <c r="AD173" s="258"/>
      <c r="AE173" s="258"/>
      <c r="AF173" s="259"/>
      <c r="AG173" s="170"/>
      <c r="AH173" s="258"/>
      <c r="AI173" s="258"/>
      <c r="AJ173" s="259"/>
      <c r="AK173" s="170"/>
      <c r="AL173" s="258"/>
      <c r="AM173" s="258"/>
      <c r="AN173" s="259"/>
      <c r="AO173" s="88"/>
      <c r="AP173" s="86"/>
      <c r="AQ173" s="258"/>
      <c r="AR173" s="259"/>
      <c r="AS173" s="88"/>
      <c r="AT173" s="86"/>
      <c r="AU173" s="258"/>
      <c r="AV173" s="259"/>
      <c r="AW173" s="85"/>
      <c r="BR173" s="77">
        <f t="shared" si="644"/>
        <v>170</v>
      </c>
    </row>
    <row r="174" spans="1:70" ht="12" x14ac:dyDescent="0.15">
      <c r="A174" s="187" t="str">
        <f>Reported!A107</f>
        <v>Net increase (decrease) in cash and cash equivalents</v>
      </c>
      <c r="B174" s="10"/>
      <c r="C174" s="85"/>
      <c r="D174" s="85"/>
      <c r="E174" s="239">
        <f t="shared" ref="E174:AR174" si="664">E152+E161+E170+E172</f>
        <v>0</v>
      </c>
      <c r="F174" s="244">
        <f t="shared" si="664"/>
        <v>0</v>
      </c>
      <c r="G174" s="244">
        <f t="shared" si="664"/>
        <v>0</v>
      </c>
      <c r="H174" s="245">
        <f t="shared" si="664"/>
        <v>0</v>
      </c>
      <c r="I174" s="239">
        <f t="shared" si="664"/>
        <v>0</v>
      </c>
      <c r="J174" s="244">
        <f t="shared" si="664"/>
        <v>0</v>
      </c>
      <c r="K174" s="244">
        <f t="shared" si="664"/>
        <v>0</v>
      </c>
      <c r="L174" s="245">
        <f t="shared" si="664"/>
        <v>0</v>
      </c>
      <c r="M174" s="239">
        <f t="shared" si="664"/>
        <v>0</v>
      </c>
      <c r="N174" s="244">
        <f t="shared" si="664"/>
        <v>0</v>
      </c>
      <c r="O174" s="244">
        <f t="shared" si="664"/>
        <v>0</v>
      </c>
      <c r="P174" s="245">
        <f t="shared" si="664"/>
        <v>0</v>
      </c>
      <c r="Q174" s="239">
        <f t="shared" si="664"/>
        <v>0</v>
      </c>
      <c r="R174" s="244">
        <f t="shared" si="664"/>
        <v>0</v>
      </c>
      <c r="S174" s="244">
        <f t="shared" si="664"/>
        <v>0</v>
      </c>
      <c r="T174" s="245">
        <f t="shared" si="664"/>
        <v>0</v>
      </c>
      <c r="U174" s="239">
        <f t="shared" ref="U174:V174" si="665">U152+U161+U170+U172</f>
        <v>0</v>
      </c>
      <c r="V174" s="244">
        <f t="shared" si="665"/>
        <v>0</v>
      </c>
      <c r="W174" s="244">
        <f t="shared" ref="W174:Z174" si="666">W152+W161+W170+W172</f>
        <v>0</v>
      </c>
      <c r="X174" s="245">
        <f t="shared" si="666"/>
        <v>0</v>
      </c>
      <c r="Y174" s="239">
        <f t="shared" si="666"/>
        <v>0</v>
      </c>
      <c r="Z174" s="244">
        <f t="shared" si="666"/>
        <v>0</v>
      </c>
      <c r="AA174" s="244">
        <f t="shared" ref="AA174:AC174" si="667">AA152+AA161+AA170+AA172</f>
        <v>0</v>
      </c>
      <c r="AB174" s="245">
        <f t="shared" si="667"/>
        <v>0</v>
      </c>
      <c r="AC174" s="239">
        <f t="shared" si="667"/>
        <v>0</v>
      </c>
      <c r="AD174" s="261" t="e">
        <f t="shared" si="664"/>
        <v>#DIV/0!</v>
      </c>
      <c r="AE174" s="261" t="e">
        <f t="shared" si="664"/>
        <v>#DIV/0!</v>
      </c>
      <c r="AF174" s="262" t="e">
        <f t="shared" si="664"/>
        <v>#DIV/0!</v>
      </c>
      <c r="AG174" s="260" t="e">
        <f t="shared" si="664"/>
        <v>#DIV/0!</v>
      </c>
      <c r="AH174" s="261" t="e">
        <f t="shared" si="664"/>
        <v>#DIV/0!</v>
      </c>
      <c r="AI174" s="261" t="e">
        <f t="shared" si="664"/>
        <v>#DIV/0!</v>
      </c>
      <c r="AJ174" s="262" t="e">
        <f t="shared" si="664"/>
        <v>#DIV/0!</v>
      </c>
      <c r="AK174" s="260" t="e">
        <f t="shared" si="664"/>
        <v>#DIV/0!</v>
      </c>
      <c r="AL174" s="261" t="e">
        <f t="shared" si="664"/>
        <v>#DIV/0!</v>
      </c>
      <c r="AM174" s="261" t="e">
        <f t="shared" si="664"/>
        <v>#DIV/0!</v>
      </c>
      <c r="AN174" s="262" t="e">
        <f t="shared" si="664"/>
        <v>#DIV/0!</v>
      </c>
      <c r="AO174" s="263" t="e">
        <f t="shared" si="664"/>
        <v>#DIV/0!</v>
      </c>
      <c r="AP174" s="264" t="e">
        <f t="shared" si="664"/>
        <v>#DIV/0!</v>
      </c>
      <c r="AQ174" s="261" t="e">
        <f t="shared" si="664"/>
        <v>#DIV/0!</v>
      </c>
      <c r="AR174" s="262" t="e">
        <f t="shared" si="664"/>
        <v>#DIV/0!</v>
      </c>
      <c r="AS174" s="263" t="e">
        <f t="shared" ref="AS174:AV174" si="668">AS152+AS161+AS170+AS172</f>
        <v>#DIV/0!</v>
      </c>
      <c r="AT174" s="264" t="e">
        <f t="shared" si="668"/>
        <v>#DIV/0!</v>
      </c>
      <c r="AU174" s="261" t="e">
        <f t="shared" si="668"/>
        <v>#DIV/0!</v>
      </c>
      <c r="AV174" s="262" t="e">
        <f t="shared" si="668"/>
        <v>#DIV/0!</v>
      </c>
      <c r="AW174" s="85"/>
      <c r="BR174" s="77">
        <f t="shared" si="644"/>
        <v>171</v>
      </c>
    </row>
    <row r="175" spans="1:70" ht="12" x14ac:dyDescent="0.15">
      <c r="A175" s="85"/>
      <c r="B175" s="188"/>
      <c r="C175" s="85"/>
      <c r="D175" s="85"/>
      <c r="E175" s="265">
        <f t="shared" ref="E175:AV175" si="669">D178+E174-E178</f>
        <v>0</v>
      </c>
      <c r="F175" s="265">
        <f t="shared" si="669"/>
        <v>0</v>
      </c>
      <c r="G175" s="265">
        <f t="shared" si="669"/>
        <v>0</v>
      </c>
      <c r="H175" s="265">
        <f t="shared" si="669"/>
        <v>0</v>
      </c>
      <c r="I175" s="265">
        <f t="shared" si="669"/>
        <v>0</v>
      </c>
      <c r="J175" s="265">
        <f t="shared" si="669"/>
        <v>0</v>
      </c>
      <c r="K175" s="265">
        <f t="shared" si="669"/>
        <v>0</v>
      </c>
      <c r="L175" s="265">
        <f t="shared" si="669"/>
        <v>0</v>
      </c>
      <c r="M175" s="265">
        <f t="shared" si="669"/>
        <v>0</v>
      </c>
      <c r="N175" s="265">
        <f t="shared" si="669"/>
        <v>0</v>
      </c>
      <c r="O175" s="265">
        <f t="shared" si="669"/>
        <v>0</v>
      </c>
      <c r="P175" s="265">
        <f t="shared" si="669"/>
        <v>0</v>
      </c>
      <c r="Q175" s="265">
        <f t="shared" si="669"/>
        <v>0</v>
      </c>
      <c r="R175" s="265">
        <f t="shared" si="669"/>
        <v>0</v>
      </c>
      <c r="S175" s="265">
        <f t="shared" si="669"/>
        <v>0</v>
      </c>
      <c r="T175" s="265">
        <f t="shared" si="669"/>
        <v>0</v>
      </c>
      <c r="U175" s="265">
        <f t="shared" si="669"/>
        <v>0</v>
      </c>
      <c r="V175" s="265">
        <f t="shared" si="669"/>
        <v>0</v>
      </c>
      <c r="W175" s="265">
        <f t="shared" si="669"/>
        <v>0</v>
      </c>
      <c r="X175" s="265">
        <f t="shared" si="669"/>
        <v>0</v>
      </c>
      <c r="Y175" s="265">
        <f t="shared" si="669"/>
        <v>0</v>
      </c>
      <c r="Z175" s="265">
        <f t="shared" si="669"/>
        <v>0</v>
      </c>
      <c r="AA175" s="265">
        <f t="shared" si="669"/>
        <v>0</v>
      </c>
      <c r="AB175" s="265">
        <f t="shared" si="669"/>
        <v>0</v>
      </c>
      <c r="AC175" s="265">
        <f t="shared" si="669"/>
        <v>0</v>
      </c>
      <c r="AD175" s="265" t="e">
        <f t="shared" si="669"/>
        <v>#DIV/0!</v>
      </c>
      <c r="AE175" s="265" t="e">
        <f t="shared" si="669"/>
        <v>#DIV/0!</v>
      </c>
      <c r="AF175" s="265" t="e">
        <f t="shared" si="669"/>
        <v>#DIV/0!</v>
      </c>
      <c r="AG175" s="265" t="e">
        <f t="shared" si="669"/>
        <v>#DIV/0!</v>
      </c>
      <c r="AH175" s="265" t="e">
        <f t="shared" si="669"/>
        <v>#DIV/0!</v>
      </c>
      <c r="AI175" s="265" t="e">
        <f t="shared" si="669"/>
        <v>#DIV/0!</v>
      </c>
      <c r="AJ175" s="265" t="e">
        <f t="shared" si="669"/>
        <v>#DIV/0!</v>
      </c>
      <c r="AK175" s="265" t="e">
        <f t="shared" si="669"/>
        <v>#DIV/0!</v>
      </c>
      <c r="AL175" s="265" t="e">
        <f t="shared" si="669"/>
        <v>#DIV/0!</v>
      </c>
      <c r="AM175" s="265" t="e">
        <f t="shared" si="669"/>
        <v>#DIV/0!</v>
      </c>
      <c r="AN175" s="265" t="e">
        <f t="shared" si="669"/>
        <v>#DIV/0!</v>
      </c>
      <c r="AO175" s="267" t="e">
        <f t="shared" si="669"/>
        <v>#DIV/0!</v>
      </c>
      <c r="AP175" s="267" t="e">
        <f t="shared" si="669"/>
        <v>#DIV/0!</v>
      </c>
      <c r="AQ175" s="265" t="e">
        <f t="shared" si="669"/>
        <v>#DIV/0!</v>
      </c>
      <c r="AR175" s="265" t="e">
        <f t="shared" si="669"/>
        <v>#DIV/0!</v>
      </c>
      <c r="AS175" s="267" t="e">
        <f t="shared" si="669"/>
        <v>#DIV/0!</v>
      </c>
      <c r="AT175" s="267" t="e">
        <f t="shared" si="669"/>
        <v>#DIV/0!</v>
      </c>
      <c r="AU175" s="265" t="e">
        <f t="shared" si="669"/>
        <v>#DIV/0!</v>
      </c>
      <c r="AV175" s="265" t="e">
        <f t="shared" si="669"/>
        <v>#DIV/0!</v>
      </c>
      <c r="AW175" s="85"/>
      <c r="BR175" s="77">
        <f t="shared" si="644"/>
        <v>172</v>
      </c>
    </row>
    <row r="176" spans="1:70" ht="12" x14ac:dyDescent="0.15">
      <c r="A176" s="10"/>
      <c r="B176" s="188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AV176" s="85"/>
      <c r="AW176" s="85"/>
      <c r="BR176" s="77">
        <f t="shared" si="644"/>
        <v>173</v>
      </c>
    </row>
    <row r="177" spans="1:70" ht="12" x14ac:dyDescent="0.15">
      <c r="A177" s="6" t="s">
        <v>12</v>
      </c>
      <c r="B177" s="188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127"/>
      <c r="AP177" s="127"/>
      <c r="AQ177" s="85"/>
      <c r="AR177" s="85"/>
      <c r="AS177" s="127"/>
      <c r="AT177" s="127"/>
      <c r="AU177" s="85"/>
      <c r="AV177" s="85"/>
      <c r="AW177" s="85"/>
      <c r="BR177" s="77">
        <f t="shared" si="644"/>
        <v>174</v>
      </c>
    </row>
    <row r="178" spans="1:70" ht="12" customHeight="1" x14ac:dyDescent="0.15">
      <c r="A178" s="85"/>
      <c r="B178" s="188" t="str">
        <f>Reported!A117</f>
        <v>Cash</v>
      </c>
      <c r="C178" s="85"/>
      <c r="D178" s="85"/>
      <c r="E178" s="268">
        <f>Reported!C117</f>
        <v>0</v>
      </c>
      <c r="F178" s="269">
        <f>Reported!D117</f>
        <v>0</v>
      </c>
      <c r="G178" s="269">
        <f>Reported!E117</f>
        <v>0</v>
      </c>
      <c r="H178" s="270">
        <f>Reported!F117</f>
        <v>0</v>
      </c>
      <c r="I178" s="268">
        <f>Reported!G117</f>
        <v>0</v>
      </c>
      <c r="J178" s="269">
        <f>Reported!H117</f>
        <v>0</v>
      </c>
      <c r="K178" s="269">
        <f>Reported!I117</f>
        <v>0</v>
      </c>
      <c r="L178" s="270">
        <f>Reported!J117</f>
        <v>0</v>
      </c>
      <c r="M178" s="268">
        <f>Reported!K117</f>
        <v>0</v>
      </c>
      <c r="N178" s="269">
        <f>Reported!L117</f>
        <v>0</v>
      </c>
      <c r="O178" s="269">
        <f>Reported!M117</f>
        <v>0</v>
      </c>
      <c r="P178" s="270">
        <f>Reported!N117</f>
        <v>0</v>
      </c>
      <c r="Q178" s="268">
        <f>Reported!O117</f>
        <v>0</v>
      </c>
      <c r="R178" s="269">
        <f>Reported!P117</f>
        <v>0</v>
      </c>
      <c r="S178" s="269">
        <f>Reported!Q117</f>
        <v>0</v>
      </c>
      <c r="T178" s="270">
        <f>Reported!R117</f>
        <v>0</v>
      </c>
      <c r="U178" s="268">
        <f>Reported!S117</f>
        <v>0</v>
      </c>
      <c r="V178" s="269">
        <f>Reported!T117</f>
        <v>0</v>
      </c>
      <c r="W178" s="269">
        <f>Reported!U117</f>
        <v>0</v>
      </c>
      <c r="X178" s="270">
        <f>Reported!V117</f>
        <v>0</v>
      </c>
      <c r="Y178" s="268">
        <f>Reported!W117</f>
        <v>0</v>
      </c>
      <c r="Z178" s="269">
        <f>Reported!X117</f>
        <v>0</v>
      </c>
      <c r="AA178" s="269">
        <f>Reported!Y117</f>
        <v>0</v>
      </c>
      <c r="AB178" s="270">
        <f>Reported!Z117</f>
        <v>0</v>
      </c>
      <c r="AC178" s="268">
        <f>Reported!AA117</f>
        <v>0</v>
      </c>
      <c r="AD178" s="265" t="e">
        <f t="shared" ref="AD178:AV178" si="670">AC178+AD174</f>
        <v>#DIV/0!</v>
      </c>
      <c r="AE178" s="265" t="e">
        <f t="shared" si="670"/>
        <v>#DIV/0!</v>
      </c>
      <c r="AF178" s="271" t="e">
        <f t="shared" si="670"/>
        <v>#DIV/0!</v>
      </c>
      <c r="AG178" s="266" t="e">
        <f t="shared" si="670"/>
        <v>#DIV/0!</v>
      </c>
      <c r="AH178" s="265" t="e">
        <f t="shared" si="670"/>
        <v>#DIV/0!</v>
      </c>
      <c r="AI178" s="265" t="e">
        <f t="shared" si="670"/>
        <v>#DIV/0!</v>
      </c>
      <c r="AJ178" s="271" t="e">
        <f t="shared" si="670"/>
        <v>#DIV/0!</v>
      </c>
      <c r="AK178" s="266" t="e">
        <f t="shared" si="670"/>
        <v>#DIV/0!</v>
      </c>
      <c r="AL178" s="265" t="e">
        <f t="shared" si="670"/>
        <v>#DIV/0!</v>
      </c>
      <c r="AM178" s="265" t="e">
        <f t="shared" si="670"/>
        <v>#DIV/0!</v>
      </c>
      <c r="AN178" s="271" t="e">
        <f t="shared" si="670"/>
        <v>#DIV/0!</v>
      </c>
      <c r="AO178" s="272" t="e">
        <f t="shared" si="670"/>
        <v>#DIV/0!</v>
      </c>
      <c r="AP178" s="267" t="e">
        <f t="shared" si="670"/>
        <v>#DIV/0!</v>
      </c>
      <c r="AQ178" s="265" t="e">
        <f t="shared" si="670"/>
        <v>#DIV/0!</v>
      </c>
      <c r="AR178" s="271" t="e">
        <f t="shared" si="670"/>
        <v>#DIV/0!</v>
      </c>
      <c r="AS178" s="272" t="e">
        <f t="shared" si="670"/>
        <v>#DIV/0!</v>
      </c>
      <c r="AT178" s="267" t="e">
        <f t="shared" si="670"/>
        <v>#DIV/0!</v>
      </c>
      <c r="AU178" s="265" t="e">
        <f t="shared" si="670"/>
        <v>#DIV/0!</v>
      </c>
      <c r="AV178" s="271" t="e">
        <f t="shared" si="670"/>
        <v>#DIV/0!</v>
      </c>
      <c r="AW178" s="85"/>
      <c r="BR178" s="77">
        <f t="shared" si="644"/>
        <v>175</v>
      </c>
    </row>
    <row r="179" spans="1:70" ht="12" customHeight="1" x14ac:dyDescent="0.15">
      <c r="A179" s="85"/>
      <c r="B179" s="188" t="str">
        <f>Reported!A118</f>
        <v>Investments</v>
      </c>
      <c r="C179" s="85"/>
      <c r="D179" s="85"/>
      <c r="E179" s="169">
        <f>Reported!C118</f>
        <v>0</v>
      </c>
      <c r="F179" s="240">
        <f>Reported!D118</f>
        <v>0</v>
      </c>
      <c r="G179" s="240">
        <f>Reported!E118</f>
        <v>0</v>
      </c>
      <c r="H179" s="241">
        <f>Reported!F118</f>
        <v>0</v>
      </c>
      <c r="I179" s="169">
        <f>Reported!G118</f>
        <v>0</v>
      </c>
      <c r="J179" s="240">
        <f>Reported!H118</f>
        <v>0</v>
      </c>
      <c r="K179" s="240">
        <f>Reported!I118</f>
        <v>0</v>
      </c>
      <c r="L179" s="241">
        <f>Reported!J118</f>
        <v>0</v>
      </c>
      <c r="M179" s="169">
        <f>Reported!K118</f>
        <v>0</v>
      </c>
      <c r="N179" s="240">
        <f>Reported!L118</f>
        <v>0</v>
      </c>
      <c r="O179" s="240">
        <f>Reported!M118</f>
        <v>0</v>
      </c>
      <c r="P179" s="241">
        <f>Reported!N118</f>
        <v>0</v>
      </c>
      <c r="Q179" s="169">
        <f>Reported!O118</f>
        <v>0</v>
      </c>
      <c r="R179" s="240">
        <f>Reported!P118</f>
        <v>0</v>
      </c>
      <c r="S179" s="240">
        <f>Reported!Q118</f>
        <v>0</v>
      </c>
      <c r="T179" s="241">
        <f>Reported!R118</f>
        <v>0</v>
      </c>
      <c r="U179" s="169">
        <f>Reported!S118</f>
        <v>0</v>
      </c>
      <c r="V179" s="240">
        <f>Reported!T118</f>
        <v>0</v>
      </c>
      <c r="W179" s="240">
        <f>Reported!U118</f>
        <v>0</v>
      </c>
      <c r="X179" s="241">
        <f>Reported!V118</f>
        <v>0</v>
      </c>
      <c r="Y179" s="169">
        <f>Reported!W118</f>
        <v>0</v>
      </c>
      <c r="Z179" s="240">
        <f>Reported!X118</f>
        <v>0</v>
      </c>
      <c r="AA179" s="240">
        <f>Reported!Y118</f>
        <v>0</v>
      </c>
      <c r="AB179" s="241">
        <f>Reported!Z118</f>
        <v>0</v>
      </c>
      <c r="AC179" s="169">
        <f>Reported!AA118</f>
        <v>0</v>
      </c>
      <c r="AD179" s="258">
        <f t="shared" ref="AD179" si="671">AC179</f>
        <v>0</v>
      </c>
      <c r="AE179" s="258">
        <f t="shared" ref="AE179" si="672">AD179</f>
        <v>0</v>
      </c>
      <c r="AF179" s="259">
        <f t="shared" ref="AF179" si="673">AE179</f>
        <v>0</v>
      </c>
      <c r="AG179" s="170">
        <f t="shared" ref="AG179" si="674">AF179</f>
        <v>0</v>
      </c>
      <c r="AH179" s="258">
        <f t="shared" ref="AH179" si="675">AG179</f>
        <v>0</v>
      </c>
      <c r="AI179" s="258">
        <f t="shared" ref="AI179" si="676">AH179</f>
        <v>0</v>
      </c>
      <c r="AJ179" s="259">
        <f t="shared" ref="AJ179" si="677">AI179</f>
        <v>0</v>
      </c>
      <c r="AK179" s="170">
        <f t="shared" ref="AK179" si="678">AJ179</f>
        <v>0</v>
      </c>
      <c r="AL179" s="258">
        <f t="shared" ref="AL179" si="679">AK179</f>
        <v>0</v>
      </c>
      <c r="AM179" s="258">
        <f t="shared" ref="AM179" si="680">AL179</f>
        <v>0</v>
      </c>
      <c r="AN179" s="259">
        <f t="shared" ref="AN179" si="681">AM179</f>
        <v>0</v>
      </c>
      <c r="AO179" s="88">
        <f t="shared" ref="AO179" si="682">AN179</f>
        <v>0</v>
      </c>
      <c r="AP179" s="86">
        <f t="shared" ref="AP179" si="683">AO179</f>
        <v>0</v>
      </c>
      <c r="AQ179" s="258">
        <f t="shared" ref="AQ179" si="684">AP179</f>
        <v>0</v>
      </c>
      <c r="AR179" s="259">
        <f t="shared" ref="AR179" si="685">AQ179</f>
        <v>0</v>
      </c>
      <c r="AS179" s="88">
        <f t="shared" ref="AS179" si="686">AR179</f>
        <v>0</v>
      </c>
      <c r="AT179" s="86">
        <f t="shared" ref="AT179" si="687">AS179</f>
        <v>0</v>
      </c>
      <c r="AU179" s="258">
        <f t="shared" ref="AU179" si="688">AT179</f>
        <v>0</v>
      </c>
      <c r="AV179" s="259">
        <f t="shared" ref="AV179" si="689">AU179</f>
        <v>0</v>
      </c>
      <c r="AW179" s="85"/>
      <c r="BR179" s="77">
        <f t="shared" si="644"/>
        <v>176</v>
      </c>
    </row>
    <row r="180" spans="1:70" ht="12" customHeight="1" x14ac:dyDescent="0.15">
      <c r="A180" s="85"/>
      <c r="B180" s="188" t="str">
        <f>Reported!A119</f>
        <v>Trade accounts receivable</v>
      </c>
      <c r="C180" s="85"/>
      <c r="D180" s="85"/>
      <c r="E180" s="169">
        <f>Reported!C119</f>
        <v>0</v>
      </c>
      <c r="F180" s="240">
        <f>Reported!D119</f>
        <v>0</v>
      </c>
      <c r="G180" s="240">
        <f>Reported!E119</f>
        <v>0</v>
      </c>
      <c r="H180" s="241">
        <f>Reported!F119</f>
        <v>0</v>
      </c>
      <c r="I180" s="169">
        <f>Reported!G119</f>
        <v>0</v>
      </c>
      <c r="J180" s="240">
        <f>Reported!H119</f>
        <v>0</v>
      </c>
      <c r="K180" s="240">
        <f>Reported!I119</f>
        <v>0</v>
      </c>
      <c r="L180" s="241">
        <f>Reported!J119</f>
        <v>0</v>
      </c>
      <c r="M180" s="169">
        <f>Reported!K119</f>
        <v>0</v>
      </c>
      <c r="N180" s="240">
        <f>Reported!L119</f>
        <v>0</v>
      </c>
      <c r="O180" s="240">
        <f>Reported!M119</f>
        <v>0</v>
      </c>
      <c r="P180" s="241">
        <f>Reported!N119</f>
        <v>0</v>
      </c>
      <c r="Q180" s="169">
        <f>Reported!O119</f>
        <v>0</v>
      </c>
      <c r="R180" s="240">
        <f>Reported!P119</f>
        <v>0</v>
      </c>
      <c r="S180" s="240">
        <f>Reported!Q119</f>
        <v>0</v>
      </c>
      <c r="T180" s="241">
        <f>Reported!R119</f>
        <v>0</v>
      </c>
      <c r="U180" s="169">
        <f>Reported!S119</f>
        <v>0</v>
      </c>
      <c r="V180" s="240">
        <f>Reported!T119</f>
        <v>0</v>
      </c>
      <c r="W180" s="240">
        <f>Reported!U119</f>
        <v>0</v>
      </c>
      <c r="X180" s="241">
        <f>Reported!V119</f>
        <v>0</v>
      </c>
      <c r="Y180" s="169">
        <f>Reported!W119</f>
        <v>0</v>
      </c>
      <c r="Z180" s="240">
        <f>Reported!X119</f>
        <v>0</v>
      </c>
      <c r="AA180" s="240">
        <f>Reported!Y119</f>
        <v>0</v>
      </c>
      <c r="AB180" s="241">
        <f>Reported!Z119</f>
        <v>0</v>
      </c>
      <c r="AC180" s="169">
        <f>Reported!AA119</f>
        <v>0</v>
      </c>
      <c r="AD180" s="258">
        <f t="shared" ref="AD180:AV180" si="690">AD46/90*AD213</f>
        <v>0</v>
      </c>
      <c r="AE180" s="258">
        <f t="shared" si="690"/>
        <v>0</v>
      </c>
      <c r="AF180" s="259">
        <f t="shared" si="690"/>
        <v>0</v>
      </c>
      <c r="AG180" s="170">
        <f t="shared" si="690"/>
        <v>0</v>
      </c>
      <c r="AH180" s="258">
        <f t="shared" si="690"/>
        <v>0</v>
      </c>
      <c r="AI180" s="258">
        <f t="shared" si="690"/>
        <v>0</v>
      </c>
      <c r="AJ180" s="259">
        <f t="shared" si="690"/>
        <v>0</v>
      </c>
      <c r="AK180" s="170">
        <f t="shared" si="690"/>
        <v>0</v>
      </c>
      <c r="AL180" s="258">
        <f t="shared" si="690"/>
        <v>0</v>
      </c>
      <c r="AM180" s="258">
        <f t="shared" si="690"/>
        <v>0</v>
      </c>
      <c r="AN180" s="259">
        <f t="shared" si="690"/>
        <v>0</v>
      </c>
      <c r="AO180" s="88">
        <f t="shared" si="690"/>
        <v>0</v>
      </c>
      <c r="AP180" s="86">
        <f t="shared" si="690"/>
        <v>0</v>
      </c>
      <c r="AQ180" s="258">
        <f t="shared" si="690"/>
        <v>0</v>
      </c>
      <c r="AR180" s="259">
        <f t="shared" si="690"/>
        <v>0</v>
      </c>
      <c r="AS180" s="88">
        <f t="shared" si="690"/>
        <v>0</v>
      </c>
      <c r="AT180" s="86">
        <f t="shared" si="690"/>
        <v>0</v>
      </c>
      <c r="AU180" s="258">
        <f t="shared" si="690"/>
        <v>0</v>
      </c>
      <c r="AV180" s="259">
        <f t="shared" si="690"/>
        <v>0</v>
      </c>
      <c r="AW180" s="85"/>
      <c r="BR180" s="77">
        <f t="shared" si="644"/>
        <v>177</v>
      </c>
    </row>
    <row r="181" spans="1:70" ht="12" customHeight="1" x14ac:dyDescent="0.15">
      <c r="A181" s="85"/>
      <c r="B181" s="188" t="str">
        <f>Reported!A120</f>
        <v>Other Current</v>
      </c>
      <c r="C181" s="85"/>
      <c r="D181" s="85"/>
      <c r="E181" s="169">
        <f>Reported!C120</f>
        <v>0</v>
      </c>
      <c r="F181" s="240">
        <f>Reported!D120</f>
        <v>0</v>
      </c>
      <c r="G181" s="240">
        <f>Reported!E120</f>
        <v>0</v>
      </c>
      <c r="H181" s="241">
        <f>Reported!F120</f>
        <v>0</v>
      </c>
      <c r="I181" s="169">
        <f>Reported!G120</f>
        <v>0</v>
      </c>
      <c r="J181" s="240">
        <f>Reported!H120</f>
        <v>0</v>
      </c>
      <c r="K181" s="240">
        <f>Reported!I120</f>
        <v>0</v>
      </c>
      <c r="L181" s="241">
        <f>Reported!J120</f>
        <v>0</v>
      </c>
      <c r="M181" s="169">
        <f>Reported!K120</f>
        <v>0</v>
      </c>
      <c r="N181" s="240">
        <f>Reported!L120</f>
        <v>0</v>
      </c>
      <c r="O181" s="240">
        <f>Reported!M120</f>
        <v>0</v>
      </c>
      <c r="P181" s="241">
        <f>Reported!N120</f>
        <v>0</v>
      </c>
      <c r="Q181" s="169">
        <f>Reported!O120</f>
        <v>0</v>
      </c>
      <c r="R181" s="240">
        <f>Reported!P120</f>
        <v>0</v>
      </c>
      <c r="S181" s="240">
        <f>Reported!Q120</f>
        <v>0</v>
      </c>
      <c r="T181" s="241">
        <f>Reported!R120</f>
        <v>0</v>
      </c>
      <c r="U181" s="169">
        <f>Reported!S120</f>
        <v>0</v>
      </c>
      <c r="V181" s="240">
        <f>Reported!T120</f>
        <v>0</v>
      </c>
      <c r="W181" s="240">
        <f>Reported!U120</f>
        <v>0</v>
      </c>
      <c r="X181" s="241">
        <f>Reported!V120</f>
        <v>0</v>
      </c>
      <c r="Y181" s="169">
        <f>Reported!W120</f>
        <v>0</v>
      </c>
      <c r="Z181" s="240">
        <f>Reported!X120</f>
        <v>0</v>
      </c>
      <c r="AA181" s="240">
        <f>Reported!Y120</f>
        <v>0</v>
      </c>
      <c r="AB181" s="241">
        <f>Reported!Z120</f>
        <v>0</v>
      </c>
      <c r="AC181" s="169">
        <f>Reported!AA120</f>
        <v>0</v>
      </c>
      <c r="AD181" s="258">
        <f t="shared" ref="AD181:AD182" si="691">AC181</f>
        <v>0</v>
      </c>
      <c r="AE181" s="258">
        <f t="shared" ref="AE181:AE182" si="692">AD181</f>
        <v>0</v>
      </c>
      <c r="AF181" s="259">
        <f t="shared" ref="AF181:AF182" si="693">AE181</f>
        <v>0</v>
      </c>
      <c r="AG181" s="170">
        <f t="shared" ref="AG181:AG182" si="694">AF181</f>
        <v>0</v>
      </c>
      <c r="AH181" s="258">
        <f t="shared" ref="AH181:AH182" si="695">AG181</f>
        <v>0</v>
      </c>
      <c r="AI181" s="258">
        <f t="shared" ref="AI181:AI182" si="696">AH181</f>
        <v>0</v>
      </c>
      <c r="AJ181" s="259">
        <f t="shared" ref="AJ181:AJ182" si="697">AI181</f>
        <v>0</v>
      </c>
      <c r="AK181" s="170">
        <f t="shared" ref="AK181:AK182" si="698">AJ181</f>
        <v>0</v>
      </c>
      <c r="AL181" s="258">
        <f t="shared" ref="AL181:AL182" si="699">AK181</f>
        <v>0</v>
      </c>
      <c r="AM181" s="258">
        <f t="shared" ref="AM181:AM182" si="700">AL181</f>
        <v>0</v>
      </c>
      <c r="AN181" s="259">
        <f t="shared" ref="AN181:AN182" si="701">AM181</f>
        <v>0</v>
      </c>
      <c r="AO181" s="88">
        <f t="shared" ref="AO181:AO182" si="702">AN181</f>
        <v>0</v>
      </c>
      <c r="AP181" s="86">
        <f t="shared" ref="AP181:AP182" si="703">AO181</f>
        <v>0</v>
      </c>
      <c r="AQ181" s="258">
        <f t="shared" ref="AQ181:AQ182" si="704">AP181</f>
        <v>0</v>
      </c>
      <c r="AR181" s="259">
        <f t="shared" ref="AR181:AR182" si="705">AQ181</f>
        <v>0</v>
      </c>
      <c r="AS181" s="88">
        <f t="shared" ref="AS181:AS182" si="706">AR181</f>
        <v>0</v>
      </c>
      <c r="AT181" s="86">
        <f t="shared" ref="AT181:AT182" si="707">AS181</f>
        <v>0</v>
      </c>
      <c r="AU181" s="258">
        <f t="shared" ref="AU181:AU182" si="708">AT181</f>
        <v>0</v>
      </c>
      <c r="AV181" s="259">
        <f t="shared" ref="AV181:AV182" si="709">AU181</f>
        <v>0</v>
      </c>
      <c r="AW181" s="85"/>
      <c r="BR181" s="77">
        <f t="shared" si="644"/>
        <v>178</v>
      </c>
    </row>
    <row r="182" spans="1:70" s="85" customFormat="1" ht="12" customHeight="1" x14ac:dyDescent="0.25">
      <c r="A182" s="188"/>
      <c r="B182" s="85" t="str">
        <f>Reported!A121</f>
        <v>Other Current</v>
      </c>
      <c r="E182" s="238">
        <f>Reported!C121</f>
        <v>0</v>
      </c>
      <c r="F182" s="242">
        <f>Reported!D121</f>
        <v>0</v>
      </c>
      <c r="G182" s="242">
        <f>Reported!E121</f>
        <v>0</v>
      </c>
      <c r="H182" s="243">
        <f>Reported!F121</f>
        <v>0</v>
      </c>
      <c r="I182" s="238">
        <f>Reported!G121</f>
        <v>0</v>
      </c>
      <c r="J182" s="242">
        <f>Reported!H121</f>
        <v>0</v>
      </c>
      <c r="K182" s="242">
        <f>Reported!I121</f>
        <v>0</v>
      </c>
      <c r="L182" s="243">
        <f>Reported!J121</f>
        <v>0</v>
      </c>
      <c r="M182" s="238">
        <f>Reported!K121</f>
        <v>0</v>
      </c>
      <c r="N182" s="242">
        <f>Reported!L121</f>
        <v>0</v>
      </c>
      <c r="O182" s="242">
        <f>Reported!M121</f>
        <v>0</v>
      </c>
      <c r="P182" s="243">
        <f>Reported!N121</f>
        <v>0</v>
      </c>
      <c r="Q182" s="238">
        <f>Reported!O121</f>
        <v>0</v>
      </c>
      <c r="R182" s="242">
        <f>Reported!P121</f>
        <v>0</v>
      </c>
      <c r="S182" s="242">
        <f>Reported!Q121</f>
        <v>0</v>
      </c>
      <c r="T182" s="243">
        <f>Reported!R121</f>
        <v>0</v>
      </c>
      <c r="U182" s="238">
        <f>Reported!S121</f>
        <v>0</v>
      </c>
      <c r="V182" s="242">
        <f>Reported!T121</f>
        <v>0</v>
      </c>
      <c r="W182" s="242">
        <f>Reported!U121</f>
        <v>0</v>
      </c>
      <c r="X182" s="243">
        <f>Reported!V121</f>
        <v>0</v>
      </c>
      <c r="Y182" s="238">
        <f>Reported!W121</f>
        <v>0</v>
      </c>
      <c r="Z182" s="242">
        <f>Reported!X121</f>
        <v>0</v>
      </c>
      <c r="AA182" s="242">
        <f>Reported!Y121</f>
        <v>0</v>
      </c>
      <c r="AB182" s="243">
        <f>+Reported!Z121</f>
        <v>0</v>
      </c>
      <c r="AC182" s="238">
        <f>Reported!AA121</f>
        <v>0</v>
      </c>
      <c r="AD182" s="274">
        <f t="shared" si="691"/>
        <v>0</v>
      </c>
      <c r="AE182" s="274">
        <f t="shared" si="692"/>
        <v>0</v>
      </c>
      <c r="AF182" s="275">
        <f t="shared" si="693"/>
        <v>0</v>
      </c>
      <c r="AG182" s="273">
        <f t="shared" si="694"/>
        <v>0</v>
      </c>
      <c r="AH182" s="274">
        <f t="shared" si="695"/>
        <v>0</v>
      </c>
      <c r="AI182" s="274">
        <f t="shared" si="696"/>
        <v>0</v>
      </c>
      <c r="AJ182" s="275">
        <f t="shared" si="697"/>
        <v>0</v>
      </c>
      <c r="AK182" s="273">
        <f t="shared" si="698"/>
        <v>0</v>
      </c>
      <c r="AL182" s="274">
        <f t="shared" si="699"/>
        <v>0</v>
      </c>
      <c r="AM182" s="274">
        <f t="shared" si="700"/>
        <v>0</v>
      </c>
      <c r="AN182" s="275">
        <f t="shared" si="701"/>
        <v>0</v>
      </c>
      <c r="AO182" s="18">
        <f t="shared" si="702"/>
        <v>0</v>
      </c>
      <c r="AP182" s="19">
        <f t="shared" si="703"/>
        <v>0</v>
      </c>
      <c r="AQ182" s="274">
        <f t="shared" si="704"/>
        <v>0</v>
      </c>
      <c r="AR182" s="275">
        <f t="shared" si="705"/>
        <v>0</v>
      </c>
      <c r="AS182" s="18">
        <f t="shared" si="706"/>
        <v>0</v>
      </c>
      <c r="AT182" s="19">
        <f t="shared" si="707"/>
        <v>0</v>
      </c>
      <c r="AU182" s="274">
        <f t="shared" si="708"/>
        <v>0</v>
      </c>
      <c r="AV182" s="275">
        <f t="shared" si="709"/>
        <v>0</v>
      </c>
      <c r="BE182" s="188"/>
      <c r="BR182" s="77">
        <f t="shared" si="644"/>
        <v>179</v>
      </c>
    </row>
    <row r="183" spans="1:70" ht="12" customHeight="1" x14ac:dyDescent="0.15">
      <c r="A183" s="6" t="str">
        <f>Reported!A122</f>
        <v>Total Current Assets</v>
      </c>
      <c r="B183" s="188"/>
      <c r="C183" s="85"/>
      <c r="D183" s="85"/>
      <c r="E183" s="169">
        <f t="shared" ref="E183:T183" si="710">SUM(E178:E182)</f>
        <v>0</v>
      </c>
      <c r="F183" s="240">
        <f t="shared" si="710"/>
        <v>0</v>
      </c>
      <c r="G183" s="240">
        <f t="shared" si="710"/>
        <v>0</v>
      </c>
      <c r="H183" s="241">
        <f t="shared" si="710"/>
        <v>0</v>
      </c>
      <c r="I183" s="169">
        <f t="shared" si="710"/>
        <v>0</v>
      </c>
      <c r="J183" s="240">
        <f t="shared" si="710"/>
        <v>0</v>
      </c>
      <c r="K183" s="240">
        <f t="shared" si="710"/>
        <v>0</v>
      </c>
      <c r="L183" s="241">
        <f t="shared" si="710"/>
        <v>0</v>
      </c>
      <c r="M183" s="169">
        <f t="shared" si="710"/>
        <v>0</v>
      </c>
      <c r="N183" s="240">
        <f t="shared" si="710"/>
        <v>0</v>
      </c>
      <c r="O183" s="240">
        <f t="shared" si="710"/>
        <v>0</v>
      </c>
      <c r="P183" s="241">
        <f t="shared" si="710"/>
        <v>0</v>
      </c>
      <c r="Q183" s="169">
        <f t="shared" si="710"/>
        <v>0</v>
      </c>
      <c r="R183" s="240">
        <f t="shared" si="710"/>
        <v>0</v>
      </c>
      <c r="S183" s="240">
        <f t="shared" si="710"/>
        <v>0</v>
      </c>
      <c r="T183" s="241">
        <f t="shared" si="710"/>
        <v>0</v>
      </c>
      <c r="U183" s="169">
        <f t="shared" ref="U183:V183" si="711">SUM(U178:U182)</f>
        <v>0</v>
      </c>
      <c r="V183" s="240">
        <f t="shared" si="711"/>
        <v>0</v>
      </c>
      <c r="W183" s="240">
        <f t="shared" ref="W183" si="712">SUM(W178:W182)</f>
        <v>0</v>
      </c>
      <c r="X183" s="241">
        <f t="shared" ref="X183:AA183" si="713">SUM(X178:X182)</f>
        <v>0</v>
      </c>
      <c r="Y183" s="169">
        <f t="shared" si="713"/>
        <v>0</v>
      </c>
      <c r="Z183" s="240">
        <f t="shared" si="713"/>
        <v>0</v>
      </c>
      <c r="AA183" s="240">
        <f t="shared" si="713"/>
        <v>0</v>
      </c>
      <c r="AB183" s="241">
        <f t="shared" ref="AB183:AC183" si="714">SUM(AB178:AB182)</f>
        <v>0</v>
      </c>
      <c r="AC183" s="169">
        <f t="shared" si="714"/>
        <v>0</v>
      </c>
      <c r="AD183" s="258" t="e">
        <f t="shared" ref="AD183:AR183" si="715">SUM(AD178:AD182)</f>
        <v>#DIV/0!</v>
      </c>
      <c r="AE183" s="258" t="e">
        <f t="shared" si="715"/>
        <v>#DIV/0!</v>
      </c>
      <c r="AF183" s="259" t="e">
        <f t="shared" si="715"/>
        <v>#DIV/0!</v>
      </c>
      <c r="AG183" s="170" t="e">
        <f t="shared" si="715"/>
        <v>#DIV/0!</v>
      </c>
      <c r="AH183" s="258" t="e">
        <f t="shared" si="715"/>
        <v>#DIV/0!</v>
      </c>
      <c r="AI183" s="258" t="e">
        <f t="shared" si="715"/>
        <v>#DIV/0!</v>
      </c>
      <c r="AJ183" s="259" t="e">
        <f t="shared" si="715"/>
        <v>#DIV/0!</v>
      </c>
      <c r="AK183" s="170" t="e">
        <f t="shared" si="715"/>
        <v>#DIV/0!</v>
      </c>
      <c r="AL183" s="258" t="e">
        <f t="shared" si="715"/>
        <v>#DIV/0!</v>
      </c>
      <c r="AM183" s="258" t="e">
        <f t="shared" si="715"/>
        <v>#DIV/0!</v>
      </c>
      <c r="AN183" s="259" t="e">
        <f t="shared" si="715"/>
        <v>#DIV/0!</v>
      </c>
      <c r="AO183" s="88" t="e">
        <f t="shared" si="715"/>
        <v>#DIV/0!</v>
      </c>
      <c r="AP183" s="86" t="e">
        <f t="shared" si="715"/>
        <v>#DIV/0!</v>
      </c>
      <c r="AQ183" s="258" t="e">
        <f t="shared" si="715"/>
        <v>#DIV/0!</v>
      </c>
      <c r="AR183" s="259" t="e">
        <f t="shared" si="715"/>
        <v>#DIV/0!</v>
      </c>
      <c r="AS183" s="88" t="e">
        <f t="shared" ref="AS183:AV183" si="716">SUM(AS178:AS182)</f>
        <v>#DIV/0!</v>
      </c>
      <c r="AT183" s="86" t="e">
        <f t="shared" si="716"/>
        <v>#DIV/0!</v>
      </c>
      <c r="AU183" s="258" t="e">
        <f t="shared" si="716"/>
        <v>#DIV/0!</v>
      </c>
      <c r="AV183" s="259" t="e">
        <f t="shared" si="716"/>
        <v>#DIV/0!</v>
      </c>
      <c r="AW183" s="85"/>
      <c r="BR183" s="77">
        <f t="shared" si="644"/>
        <v>180</v>
      </c>
    </row>
    <row r="184" spans="1:70" ht="12" customHeight="1" x14ac:dyDescent="0.15">
      <c r="A184" s="85"/>
      <c r="B184" s="188" t="str">
        <f>Reported!A124</f>
        <v>Long Term Investments</v>
      </c>
      <c r="C184" s="85"/>
      <c r="D184" s="85"/>
      <c r="E184" s="169">
        <f>Reported!C124</f>
        <v>0</v>
      </c>
      <c r="F184" s="240">
        <f>Reported!D124</f>
        <v>0</v>
      </c>
      <c r="G184" s="240">
        <f>Reported!E124</f>
        <v>0</v>
      </c>
      <c r="H184" s="241">
        <f>Reported!F124</f>
        <v>0</v>
      </c>
      <c r="I184" s="169">
        <f>Reported!G124</f>
        <v>0</v>
      </c>
      <c r="J184" s="240">
        <f>Reported!H124</f>
        <v>0</v>
      </c>
      <c r="K184" s="240">
        <f>Reported!I124</f>
        <v>0</v>
      </c>
      <c r="L184" s="241">
        <f>Reported!J124</f>
        <v>0</v>
      </c>
      <c r="M184" s="169">
        <f>Reported!K124</f>
        <v>0</v>
      </c>
      <c r="N184" s="240">
        <f>Reported!L124</f>
        <v>0</v>
      </c>
      <c r="O184" s="240">
        <f>Reported!M124</f>
        <v>0</v>
      </c>
      <c r="P184" s="241">
        <f>Reported!N124</f>
        <v>0</v>
      </c>
      <c r="Q184" s="169">
        <f>Reported!O124</f>
        <v>0</v>
      </c>
      <c r="R184" s="240">
        <f>Reported!P124</f>
        <v>0</v>
      </c>
      <c r="S184" s="240">
        <f>Reported!Q124</f>
        <v>0</v>
      </c>
      <c r="T184" s="241">
        <f>Reported!R124</f>
        <v>0</v>
      </c>
      <c r="U184" s="169">
        <f>Reported!S124</f>
        <v>0</v>
      </c>
      <c r="V184" s="240">
        <f>Reported!T124</f>
        <v>0</v>
      </c>
      <c r="W184" s="240">
        <f>Reported!U124</f>
        <v>0</v>
      </c>
      <c r="X184" s="241">
        <f>Reported!V124</f>
        <v>0</v>
      </c>
      <c r="Y184" s="169">
        <f>Reported!W124</f>
        <v>0</v>
      </c>
      <c r="Z184" s="240">
        <f>Reported!X124</f>
        <v>0</v>
      </c>
      <c r="AA184" s="240">
        <f>Reported!Y124</f>
        <v>0</v>
      </c>
      <c r="AB184" s="241">
        <f>Reported!Z124</f>
        <v>0</v>
      </c>
      <c r="AC184" s="169">
        <f>Reported!AA124</f>
        <v>0</v>
      </c>
      <c r="AD184" s="258">
        <v>0</v>
      </c>
      <c r="AE184" s="258">
        <v>0</v>
      </c>
      <c r="AF184" s="259">
        <v>0</v>
      </c>
      <c r="AG184" s="170">
        <v>0</v>
      </c>
      <c r="AH184" s="258">
        <v>0</v>
      </c>
      <c r="AI184" s="258">
        <v>0</v>
      </c>
      <c r="AJ184" s="259">
        <v>0</v>
      </c>
      <c r="AK184" s="170">
        <v>0</v>
      </c>
      <c r="AL184" s="258">
        <v>0</v>
      </c>
      <c r="AM184" s="258">
        <v>0</v>
      </c>
      <c r="AN184" s="259">
        <v>0</v>
      </c>
      <c r="AO184" s="88">
        <v>0</v>
      </c>
      <c r="AP184" s="86">
        <v>0</v>
      </c>
      <c r="AQ184" s="258">
        <v>0</v>
      </c>
      <c r="AR184" s="259">
        <v>0</v>
      </c>
      <c r="AS184" s="88">
        <v>0</v>
      </c>
      <c r="AT184" s="86">
        <v>0</v>
      </c>
      <c r="AU184" s="258">
        <v>0</v>
      </c>
      <c r="AV184" s="259">
        <v>0</v>
      </c>
      <c r="AW184" s="85"/>
      <c r="BR184" s="77">
        <f t="shared" si="644"/>
        <v>181</v>
      </c>
    </row>
    <row r="185" spans="1:70" ht="12" customHeight="1" x14ac:dyDescent="0.15">
      <c r="A185" s="85"/>
      <c r="B185" s="188" t="str">
        <f>Reported!A125</f>
        <v>PPE</v>
      </c>
      <c r="C185" s="85"/>
      <c r="D185" s="85"/>
      <c r="E185" s="169">
        <f>Reported!C125</f>
        <v>0</v>
      </c>
      <c r="F185" s="240">
        <f>Reported!D125</f>
        <v>0</v>
      </c>
      <c r="G185" s="240">
        <f>Reported!E125</f>
        <v>0</v>
      </c>
      <c r="H185" s="241">
        <f>Reported!F125</f>
        <v>0</v>
      </c>
      <c r="I185" s="169">
        <f>Reported!G125</f>
        <v>0</v>
      </c>
      <c r="J185" s="240">
        <f>Reported!H125</f>
        <v>0</v>
      </c>
      <c r="K185" s="240">
        <f>Reported!I125</f>
        <v>0</v>
      </c>
      <c r="L185" s="241">
        <f>Reported!J125</f>
        <v>0</v>
      </c>
      <c r="M185" s="169">
        <f>Reported!K125</f>
        <v>0</v>
      </c>
      <c r="N185" s="240">
        <f>Reported!L125</f>
        <v>0</v>
      </c>
      <c r="O185" s="240">
        <f>Reported!M125</f>
        <v>0</v>
      </c>
      <c r="P185" s="241">
        <f>Reported!N125</f>
        <v>0</v>
      </c>
      <c r="Q185" s="169">
        <f>Reported!O125</f>
        <v>0</v>
      </c>
      <c r="R185" s="240">
        <f>Reported!P125</f>
        <v>0</v>
      </c>
      <c r="S185" s="240">
        <f>Reported!Q125</f>
        <v>0</v>
      </c>
      <c r="T185" s="241">
        <f>Reported!R125</f>
        <v>0</v>
      </c>
      <c r="U185" s="169">
        <f>Reported!S125</f>
        <v>0</v>
      </c>
      <c r="V185" s="240">
        <f>Reported!T125</f>
        <v>0</v>
      </c>
      <c r="W185" s="240">
        <f>Reported!U125</f>
        <v>0</v>
      </c>
      <c r="X185" s="241">
        <f>Reported!V125</f>
        <v>0</v>
      </c>
      <c r="Y185" s="169">
        <f>Reported!W125</f>
        <v>0</v>
      </c>
      <c r="Z185" s="240">
        <f>Reported!X125</f>
        <v>0</v>
      </c>
      <c r="AA185" s="240">
        <f>Reported!Y125</f>
        <v>0</v>
      </c>
      <c r="AB185" s="241">
        <f>Reported!Z125</f>
        <v>0</v>
      </c>
      <c r="AC185" s="169">
        <f>Reported!AA125</f>
        <v>0</v>
      </c>
      <c r="AD185" s="258">
        <f t="shared" ref="AD185:AV185" si="717">AC185-AD156-AD145</f>
        <v>0</v>
      </c>
      <c r="AE185" s="258">
        <f t="shared" si="717"/>
        <v>0</v>
      </c>
      <c r="AF185" s="259">
        <f t="shared" si="717"/>
        <v>0</v>
      </c>
      <c r="AG185" s="170">
        <f t="shared" si="717"/>
        <v>0</v>
      </c>
      <c r="AH185" s="258">
        <f t="shared" si="717"/>
        <v>0</v>
      </c>
      <c r="AI185" s="258">
        <f t="shared" si="717"/>
        <v>0</v>
      </c>
      <c r="AJ185" s="259">
        <f t="shared" si="717"/>
        <v>0</v>
      </c>
      <c r="AK185" s="170">
        <f t="shared" si="717"/>
        <v>0</v>
      </c>
      <c r="AL185" s="258">
        <f t="shared" si="717"/>
        <v>0</v>
      </c>
      <c r="AM185" s="258">
        <f t="shared" si="717"/>
        <v>0</v>
      </c>
      <c r="AN185" s="259">
        <f t="shared" si="717"/>
        <v>0</v>
      </c>
      <c r="AO185" s="88">
        <f t="shared" si="717"/>
        <v>0</v>
      </c>
      <c r="AP185" s="86">
        <f t="shared" si="717"/>
        <v>0</v>
      </c>
      <c r="AQ185" s="258">
        <f t="shared" si="717"/>
        <v>0</v>
      </c>
      <c r="AR185" s="259">
        <f t="shared" si="717"/>
        <v>0</v>
      </c>
      <c r="AS185" s="88">
        <f t="shared" si="717"/>
        <v>0</v>
      </c>
      <c r="AT185" s="86">
        <f t="shared" si="717"/>
        <v>0</v>
      </c>
      <c r="AU185" s="258">
        <f t="shared" si="717"/>
        <v>0</v>
      </c>
      <c r="AV185" s="259">
        <f t="shared" si="717"/>
        <v>0</v>
      </c>
      <c r="AW185" s="85"/>
      <c r="BR185" s="77">
        <f t="shared" si="644"/>
        <v>182</v>
      </c>
    </row>
    <row r="186" spans="1:70" ht="12" customHeight="1" x14ac:dyDescent="0.15">
      <c r="A186" s="85"/>
      <c r="B186" s="188" t="str">
        <f>Reported!A126</f>
        <v>Intangible assets</v>
      </c>
      <c r="C186" s="85"/>
      <c r="D186" s="85"/>
      <c r="E186" s="169">
        <f>Reported!C126</f>
        <v>0</v>
      </c>
      <c r="F186" s="240">
        <f>Reported!D126</f>
        <v>0</v>
      </c>
      <c r="G186" s="240">
        <f>Reported!E126</f>
        <v>0</v>
      </c>
      <c r="H186" s="241">
        <f>Reported!F126</f>
        <v>0</v>
      </c>
      <c r="I186" s="169">
        <f>Reported!G126</f>
        <v>0</v>
      </c>
      <c r="J186" s="240">
        <f>Reported!H126</f>
        <v>0</v>
      </c>
      <c r="K186" s="240">
        <f>Reported!I126</f>
        <v>0</v>
      </c>
      <c r="L186" s="241">
        <f>Reported!J126</f>
        <v>0</v>
      </c>
      <c r="M186" s="169">
        <f>Reported!K126</f>
        <v>0</v>
      </c>
      <c r="N186" s="240">
        <f>Reported!L126</f>
        <v>0</v>
      </c>
      <c r="O186" s="240">
        <f>Reported!M126</f>
        <v>0</v>
      </c>
      <c r="P186" s="241">
        <f>Reported!N126</f>
        <v>0</v>
      </c>
      <c r="Q186" s="169">
        <f>Reported!O126</f>
        <v>0</v>
      </c>
      <c r="R186" s="240">
        <f>Reported!P126</f>
        <v>0</v>
      </c>
      <c r="S186" s="240">
        <f>Reported!Q126</f>
        <v>0</v>
      </c>
      <c r="T186" s="241">
        <f>Reported!R126</f>
        <v>0</v>
      </c>
      <c r="U186" s="169">
        <f>Reported!S126</f>
        <v>0</v>
      </c>
      <c r="V186" s="240">
        <f>Reported!T126</f>
        <v>0</v>
      </c>
      <c r="W186" s="240">
        <f>Reported!U126</f>
        <v>0</v>
      </c>
      <c r="X186" s="241">
        <f>Reported!V126</f>
        <v>0</v>
      </c>
      <c r="Y186" s="169">
        <f>Reported!W126</f>
        <v>0</v>
      </c>
      <c r="Z186" s="240">
        <f>Reported!X126</f>
        <v>0</v>
      </c>
      <c r="AA186" s="240">
        <f>Reported!Y126</f>
        <v>0</v>
      </c>
      <c r="AB186" s="241">
        <f>Reported!Z126</f>
        <v>0</v>
      </c>
      <c r="AC186" s="169">
        <f>Reported!AA126</f>
        <v>0</v>
      </c>
      <c r="AD186" s="258">
        <f t="shared" ref="AD186:AV186" si="718">AC186-AD157-AD146</f>
        <v>0</v>
      </c>
      <c r="AE186" s="258">
        <f t="shared" si="718"/>
        <v>0</v>
      </c>
      <c r="AF186" s="259">
        <f t="shared" si="718"/>
        <v>0</v>
      </c>
      <c r="AG186" s="170">
        <f t="shared" si="718"/>
        <v>0</v>
      </c>
      <c r="AH186" s="258">
        <f t="shared" si="718"/>
        <v>0</v>
      </c>
      <c r="AI186" s="258">
        <f t="shared" si="718"/>
        <v>0</v>
      </c>
      <c r="AJ186" s="259">
        <f t="shared" si="718"/>
        <v>0</v>
      </c>
      <c r="AK186" s="170">
        <f t="shared" si="718"/>
        <v>0</v>
      </c>
      <c r="AL186" s="258">
        <f t="shared" si="718"/>
        <v>0</v>
      </c>
      <c r="AM186" s="258">
        <f t="shared" si="718"/>
        <v>0</v>
      </c>
      <c r="AN186" s="259">
        <f t="shared" si="718"/>
        <v>0</v>
      </c>
      <c r="AO186" s="88">
        <f t="shared" si="718"/>
        <v>0</v>
      </c>
      <c r="AP186" s="86">
        <f t="shared" si="718"/>
        <v>0</v>
      </c>
      <c r="AQ186" s="258">
        <f t="shared" si="718"/>
        <v>0</v>
      </c>
      <c r="AR186" s="259">
        <f t="shared" si="718"/>
        <v>0</v>
      </c>
      <c r="AS186" s="88">
        <f t="shared" si="718"/>
        <v>0</v>
      </c>
      <c r="AT186" s="86">
        <f t="shared" si="718"/>
        <v>0</v>
      </c>
      <c r="AU186" s="258">
        <f t="shared" si="718"/>
        <v>0</v>
      </c>
      <c r="AV186" s="259">
        <f t="shared" si="718"/>
        <v>0</v>
      </c>
      <c r="AW186" s="85"/>
      <c r="BR186" s="77">
        <f t="shared" si="644"/>
        <v>183</v>
      </c>
    </row>
    <row r="187" spans="1:70" ht="12" customHeight="1" x14ac:dyDescent="0.15">
      <c r="A187" s="85"/>
      <c r="B187" s="188" t="str">
        <f>Reported!A127</f>
        <v>Goodwill</v>
      </c>
      <c r="C187" s="85"/>
      <c r="D187" s="85"/>
      <c r="E187" s="169">
        <f>Reported!C127</f>
        <v>0</v>
      </c>
      <c r="F187" s="240">
        <f>Reported!D127</f>
        <v>0</v>
      </c>
      <c r="G187" s="240">
        <f>Reported!E127</f>
        <v>0</v>
      </c>
      <c r="H187" s="241">
        <f>Reported!F127</f>
        <v>0</v>
      </c>
      <c r="I187" s="169">
        <f>Reported!G127</f>
        <v>0</v>
      </c>
      <c r="J187" s="240">
        <f>Reported!H127</f>
        <v>0</v>
      </c>
      <c r="K187" s="240">
        <f>Reported!I127</f>
        <v>0</v>
      </c>
      <c r="L187" s="241">
        <f>Reported!J127</f>
        <v>0</v>
      </c>
      <c r="M187" s="169">
        <f>Reported!K127</f>
        <v>0</v>
      </c>
      <c r="N187" s="240">
        <f>Reported!L127</f>
        <v>0</v>
      </c>
      <c r="O187" s="240">
        <f>Reported!M127</f>
        <v>0</v>
      </c>
      <c r="P187" s="241">
        <f>Reported!N127</f>
        <v>0</v>
      </c>
      <c r="Q187" s="169">
        <f>Reported!O127</f>
        <v>0</v>
      </c>
      <c r="R187" s="240">
        <f>Reported!P127</f>
        <v>0</v>
      </c>
      <c r="S187" s="240">
        <f>Reported!Q127</f>
        <v>0</v>
      </c>
      <c r="T187" s="241">
        <f>Reported!R127</f>
        <v>0</v>
      </c>
      <c r="U187" s="169">
        <f>Reported!S127</f>
        <v>0</v>
      </c>
      <c r="V187" s="240">
        <f>Reported!T127</f>
        <v>0</v>
      </c>
      <c r="W187" s="240">
        <f>Reported!U127</f>
        <v>0</v>
      </c>
      <c r="X187" s="241">
        <f>Reported!V127</f>
        <v>0</v>
      </c>
      <c r="Y187" s="169">
        <f>Reported!W127</f>
        <v>0</v>
      </c>
      <c r="Z187" s="240">
        <f>Reported!X127</f>
        <v>0</v>
      </c>
      <c r="AA187" s="240">
        <f>Reported!Y127</f>
        <v>0</v>
      </c>
      <c r="AB187" s="241">
        <f>Reported!Z127</f>
        <v>0</v>
      </c>
      <c r="AC187" s="169">
        <f>Reported!AA127</f>
        <v>0</v>
      </c>
      <c r="AD187" s="258">
        <f t="shared" ref="AD187:AV187" si="719">AC187</f>
        <v>0</v>
      </c>
      <c r="AE187" s="258">
        <f t="shared" si="719"/>
        <v>0</v>
      </c>
      <c r="AF187" s="259">
        <f t="shared" si="719"/>
        <v>0</v>
      </c>
      <c r="AG187" s="170">
        <f t="shared" si="719"/>
        <v>0</v>
      </c>
      <c r="AH187" s="258">
        <f t="shared" si="719"/>
        <v>0</v>
      </c>
      <c r="AI187" s="258">
        <f t="shared" si="719"/>
        <v>0</v>
      </c>
      <c r="AJ187" s="259">
        <f t="shared" si="719"/>
        <v>0</v>
      </c>
      <c r="AK187" s="170">
        <f t="shared" si="719"/>
        <v>0</v>
      </c>
      <c r="AL187" s="258">
        <f t="shared" si="719"/>
        <v>0</v>
      </c>
      <c r="AM187" s="258">
        <f t="shared" si="719"/>
        <v>0</v>
      </c>
      <c r="AN187" s="259">
        <f t="shared" si="719"/>
        <v>0</v>
      </c>
      <c r="AO187" s="88">
        <f t="shared" si="719"/>
        <v>0</v>
      </c>
      <c r="AP187" s="86">
        <f t="shared" si="719"/>
        <v>0</v>
      </c>
      <c r="AQ187" s="258">
        <f t="shared" si="719"/>
        <v>0</v>
      </c>
      <c r="AR187" s="259">
        <f t="shared" si="719"/>
        <v>0</v>
      </c>
      <c r="AS187" s="88">
        <f t="shared" si="719"/>
        <v>0</v>
      </c>
      <c r="AT187" s="86">
        <f t="shared" si="719"/>
        <v>0</v>
      </c>
      <c r="AU187" s="258">
        <f t="shared" si="719"/>
        <v>0</v>
      </c>
      <c r="AV187" s="259">
        <f t="shared" si="719"/>
        <v>0</v>
      </c>
      <c r="AW187" s="85"/>
      <c r="BR187" s="77">
        <f t="shared" si="644"/>
        <v>184</v>
      </c>
    </row>
    <row r="188" spans="1:70" s="85" customFormat="1" ht="12" customHeight="1" x14ac:dyDescent="0.25">
      <c r="A188" s="188"/>
      <c r="B188" s="85" t="str">
        <f>Reported!A128</f>
        <v>Other Assets</v>
      </c>
      <c r="E188" s="238">
        <f>Reported!C128</f>
        <v>0</v>
      </c>
      <c r="F188" s="242">
        <f>Reported!D128</f>
        <v>0</v>
      </c>
      <c r="G188" s="242">
        <f>Reported!E128</f>
        <v>0</v>
      </c>
      <c r="H188" s="243">
        <f>Reported!F128</f>
        <v>0</v>
      </c>
      <c r="I188" s="238">
        <f>Reported!G128</f>
        <v>0</v>
      </c>
      <c r="J188" s="242">
        <f>Reported!H128</f>
        <v>0</v>
      </c>
      <c r="K188" s="242">
        <f>Reported!I128</f>
        <v>0</v>
      </c>
      <c r="L188" s="243">
        <f>Reported!J128</f>
        <v>0</v>
      </c>
      <c r="M188" s="238">
        <f>Reported!K128</f>
        <v>0</v>
      </c>
      <c r="N188" s="242">
        <f>Reported!L128</f>
        <v>0</v>
      </c>
      <c r="O188" s="242">
        <f>Reported!M128</f>
        <v>0</v>
      </c>
      <c r="P188" s="243">
        <f>Reported!N128</f>
        <v>0</v>
      </c>
      <c r="Q188" s="238">
        <f>Reported!O128</f>
        <v>0</v>
      </c>
      <c r="R188" s="242">
        <f>Reported!P128</f>
        <v>0</v>
      </c>
      <c r="S188" s="242">
        <f>Reported!Q128</f>
        <v>0</v>
      </c>
      <c r="T188" s="243">
        <f>Reported!R128</f>
        <v>0</v>
      </c>
      <c r="U188" s="238">
        <f>Reported!S128</f>
        <v>0</v>
      </c>
      <c r="V188" s="242">
        <f>Reported!T128</f>
        <v>0</v>
      </c>
      <c r="W188" s="242">
        <f>Reported!U128</f>
        <v>0</v>
      </c>
      <c r="X188" s="243">
        <f>Reported!V128</f>
        <v>0</v>
      </c>
      <c r="Y188" s="238">
        <f>Reported!W128</f>
        <v>0</v>
      </c>
      <c r="Z188" s="242">
        <f>Reported!X128</f>
        <v>0</v>
      </c>
      <c r="AA188" s="242">
        <f>Reported!Y128</f>
        <v>0</v>
      </c>
      <c r="AB188" s="243">
        <f>Reported!Z128</f>
        <v>0</v>
      </c>
      <c r="AC188" s="238">
        <f>Reported!AA128</f>
        <v>0</v>
      </c>
      <c r="AD188" s="274">
        <f t="shared" ref="AD188" si="720">AC188</f>
        <v>0</v>
      </c>
      <c r="AE188" s="274">
        <f t="shared" ref="AE188" si="721">AD188</f>
        <v>0</v>
      </c>
      <c r="AF188" s="275">
        <f t="shared" ref="AF188" si="722">AE188</f>
        <v>0</v>
      </c>
      <c r="AG188" s="273">
        <f t="shared" ref="AG188" si="723">AF188</f>
        <v>0</v>
      </c>
      <c r="AH188" s="274">
        <f t="shared" ref="AH188" si="724">AG188</f>
        <v>0</v>
      </c>
      <c r="AI188" s="274">
        <f t="shared" ref="AI188" si="725">AH188</f>
        <v>0</v>
      </c>
      <c r="AJ188" s="275">
        <f t="shared" ref="AJ188" si="726">AI188</f>
        <v>0</v>
      </c>
      <c r="AK188" s="273">
        <f t="shared" ref="AK188" si="727">AJ188</f>
        <v>0</v>
      </c>
      <c r="AL188" s="274">
        <f t="shared" ref="AL188" si="728">AK188</f>
        <v>0</v>
      </c>
      <c r="AM188" s="274">
        <f t="shared" ref="AM188" si="729">AL188</f>
        <v>0</v>
      </c>
      <c r="AN188" s="275">
        <f t="shared" ref="AN188" si="730">AM188</f>
        <v>0</v>
      </c>
      <c r="AO188" s="18">
        <f t="shared" ref="AO188" si="731">AN188</f>
        <v>0</v>
      </c>
      <c r="AP188" s="19">
        <f t="shared" ref="AP188" si="732">AO188</f>
        <v>0</v>
      </c>
      <c r="AQ188" s="274">
        <f t="shared" ref="AQ188" si="733">AP188</f>
        <v>0</v>
      </c>
      <c r="AR188" s="275">
        <f t="shared" ref="AR188" si="734">AQ188</f>
        <v>0</v>
      </c>
      <c r="AS188" s="18">
        <f t="shared" ref="AS188" si="735">AR188</f>
        <v>0</v>
      </c>
      <c r="AT188" s="19">
        <f t="shared" ref="AT188" si="736">AS188</f>
        <v>0</v>
      </c>
      <c r="AU188" s="274">
        <f t="shared" ref="AU188" si="737">AT188</f>
        <v>0</v>
      </c>
      <c r="AV188" s="275">
        <f t="shared" ref="AV188" si="738">AU188</f>
        <v>0</v>
      </c>
      <c r="BE188" s="188"/>
      <c r="BR188" s="77">
        <f t="shared" si="644"/>
        <v>185</v>
      </c>
    </row>
    <row r="189" spans="1:70" ht="12" customHeight="1" x14ac:dyDescent="0.15">
      <c r="A189" s="6" t="str">
        <f>Reported!A129</f>
        <v>Total Assets</v>
      </c>
      <c r="B189" s="188"/>
      <c r="C189" s="85"/>
      <c r="D189" s="85"/>
      <c r="E189" s="169">
        <f t="shared" ref="E189:T189" si="739">SUM(E183:E188)</f>
        <v>0</v>
      </c>
      <c r="F189" s="240">
        <f t="shared" si="739"/>
        <v>0</v>
      </c>
      <c r="G189" s="240">
        <f t="shared" si="739"/>
        <v>0</v>
      </c>
      <c r="H189" s="241">
        <f t="shared" si="739"/>
        <v>0</v>
      </c>
      <c r="I189" s="169">
        <f t="shared" si="739"/>
        <v>0</v>
      </c>
      <c r="J189" s="240">
        <f t="shared" si="739"/>
        <v>0</v>
      </c>
      <c r="K189" s="240">
        <f t="shared" si="739"/>
        <v>0</v>
      </c>
      <c r="L189" s="241">
        <f t="shared" si="739"/>
        <v>0</v>
      </c>
      <c r="M189" s="169">
        <f t="shared" si="739"/>
        <v>0</v>
      </c>
      <c r="N189" s="240">
        <f t="shared" si="739"/>
        <v>0</v>
      </c>
      <c r="O189" s="240">
        <f t="shared" si="739"/>
        <v>0</v>
      </c>
      <c r="P189" s="241">
        <f t="shared" si="739"/>
        <v>0</v>
      </c>
      <c r="Q189" s="169">
        <f t="shared" si="739"/>
        <v>0</v>
      </c>
      <c r="R189" s="240">
        <f t="shared" si="739"/>
        <v>0</v>
      </c>
      <c r="S189" s="240">
        <f t="shared" si="739"/>
        <v>0</v>
      </c>
      <c r="T189" s="241">
        <f t="shared" si="739"/>
        <v>0</v>
      </c>
      <c r="U189" s="169">
        <f t="shared" ref="U189:V189" si="740">SUM(U183:U188)</f>
        <v>0</v>
      </c>
      <c r="V189" s="240">
        <f t="shared" si="740"/>
        <v>0</v>
      </c>
      <c r="W189" s="240">
        <f t="shared" ref="W189" si="741">SUM(W183:W188)</f>
        <v>0</v>
      </c>
      <c r="X189" s="241">
        <f t="shared" ref="X189:AA189" si="742">SUM(X183:X188)</f>
        <v>0</v>
      </c>
      <c r="Y189" s="169">
        <f t="shared" si="742"/>
        <v>0</v>
      </c>
      <c r="Z189" s="240">
        <f t="shared" si="742"/>
        <v>0</v>
      </c>
      <c r="AA189" s="240">
        <f t="shared" si="742"/>
        <v>0</v>
      </c>
      <c r="AB189" s="241">
        <f t="shared" ref="AB189:AC189" si="743">SUM(AB183:AB188)</f>
        <v>0</v>
      </c>
      <c r="AC189" s="169">
        <f t="shared" si="743"/>
        <v>0</v>
      </c>
      <c r="AD189" s="258" t="e">
        <f t="shared" ref="AD189:AR189" si="744">SUM(AD183:AD188)</f>
        <v>#DIV/0!</v>
      </c>
      <c r="AE189" s="258" t="e">
        <f t="shared" si="744"/>
        <v>#DIV/0!</v>
      </c>
      <c r="AF189" s="259" t="e">
        <f t="shared" si="744"/>
        <v>#DIV/0!</v>
      </c>
      <c r="AG189" s="170" t="e">
        <f t="shared" si="744"/>
        <v>#DIV/0!</v>
      </c>
      <c r="AH189" s="258" t="e">
        <f t="shared" si="744"/>
        <v>#DIV/0!</v>
      </c>
      <c r="AI189" s="258" t="e">
        <f t="shared" si="744"/>
        <v>#DIV/0!</v>
      </c>
      <c r="AJ189" s="259" t="e">
        <f t="shared" si="744"/>
        <v>#DIV/0!</v>
      </c>
      <c r="AK189" s="170" t="e">
        <f t="shared" si="744"/>
        <v>#DIV/0!</v>
      </c>
      <c r="AL189" s="258" t="e">
        <f t="shared" si="744"/>
        <v>#DIV/0!</v>
      </c>
      <c r="AM189" s="258" t="e">
        <f t="shared" si="744"/>
        <v>#DIV/0!</v>
      </c>
      <c r="AN189" s="259" t="e">
        <f t="shared" si="744"/>
        <v>#DIV/0!</v>
      </c>
      <c r="AO189" s="88" t="e">
        <f t="shared" si="744"/>
        <v>#DIV/0!</v>
      </c>
      <c r="AP189" s="86" t="e">
        <f t="shared" si="744"/>
        <v>#DIV/0!</v>
      </c>
      <c r="AQ189" s="258" t="e">
        <f t="shared" si="744"/>
        <v>#DIV/0!</v>
      </c>
      <c r="AR189" s="259" t="e">
        <f t="shared" si="744"/>
        <v>#DIV/0!</v>
      </c>
      <c r="AS189" s="88" t="e">
        <f t="shared" ref="AS189:AV189" si="745">SUM(AS183:AS188)</f>
        <v>#DIV/0!</v>
      </c>
      <c r="AT189" s="86" t="e">
        <f t="shared" si="745"/>
        <v>#DIV/0!</v>
      </c>
      <c r="AU189" s="258" t="e">
        <f t="shared" si="745"/>
        <v>#DIV/0!</v>
      </c>
      <c r="AV189" s="259" t="e">
        <f t="shared" si="745"/>
        <v>#DIV/0!</v>
      </c>
      <c r="AW189" s="85"/>
      <c r="BR189" s="77">
        <f t="shared" si="644"/>
        <v>186</v>
      </c>
    </row>
    <row r="190" spans="1:70" ht="12" customHeight="1" x14ac:dyDescent="0.15">
      <c r="A190" s="85"/>
      <c r="B190" s="188"/>
      <c r="C190" s="85"/>
      <c r="D190" s="85"/>
      <c r="E190" s="125"/>
      <c r="F190" s="140"/>
      <c r="G190" s="140"/>
      <c r="H190" s="140"/>
      <c r="I190" s="125"/>
      <c r="J190" s="140"/>
      <c r="K190" s="140"/>
      <c r="L190" s="141"/>
      <c r="M190" s="125"/>
      <c r="N190" s="140"/>
      <c r="O190" s="140"/>
      <c r="P190" s="141"/>
      <c r="Q190" s="125"/>
      <c r="R190" s="140"/>
      <c r="S190" s="140"/>
      <c r="T190" s="141"/>
      <c r="U190" s="125"/>
      <c r="V190" s="140"/>
      <c r="W190" s="140"/>
      <c r="X190" s="141"/>
      <c r="Y190" s="125"/>
      <c r="Z190" s="140"/>
      <c r="AA190" s="140"/>
      <c r="AB190" s="141"/>
      <c r="AC190" s="125"/>
      <c r="AD190" s="155"/>
      <c r="AE190" s="155"/>
      <c r="AF190" s="156"/>
      <c r="AG190" s="130"/>
      <c r="AH190" s="155"/>
      <c r="AI190" s="155"/>
      <c r="AJ190" s="156"/>
      <c r="AK190" s="130"/>
      <c r="AL190" s="155"/>
      <c r="AM190" s="155"/>
      <c r="AN190" s="156"/>
      <c r="AO190" s="131"/>
      <c r="AP190" s="157"/>
      <c r="AQ190" s="155"/>
      <c r="AR190" s="156"/>
      <c r="AS190" s="131"/>
      <c r="AT190" s="157"/>
      <c r="AU190" s="155"/>
      <c r="AV190" s="156"/>
      <c r="AW190" s="85"/>
      <c r="BR190" s="77">
        <f t="shared" si="644"/>
        <v>187</v>
      </c>
    </row>
    <row r="191" spans="1:70" ht="12" customHeight="1" x14ac:dyDescent="0.15">
      <c r="A191" s="85"/>
      <c r="B191" s="188" t="str">
        <f>Reported!A131</f>
        <v>Bank indebtedness</v>
      </c>
      <c r="C191" s="85"/>
      <c r="D191" s="85"/>
      <c r="E191" s="169">
        <f>Reported!C131</f>
        <v>0</v>
      </c>
      <c r="F191" s="240">
        <f>Reported!D131</f>
        <v>0</v>
      </c>
      <c r="G191" s="240">
        <f>Reported!E131</f>
        <v>0</v>
      </c>
      <c r="H191" s="241">
        <f>Reported!F131</f>
        <v>0</v>
      </c>
      <c r="I191" s="169">
        <f>Reported!G131</f>
        <v>0</v>
      </c>
      <c r="J191" s="240">
        <f>Reported!H131</f>
        <v>0</v>
      </c>
      <c r="K191" s="240">
        <f>Reported!I131</f>
        <v>0</v>
      </c>
      <c r="L191" s="241">
        <f>Reported!J131</f>
        <v>0</v>
      </c>
      <c r="M191" s="169">
        <f>Reported!K131</f>
        <v>0</v>
      </c>
      <c r="N191" s="240">
        <f>Reported!L131</f>
        <v>0</v>
      </c>
      <c r="O191" s="240">
        <f>Reported!M131</f>
        <v>0</v>
      </c>
      <c r="P191" s="241">
        <f>Reported!N131</f>
        <v>0</v>
      </c>
      <c r="Q191" s="169">
        <f>Reported!O131</f>
        <v>0</v>
      </c>
      <c r="R191" s="240">
        <f>Reported!P131</f>
        <v>0</v>
      </c>
      <c r="S191" s="240">
        <f>Reported!Q131</f>
        <v>0</v>
      </c>
      <c r="T191" s="241">
        <f>Reported!R131</f>
        <v>0</v>
      </c>
      <c r="U191" s="169">
        <f>Reported!S131</f>
        <v>0</v>
      </c>
      <c r="V191" s="240">
        <f>Reported!T131</f>
        <v>0</v>
      </c>
      <c r="W191" s="240">
        <f>Reported!U131</f>
        <v>0</v>
      </c>
      <c r="X191" s="241">
        <f>Reported!V131</f>
        <v>0</v>
      </c>
      <c r="Y191" s="169">
        <f>Reported!W131</f>
        <v>0</v>
      </c>
      <c r="Z191" s="240">
        <f>Reported!X131</f>
        <v>0</v>
      </c>
      <c r="AA191" s="240">
        <f>Reported!Y131</f>
        <v>0</v>
      </c>
      <c r="AB191" s="241">
        <f>Reported!Z131</f>
        <v>0</v>
      </c>
      <c r="AC191" s="169">
        <f>Reported!AA131</f>
        <v>0</v>
      </c>
      <c r="AD191" s="258">
        <f t="shared" ref="AD191:AR191" si="746">AC191</f>
        <v>0</v>
      </c>
      <c r="AE191" s="258">
        <f t="shared" si="746"/>
        <v>0</v>
      </c>
      <c r="AF191" s="259">
        <f t="shared" si="746"/>
        <v>0</v>
      </c>
      <c r="AG191" s="170">
        <f t="shared" si="746"/>
        <v>0</v>
      </c>
      <c r="AH191" s="258">
        <f t="shared" si="746"/>
        <v>0</v>
      </c>
      <c r="AI191" s="258">
        <f t="shared" si="746"/>
        <v>0</v>
      </c>
      <c r="AJ191" s="259">
        <f t="shared" si="746"/>
        <v>0</v>
      </c>
      <c r="AK191" s="170">
        <f t="shared" si="746"/>
        <v>0</v>
      </c>
      <c r="AL191" s="258">
        <f t="shared" si="746"/>
        <v>0</v>
      </c>
      <c r="AM191" s="258">
        <f t="shared" si="746"/>
        <v>0</v>
      </c>
      <c r="AN191" s="259">
        <f t="shared" si="746"/>
        <v>0</v>
      </c>
      <c r="AO191" s="88">
        <f t="shared" si="746"/>
        <v>0</v>
      </c>
      <c r="AP191" s="86">
        <f t="shared" si="746"/>
        <v>0</v>
      </c>
      <c r="AQ191" s="258">
        <f t="shared" si="746"/>
        <v>0</v>
      </c>
      <c r="AR191" s="259">
        <f t="shared" si="746"/>
        <v>0</v>
      </c>
      <c r="AS191" s="88">
        <f t="shared" ref="AS191" si="747">AR191</f>
        <v>0</v>
      </c>
      <c r="AT191" s="86">
        <f t="shared" ref="AT191" si="748">AS191</f>
        <v>0</v>
      </c>
      <c r="AU191" s="258">
        <f t="shared" ref="AU191" si="749">AT191</f>
        <v>0</v>
      </c>
      <c r="AV191" s="259">
        <f t="shared" ref="AV191" si="750">AU191</f>
        <v>0</v>
      </c>
      <c r="AW191" s="85"/>
      <c r="BR191" s="77">
        <f t="shared" si="644"/>
        <v>188</v>
      </c>
    </row>
    <row r="192" spans="1:70" ht="12" customHeight="1" x14ac:dyDescent="0.15">
      <c r="A192" s="85"/>
      <c r="B192" s="188" t="str">
        <f>Reported!A132</f>
        <v>Trade and other payables</v>
      </c>
      <c r="C192" s="85"/>
      <c r="D192" s="85"/>
      <c r="E192" s="169">
        <f>Reported!C132</f>
        <v>0</v>
      </c>
      <c r="F192" s="240">
        <f>Reported!D132</f>
        <v>0</v>
      </c>
      <c r="G192" s="240">
        <f>Reported!E132</f>
        <v>0</v>
      </c>
      <c r="H192" s="241">
        <f>Reported!F132</f>
        <v>0</v>
      </c>
      <c r="I192" s="169">
        <f>Reported!G132</f>
        <v>0</v>
      </c>
      <c r="J192" s="240">
        <f>Reported!H132</f>
        <v>0</v>
      </c>
      <c r="K192" s="240">
        <f>Reported!I132</f>
        <v>0</v>
      </c>
      <c r="L192" s="241">
        <f>Reported!J132</f>
        <v>0</v>
      </c>
      <c r="M192" s="169">
        <f>Reported!K132</f>
        <v>0</v>
      </c>
      <c r="N192" s="240">
        <f>Reported!L132</f>
        <v>0</v>
      </c>
      <c r="O192" s="240">
        <f>Reported!M132</f>
        <v>0</v>
      </c>
      <c r="P192" s="241">
        <f>Reported!N132</f>
        <v>0</v>
      </c>
      <c r="Q192" s="169">
        <f>Reported!O132</f>
        <v>0</v>
      </c>
      <c r="R192" s="240">
        <f>Reported!P132</f>
        <v>0</v>
      </c>
      <c r="S192" s="240">
        <f>Reported!Q132</f>
        <v>0</v>
      </c>
      <c r="T192" s="241">
        <f>Reported!R132</f>
        <v>0</v>
      </c>
      <c r="U192" s="169">
        <f>Reported!S132</f>
        <v>0</v>
      </c>
      <c r="V192" s="240">
        <f>Reported!T132</f>
        <v>0</v>
      </c>
      <c r="W192" s="240">
        <f>Reported!U132</f>
        <v>0</v>
      </c>
      <c r="X192" s="241">
        <f>Reported!V132</f>
        <v>0</v>
      </c>
      <c r="Y192" s="169">
        <f>Reported!W132</f>
        <v>0</v>
      </c>
      <c r="Z192" s="240">
        <f>Reported!X132</f>
        <v>0</v>
      </c>
      <c r="AA192" s="240">
        <f>Reported!Y132</f>
        <v>0</v>
      </c>
      <c r="AB192" s="241">
        <f>Reported!Z132</f>
        <v>0</v>
      </c>
      <c r="AC192" s="169">
        <f>Reported!AA132</f>
        <v>0</v>
      </c>
      <c r="AD192" s="258">
        <f t="shared" ref="AD192:AV192" si="751">AD214*((AD10+AD21+AD59+AD30+AD35+AD15+AD60+AD61)/90)</f>
        <v>0</v>
      </c>
      <c r="AE192" s="258">
        <f t="shared" si="751"/>
        <v>0</v>
      </c>
      <c r="AF192" s="259">
        <f t="shared" si="751"/>
        <v>0</v>
      </c>
      <c r="AG192" s="170">
        <f t="shared" si="751"/>
        <v>0</v>
      </c>
      <c r="AH192" s="258">
        <f t="shared" si="751"/>
        <v>0</v>
      </c>
      <c r="AI192" s="258">
        <f t="shared" si="751"/>
        <v>0</v>
      </c>
      <c r="AJ192" s="259">
        <f t="shared" si="751"/>
        <v>0</v>
      </c>
      <c r="AK192" s="170">
        <f t="shared" si="751"/>
        <v>0</v>
      </c>
      <c r="AL192" s="258">
        <f t="shared" si="751"/>
        <v>0</v>
      </c>
      <c r="AM192" s="258">
        <f t="shared" si="751"/>
        <v>0</v>
      </c>
      <c r="AN192" s="259">
        <f t="shared" si="751"/>
        <v>0</v>
      </c>
      <c r="AO192" s="88">
        <f t="shared" si="751"/>
        <v>0</v>
      </c>
      <c r="AP192" s="86">
        <f t="shared" si="751"/>
        <v>0</v>
      </c>
      <c r="AQ192" s="258">
        <f t="shared" si="751"/>
        <v>0</v>
      </c>
      <c r="AR192" s="259">
        <f t="shared" si="751"/>
        <v>0</v>
      </c>
      <c r="AS192" s="88">
        <f t="shared" si="751"/>
        <v>0</v>
      </c>
      <c r="AT192" s="86">
        <f t="shared" si="751"/>
        <v>0</v>
      </c>
      <c r="AU192" s="258">
        <f t="shared" si="751"/>
        <v>0</v>
      </c>
      <c r="AV192" s="259">
        <f t="shared" si="751"/>
        <v>0</v>
      </c>
      <c r="AW192" s="85"/>
      <c r="BR192" s="77">
        <f t="shared" si="644"/>
        <v>189</v>
      </c>
    </row>
    <row r="193" spans="1:70" ht="12" customHeight="1" x14ac:dyDescent="0.15">
      <c r="A193" s="85"/>
      <c r="B193" s="188" t="str">
        <f>Reported!A133</f>
        <v>Deferred Revenue</v>
      </c>
      <c r="C193" s="85"/>
      <c r="D193" s="85"/>
      <c r="E193" s="169">
        <f>Reported!C133</f>
        <v>0</v>
      </c>
      <c r="F193" s="240">
        <f>Reported!D133</f>
        <v>0</v>
      </c>
      <c r="G193" s="240">
        <f>Reported!E133</f>
        <v>0</v>
      </c>
      <c r="H193" s="241">
        <f>Reported!F133</f>
        <v>0</v>
      </c>
      <c r="I193" s="169">
        <f>Reported!G133</f>
        <v>0</v>
      </c>
      <c r="J193" s="240">
        <f>Reported!H133</f>
        <v>0</v>
      </c>
      <c r="K193" s="240">
        <f>Reported!I133</f>
        <v>0</v>
      </c>
      <c r="L193" s="241">
        <f>Reported!J133</f>
        <v>0</v>
      </c>
      <c r="M193" s="169">
        <f>Reported!K133</f>
        <v>0</v>
      </c>
      <c r="N193" s="240">
        <f>Reported!L133</f>
        <v>0</v>
      </c>
      <c r="O193" s="240">
        <f>Reported!M133</f>
        <v>0</v>
      </c>
      <c r="P193" s="241">
        <f>Reported!N133</f>
        <v>0</v>
      </c>
      <c r="Q193" s="169">
        <f>Reported!O133</f>
        <v>0</v>
      </c>
      <c r="R193" s="240">
        <f>Reported!P133</f>
        <v>0</v>
      </c>
      <c r="S193" s="240">
        <f>Reported!Q133</f>
        <v>0</v>
      </c>
      <c r="T193" s="241">
        <f>Reported!R133</f>
        <v>0</v>
      </c>
      <c r="U193" s="169">
        <f>Reported!S133</f>
        <v>0</v>
      </c>
      <c r="V193" s="240">
        <f>Reported!T133</f>
        <v>0</v>
      </c>
      <c r="W193" s="240">
        <f>Reported!U133</f>
        <v>0</v>
      </c>
      <c r="X193" s="241">
        <f>Reported!V133</f>
        <v>0</v>
      </c>
      <c r="Y193" s="169">
        <f>Reported!W133</f>
        <v>0</v>
      </c>
      <c r="Z193" s="240">
        <f>Reported!X133</f>
        <v>0</v>
      </c>
      <c r="AA193" s="240">
        <f>Reported!Y133</f>
        <v>0</v>
      </c>
      <c r="AB193" s="241">
        <f>Reported!Z133</f>
        <v>0</v>
      </c>
      <c r="AC193" s="169">
        <f>Reported!AA133</f>
        <v>0</v>
      </c>
      <c r="AD193" s="258" t="e">
        <f t="shared" ref="AD193:AV193" si="752">AC193+AD148</f>
        <v>#DIV/0!</v>
      </c>
      <c r="AE193" s="258" t="e">
        <f t="shared" si="752"/>
        <v>#DIV/0!</v>
      </c>
      <c r="AF193" s="259" t="e">
        <f t="shared" si="752"/>
        <v>#DIV/0!</v>
      </c>
      <c r="AG193" s="170" t="e">
        <f t="shared" si="752"/>
        <v>#DIV/0!</v>
      </c>
      <c r="AH193" s="258" t="e">
        <f t="shared" si="752"/>
        <v>#DIV/0!</v>
      </c>
      <c r="AI193" s="258" t="e">
        <f t="shared" si="752"/>
        <v>#DIV/0!</v>
      </c>
      <c r="AJ193" s="259" t="e">
        <f t="shared" si="752"/>
        <v>#DIV/0!</v>
      </c>
      <c r="AK193" s="170" t="e">
        <f t="shared" si="752"/>
        <v>#DIV/0!</v>
      </c>
      <c r="AL193" s="258" t="e">
        <f t="shared" si="752"/>
        <v>#DIV/0!</v>
      </c>
      <c r="AM193" s="258" t="e">
        <f t="shared" si="752"/>
        <v>#DIV/0!</v>
      </c>
      <c r="AN193" s="259" t="e">
        <f t="shared" si="752"/>
        <v>#DIV/0!</v>
      </c>
      <c r="AO193" s="88" t="e">
        <f t="shared" si="752"/>
        <v>#DIV/0!</v>
      </c>
      <c r="AP193" s="86" t="e">
        <f t="shared" si="752"/>
        <v>#DIV/0!</v>
      </c>
      <c r="AQ193" s="258" t="e">
        <f t="shared" si="752"/>
        <v>#DIV/0!</v>
      </c>
      <c r="AR193" s="259" t="e">
        <f t="shared" si="752"/>
        <v>#DIV/0!</v>
      </c>
      <c r="AS193" s="88" t="e">
        <f t="shared" si="752"/>
        <v>#DIV/0!</v>
      </c>
      <c r="AT193" s="86" t="e">
        <f t="shared" si="752"/>
        <v>#DIV/0!</v>
      </c>
      <c r="AU193" s="258" t="e">
        <f t="shared" si="752"/>
        <v>#DIV/0!</v>
      </c>
      <c r="AV193" s="259" t="e">
        <f t="shared" si="752"/>
        <v>#DIV/0!</v>
      </c>
      <c r="AW193" s="85"/>
      <c r="BR193" s="77">
        <f t="shared" si="644"/>
        <v>190</v>
      </c>
    </row>
    <row r="194" spans="1:70" ht="12" customHeight="1" x14ac:dyDescent="0.15">
      <c r="A194" s="85"/>
      <c r="B194" s="188" t="str">
        <f>Reported!A134</f>
        <v>Current portion of long term debt</v>
      </c>
      <c r="C194" s="85"/>
      <c r="D194" s="85"/>
      <c r="E194" s="169">
        <f>Reported!C134</f>
        <v>0</v>
      </c>
      <c r="F194" s="240">
        <f>Reported!D134</f>
        <v>0</v>
      </c>
      <c r="G194" s="240">
        <f>Reported!E134</f>
        <v>0</v>
      </c>
      <c r="H194" s="241">
        <f>Reported!F134</f>
        <v>0</v>
      </c>
      <c r="I194" s="169">
        <f>Reported!G134</f>
        <v>0</v>
      </c>
      <c r="J194" s="240">
        <f>Reported!H134</f>
        <v>0</v>
      </c>
      <c r="K194" s="240">
        <f>Reported!I134</f>
        <v>0</v>
      </c>
      <c r="L194" s="241">
        <f>Reported!J134</f>
        <v>0</v>
      </c>
      <c r="M194" s="169">
        <f>Reported!K134</f>
        <v>0</v>
      </c>
      <c r="N194" s="240">
        <f>Reported!L134</f>
        <v>0</v>
      </c>
      <c r="O194" s="240">
        <f>Reported!M134</f>
        <v>0</v>
      </c>
      <c r="P194" s="241">
        <f>Reported!N134</f>
        <v>0</v>
      </c>
      <c r="Q194" s="169">
        <f>Reported!O134</f>
        <v>0</v>
      </c>
      <c r="R194" s="240">
        <f>Reported!P134</f>
        <v>0</v>
      </c>
      <c r="S194" s="240">
        <f>Reported!Q134</f>
        <v>0</v>
      </c>
      <c r="T194" s="241">
        <f>Reported!R134</f>
        <v>0</v>
      </c>
      <c r="U194" s="169">
        <f>Reported!S134</f>
        <v>0</v>
      </c>
      <c r="V194" s="240">
        <f>Reported!T134</f>
        <v>0</v>
      </c>
      <c r="W194" s="240">
        <f>Reported!U134</f>
        <v>0</v>
      </c>
      <c r="X194" s="241">
        <f>Reported!V134</f>
        <v>0</v>
      </c>
      <c r="Y194" s="169">
        <f>Reported!W134</f>
        <v>0</v>
      </c>
      <c r="Z194" s="240">
        <f>Reported!X134</f>
        <v>0</v>
      </c>
      <c r="AA194" s="240">
        <f>Reported!Y134</f>
        <v>0</v>
      </c>
      <c r="AB194" s="241">
        <f>Reported!Z134</f>
        <v>0</v>
      </c>
      <c r="AC194" s="169">
        <f>Reported!AA134</f>
        <v>0</v>
      </c>
      <c r="AD194" s="258">
        <f t="shared" ref="AD194:AD195" si="753">AC194</f>
        <v>0</v>
      </c>
      <c r="AE194" s="258">
        <f t="shared" ref="AE194:AE195" si="754">AD194</f>
        <v>0</v>
      </c>
      <c r="AF194" s="259">
        <f t="shared" ref="AF194:AF195" si="755">AE194</f>
        <v>0</v>
      </c>
      <c r="AG194" s="170">
        <f t="shared" ref="AG194:AG195" si="756">AF194</f>
        <v>0</v>
      </c>
      <c r="AH194" s="258">
        <f t="shared" ref="AH194:AH195" si="757">AG194</f>
        <v>0</v>
      </c>
      <c r="AI194" s="258">
        <f t="shared" ref="AI194:AI195" si="758">AH194</f>
        <v>0</v>
      </c>
      <c r="AJ194" s="259">
        <f t="shared" ref="AJ194:AJ195" si="759">AI194</f>
        <v>0</v>
      </c>
      <c r="AK194" s="170">
        <f t="shared" ref="AK194:AK195" si="760">AJ194</f>
        <v>0</v>
      </c>
      <c r="AL194" s="258">
        <f t="shared" ref="AL194:AL195" si="761">AK194</f>
        <v>0</v>
      </c>
      <c r="AM194" s="258">
        <f t="shared" ref="AM194:AM195" si="762">AL194</f>
        <v>0</v>
      </c>
      <c r="AN194" s="259">
        <f t="shared" ref="AN194:AN195" si="763">AM194</f>
        <v>0</v>
      </c>
      <c r="AO194" s="88">
        <f t="shared" ref="AO194:AO195" si="764">AN194</f>
        <v>0</v>
      </c>
      <c r="AP194" s="86">
        <f t="shared" ref="AP194:AP195" si="765">AO194</f>
        <v>0</v>
      </c>
      <c r="AQ194" s="258">
        <f t="shared" ref="AQ194:AQ195" si="766">AP194</f>
        <v>0</v>
      </c>
      <c r="AR194" s="259">
        <f t="shared" ref="AR194:AR195" si="767">AQ194</f>
        <v>0</v>
      </c>
      <c r="AS194" s="88">
        <f t="shared" ref="AS194:AS195" si="768">AR194</f>
        <v>0</v>
      </c>
      <c r="AT194" s="86">
        <f t="shared" ref="AT194:AT195" si="769">AS194</f>
        <v>0</v>
      </c>
      <c r="AU194" s="258">
        <f t="shared" ref="AU194:AU195" si="770">AT194</f>
        <v>0</v>
      </c>
      <c r="AV194" s="259">
        <f t="shared" ref="AV194:AV195" si="771">AU194</f>
        <v>0</v>
      </c>
      <c r="AW194" s="85"/>
      <c r="BR194" s="77">
        <f t="shared" si="644"/>
        <v>191</v>
      </c>
    </row>
    <row r="195" spans="1:70" s="85" customFormat="1" ht="12" customHeight="1" x14ac:dyDescent="0.25">
      <c r="A195" s="188"/>
      <c r="B195" s="85" t="str">
        <f>Reported!A135</f>
        <v>Other</v>
      </c>
      <c r="E195" s="238">
        <f>Reported!C135</f>
        <v>0</v>
      </c>
      <c r="F195" s="242">
        <f>Reported!D135</f>
        <v>0</v>
      </c>
      <c r="G195" s="242">
        <f>Reported!E135</f>
        <v>0</v>
      </c>
      <c r="H195" s="243">
        <f>Reported!F135</f>
        <v>0</v>
      </c>
      <c r="I195" s="238">
        <f>Reported!G135</f>
        <v>0</v>
      </c>
      <c r="J195" s="242">
        <f>Reported!H135</f>
        <v>0</v>
      </c>
      <c r="K195" s="242">
        <f>Reported!I135</f>
        <v>0</v>
      </c>
      <c r="L195" s="243">
        <f>Reported!J135</f>
        <v>0</v>
      </c>
      <c r="M195" s="238">
        <f>Reported!K135</f>
        <v>0</v>
      </c>
      <c r="N195" s="242">
        <f>Reported!L135</f>
        <v>0</v>
      </c>
      <c r="O195" s="242">
        <f>Reported!M135</f>
        <v>0</v>
      </c>
      <c r="P195" s="243">
        <f>Reported!N135</f>
        <v>0</v>
      </c>
      <c r="Q195" s="238">
        <f>Reported!O135</f>
        <v>0</v>
      </c>
      <c r="R195" s="242">
        <f>Reported!P135</f>
        <v>0</v>
      </c>
      <c r="S195" s="242">
        <f>Reported!Q135</f>
        <v>0</v>
      </c>
      <c r="T195" s="243">
        <f>Reported!R135</f>
        <v>0</v>
      </c>
      <c r="U195" s="238">
        <f>Reported!S135</f>
        <v>0</v>
      </c>
      <c r="V195" s="242">
        <f>Reported!T135</f>
        <v>0</v>
      </c>
      <c r="W195" s="242">
        <f>Reported!U135</f>
        <v>0</v>
      </c>
      <c r="X195" s="243">
        <f>Reported!V135</f>
        <v>0</v>
      </c>
      <c r="Y195" s="238">
        <f>Reported!W135</f>
        <v>0</v>
      </c>
      <c r="Z195" s="242">
        <f>Reported!X135</f>
        <v>0</v>
      </c>
      <c r="AA195" s="242">
        <f>Reported!Y135</f>
        <v>0</v>
      </c>
      <c r="AB195" s="243">
        <f>Reported!Z135</f>
        <v>0</v>
      </c>
      <c r="AC195" s="238">
        <f>Reported!AA135</f>
        <v>0</v>
      </c>
      <c r="AD195" s="274">
        <f t="shared" si="753"/>
        <v>0</v>
      </c>
      <c r="AE195" s="274">
        <f t="shared" si="754"/>
        <v>0</v>
      </c>
      <c r="AF195" s="275">
        <f t="shared" si="755"/>
        <v>0</v>
      </c>
      <c r="AG195" s="273">
        <f t="shared" si="756"/>
        <v>0</v>
      </c>
      <c r="AH195" s="274">
        <f t="shared" si="757"/>
        <v>0</v>
      </c>
      <c r="AI195" s="274">
        <f t="shared" si="758"/>
        <v>0</v>
      </c>
      <c r="AJ195" s="275">
        <f t="shared" si="759"/>
        <v>0</v>
      </c>
      <c r="AK195" s="273">
        <f t="shared" si="760"/>
        <v>0</v>
      </c>
      <c r="AL195" s="274">
        <f t="shared" si="761"/>
        <v>0</v>
      </c>
      <c r="AM195" s="274">
        <f t="shared" si="762"/>
        <v>0</v>
      </c>
      <c r="AN195" s="275">
        <f t="shared" si="763"/>
        <v>0</v>
      </c>
      <c r="AO195" s="18">
        <f t="shared" si="764"/>
        <v>0</v>
      </c>
      <c r="AP195" s="19">
        <f t="shared" si="765"/>
        <v>0</v>
      </c>
      <c r="AQ195" s="274">
        <f t="shared" si="766"/>
        <v>0</v>
      </c>
      <c r="AR195" s="275">
        <f t="shared" si="767"/>
        <v>0</v>
      </c>
      <c r="AS195" s="18">
        <f t="shared" si="768"/>
        <v>0</v>
      </c>
      <c r="AT195" s="19">
        <f t="shared" si="769"/>
        <v>0</v>
      </c>
      <c r="AU195" s="274">
        <f t="shared" si="770"/>
        <v>0</v>
      </c>
      <c r="AV195" s="275">
        <f t="shared" si="771"/>
        <v>0</v>
      </c>
      <c r="BE195" s="188"/>
      <c r="BR195" s="77">
        <f t="shared" si="644"/>
        <v>192</v>
      </c>
    </row>
    <row r="196" spans="1:70" ht="12" customHeight="1" x14ac:dyDescent="0.15">
      <c r="A196" s="6" t="str">
        <f>Reported!A136</f>
        <v>Current Liabilities</v>
      </c>
      <c r="B196" s="188"/>
      <c r="C196" s="85"/>
      <c r="D196" s="85"/>
      <c r="E196" s="169">
        <f t="shared" ref="E196:T196" si="772">SUM(E191:E195)</f>
        <v>0</v>
      </c>
      <c r="F196" s="240">
        <f t="shared" si="772"/>
        <v>0</v>
      </c>
      <c r="G196" s="240">
        <f t="shared" si="772"/>
        <v>0</v>
      </c>
      <c r="H196" s="241">
        <f t="shared" si="772"/>
        <v>0</v>
      </c>
      <c r="I196" s="169">
        <f t="shared" si="772"/>
        <v>0</v>
      </c>
      <c r="J196" s="240">
        <f t="shared" si="772"/>
        <v>0</v>
      </c>
      <c r="K196" s="240">
        <f t="shared" si="772"/>
        <v>0</v>
      </c>
      <c r="L196" s="241">
        <f t="shared" si="772"/>
        <v>0</v>
      </c>
      <c r="M196" s="169">
        <f t="shared" si="772"/>
        <v>0</v>
      </c>
      <c r="N196" s="240">
        <f t="shared" si="772"/>
        <v>0</v>
      </c>
      <c r="O196" s="240">
        <f t="shared" si="772"/>
        <v>0</v>
      </c>
      <c r="P196" s="241">
        <f t="shared" si="772"/>
        <v>0</v>
      </c>
      <c r="Q196" s="169">
        <f t="shared" si="772"/>
        <v>0</v>
      </c>
      <c r="R196" s="240">
        <f t="shared" si="772"/>
        <v>0</v>
      </c>
      <c r="S196" s="240">
        <f t="shared" si="772"/>
        <v>0</v>
      </c>
      <c r="T196" s="241">
        <f t="shared" si="772"/>
        <v>0</v>
      </c>
      <c r="U196" s="169">
        <f t="shared" ref="U196:V196" si="773">SUM(U191:U195)</f>
        <v>0</v>
      </c>
      <c r="V196" s="240">
        <f t="shared" si="773"/>
        <v>0</v>
      </c>
      <c r="W196" s="240">
        <f t="shared" ref="W196" si="774">SUM(W191:W195)</f>
        <v>0</v>
      </c>
      <c r="X196" s="241">
        <f t="shared" ref="X196:AA196" si="775">SUM(X191:X195)</f>
        <v>0</v>
      </c>
      <c r="Y196" s="169">
        <f t="shared" si="775"/>
        <v>0</v>
      </c>
      <c r="Z196" s="240">
        <f t="shared" si="775"/>
        <v>0</v>
      </c>
      <c r="AA196" s="240">
        <f t="shared" si="775"/>
        <v>0</v>
      </c>
      <c r="AB196" s="241">
        <f t="shared" ref="AB196:AC196" si="776">SUM(AB191:AB195)</f>
        <v>0</v>
      </c>
      <c r="AC196" s="169">
        <f t="shared" si="776"/>
        <v>0</v>
      </c>
      <c r="AD196" s="258" t="e">
        <f t="shared" ref="AD196:AR196" si="777">SUM(AD191:AD195)</f>
        <v>#DIV/0!</v>
      </c>
      <c r="AE196" s="258" t="e">
        <f t="shared" si="777"/>
        <v>#DIV/0!</v>
      </c>
      <c r="AF196" s="259" t="e">
        <f t="shared" si="777"/>
        <v>#DIV/0!</v>
      </c>
      <c r="AG196" s="170" t="e">
        <f t="shared" si="777"/>
        <v>#DIV/0!</v>
      </c>
      <c r="AH196" s="258" t="e">
        <f t="shared" si="777"/>
        <v>#DIV/0!</v>
      </c>
      <c r="AI196" s="258" t="e">
        <f t="shared" si="777"/>
        <v>#DIV/0!</v>
      </c>
      <c r="AJ196" s="259" t="e">
        <f t="shared" si="777"/>
        <v>#DIV/0!</v>
      </c>
      <c r="AK196" s="170" t="e">
        <f t="shared" si="777"/>
        <v>#DIV/0!</v>
      </c>
      <c r="AL196" s="258" t="e">
        <f t="shared" si="777"/>
        <v>#DIV/0!</v>
      </c>
      <c r="AM196" s="258" t="e">
        <f t="shared" si="777"/>
        <v>#DIV/0!</v>
      </c>
      <c r="AN196" s="259" t="e">
        <f t="shared" si="777"/>
        <v>#DIV/0!</v>
      </c>
      <c r="AO196" s="88" t="e">
        <f t="shared" si="777"/>
        <v>#DIV/0!</v>
      </c>
      <c r="AP196" s="86" t="e">
        <f t="shared" si="777"/>
        <v>#DIV/0!</v>
      </c>
      <c r="AQ196" s="258" t="e">
        <f t="shared" si="777"/>
        <v>#DIV/0!</v>
      </c>
      <c r="AR196" s="259" t="e">
        <f t="shared" si="777"/>
        <v>#DIV/0!</v>
      </c>
      <c r="AS196" s="88" t="e">
        <f t="shared" ref="AS196:AV196" si="778">SUM(AS191:AS195)</f>
        <v>#DIV/0!</v>
      </c>
      <c r="AT196" s="86" t="e">
        <f t="shared" si="778"/>
        <v>#DIV/0!</v>
      </c>
      <c r="AU196" s="258" t="e">
        <f t="shared" si="778"/>
        <v>#DIV/0!</v>
      </c>
      <c r="AV196" s="259" t="e">
        <f t="shared" si="778"/>
        <v>#DIV/0!</v>
      </c>
      <c r="AW196" s="85"/>
      <c r="BR196" s="77">
        <f t="shared" si="644"/>
        <v>193</v>
      </c>
    </row>
    <row r="197" spans="1:70" ht="12" customHeight="1" x14ac:dyDescent="0.15">
      <c r="A197" s="85"/>
      <c r="B197" s="188"/>
      <c r="C197" s="85"/>
      <c r="D197" s="85"/>
      <c r="E197" s="125"/>
      <c r="F197" s="140"/>
      <c r="G197" s="140"/>
      <c r="H197" s="140"/>
      <c r="I197" s="125"/>
      <c r="J197" s="140"/>
      <c r="K197" s="140"/>
      <c r="L197" s="141"/>
      <c r="M197" s="125"/>
      <c r="N197" s="140"/>
      <c r="O197" s="140"/>
      <c r="P197" s="141"/>
      <c r="Q197" s="125"/>
      <c r="R197" s="140"/>
      <c r="S197" s="140"/>
      <c r="T197" s="141"/>
      <c r="U197" s="125"/>
      <c r="V197" s="140"/>
      <c r="W197" s="140"/>
      <c r="X197" s="141"/>
      <c r="Y197" s="125"/>
      <c r="Z197" s="140"/>
      <c r="AA197" s="140"/>
      <c r="AB197" s="141"/>
      <c r="AC197" s="125"/>
      <c r="AD197" s="155"/>
      <c r="AE197" s="155"/>
      <c r="AF197" s="156"/>
      <c r="AG197" s="130"/>
      <c r="AH197" s="155"/>
      <c r="AI197" s="155"/>
      <c r="AJ197" s="156"/>
      <c r="AK197" s="130"/>
      <c r="AL197" s="155"/>
      <c r="AM197" s="155"/>
      <c r="AN197" s="156"/>
      <c r="AO197" s="131"/>
      <c r="AP197" s="157"/>
      <c r="AQ197" s="155"/>
      <c r="AR197" s="156"/>
      <c r="AS197" s="131"/>
      <c r="AT197" s="157"/>
      <c r="AU197" s="155"/>
      <c r="AV197" s="156"/>
      <c r="AW197" s="85"/>
      <c r="BR197" s="77">
        <f t="shared" si="644"/>
        <v>194</v>
      </c>
    </row>
    <row r="198" spans="1:70" ht="12" customHeight="1" x14ac:dyDescent="0.15">
      <c r="A198" s="85"/>
      <c r="B198" s="188" t="str">
        <f>Reported!A138</f>
        <v>Deferred Revenue</v>
      </c>
      <c r="C198" s="85"/>
      <c r="D198" s="85"/>
      <c r="E198" s="169">
        <f>Reported!C138</f>
        <v>0</v>
      </c>
      <c r="F198" s="240">
        <f>Reported!D138</f>
        <v>0</v>
      </c>
      <c r="G198" s="240">
        <f>Reported!E138</f>
        <v>0</v>
      </c>
      <c r="H198" s="241">
        <f>Reported!F138</f>
        <v>0</v>
      </c>
      <c r="I198" s="169">
        <f>Reported!G138</f>
        <v>0</v>
      </c>
      <c r="J198" s="240">
        <f>Reported!H138</f>
        <v>0</v>
      </c>
      <c r="K198" s="240">
        <f>Reported!I138</f>
        <v>0</v>
      </c>
      <c r="L198" s="241">
        <f>Reported!J138</f>
        <v>0</v>
      </c>
      <c r="M198" s="169">
        <f>Reported!K138</f>
        <v>0</v>
      </c>
      <c r="N198" s="240">
        <f>Reported!L138</f>
        <v>0</v>
      </c>
      <c r="O198" s="240">
        <f>Reported!M138</f>
        <v>0</v>
      </c>
      <c r="P198" s="241">
        <f>Reported!N138</f>
        <v>0</v>
      </c>
      <c r="Q198" s="169">
        <f>Reported!O138</f>
        <v>0</v>
      </c>
      <c r="R198" s="240">
        <f>Reported!P138</f>
        <v>0</v>
      </c>
      <c r="S198" s="240">
        <f>Reported!Q138</f>
        <v>0</v>
      </c>
      <c r="T198" s="241">
        <f>Reported!R138</f>
        <v>0</v>
      </c>
      <c r="U198" s="169">
        <f>Reported!S138</f>
        <v>0</v>
      </c>
      <c r="V198" s="240">
        <f>Reported!T138</f>
        <v>0</v>
      </c>
      <c r="W198" s="240">
        <f>Reported!U138</f>
        <v>0</v>
      </c>
      <c r="X198" s="241">
        <f>Reported!V138</f>
        <v>0</v>
      </c>
      <c r="Y198" s="169">
        <f>Reported!W138</f>
        <v>0</v>
      </c>
      <c r="Z198" s="240">
        <f>Reported!X138</f>
        <v>0</v>
      </c>
      <c r="AA198" s="240">
        <f>Reported!Y138</f>
        <v>0</v>
      </c>
      <c r="AB198" s="241">
        <f>Reported!Z138</f>
        <v>0</v>
      </c>
      <c r="AC198" s="169">
        <f>Reported!AA138</f>
        <v>0</v>
      </c>
      <c r="AD198" s="258">
        <f t="shared" ref="AD198:AR198" si="779">+AC198</f>
        <v>0</v>
      </c>
      <c r="AE198" s="258">
        <f t="shared" si="779"/>
        <v>0</v>
      </c>
      <c r="AF198" s="259">
        <f t="shared" si="779"/>
        <v>0</v>
      </c>
      <c r="AG198" s="170">
        <f t="shared" si="779"/>
        <v>0</v>
      </c>
      <c r="AH198" s="258">
        <f t="shared" si="779"/>
        <v>0</v>
      </c>
      <c r="AI198" s="258">
        <f t="shared" si="779"/>
        <v>0</v>
      </c>
      <c r="AJ198" s="259">
        <f t="shared" si="779"/>
        <v>0</v>
      </c>
      <c r="AK198" s="170">
        <f t="shared" si="779"/>
        <v>0</v>
      </c>
      <c r="AL198" s="258">
        <f t="shared" si="779"/>
        <v>0</v>
      </c>
      <c r="AM198" s="258">
        <f t="shared" si="779"/>
        <v>0</v>
      </c>
      <c r="AN198" s="259">
        <f t="shared" si="779"/>
        <v>0</v>
      </c>
      <c r="AO198" s="88">
        <f t="shared" si="779"/>
        <v>0</v>
      </c>
      <c r="AP198" s="86">
        <f t="shared" si="779"/>
        <v>0</v>
      </c>
      <c r="AQ198" s="258">
        <f t="shared" si="779"/>
        <v>0</v>
      </c>
      <c r="AR198" s="259">
        <f t="shared" si="779"/>
        <v>0</v>
      </c>
      <c r="AS198" s="88">
        <f t="shared" ref="AS198" si="780">+AR198</f>
        <v>0</v>
      </c>
      <c r="AT198" s="86">
        <f t="shared" ref="AT198" si="781">+AS198</f>
        <v>0</v>
      </c>
      <c r="AU198" s="258">
        <f t="shared" ref="AU198" si="782">+AT198</f>
        <v>0</v>
      </c>
      <c r="AV198" s="259">
        <f t="shared" ref="AV198" si="783">+AU198</f>
        <v>0</v>
      </c>
      <c r="AW198" s="85"/>
      <c r="BR198" s="77">
        <f t="shared" si="644"/>
        <v>195</v>
      </c>
    </row>
    <row r="199" spans="1:70" ht="12" customHeight="1" x14ac:dyDescent="0.15">
      <c r="A199" s="85"/>
      <c r="B199" s="188" t="str">
        <f>Reported!A139</f>
        <v>Accrued non-current liabilities</v>
      </c>
      <c r="C199" s="85"/>
      <c r="D199" s="85"/>
      <c r="E199" s="169">
        <f>Reported!C139</f>
        <v>0</v>
      </c>
      <c r="F199" s="240">
        <f>Reported!D139</f>
        <v>0</v>
      </c>
      <c r="G199" s="240">
        <f>Reported!E139</f>
        <v>0</v>
      </c>
      <c r="H199" s="241">
        <f>Reported!F139</f>
        <v>0</v>
      </c>
      <c r="I199" s="169">
        <f>Reported!G139</f>
        <v>0</v>
      </c>
      <c r="J199" s="240">
        <f>Reported!H139</f>
        <v>0</v>
      </c>
      <c r="K199" s="240">
        <f>Reported!I139</f>
        <v>0</v>
      </c>
      <c r="L199" s="241">
        <f>Reported!J139</f>
        <v>0</v>
      </c>
      <c r="M199" s="169">
        <f>Reported!K139</f>
        <v>0</v>
      </c>
      <c r="N199" s="240">
        <f>Reported!L139</f>
        <v>0</v>
      </c>
      <c r="O199" s="240">
        <f>Reported!M139</f>
        <v>0</v>
      </c>
      <c r="P199" s="241">
        <f>Reported!N139</f>
        <v>0</v>
      </c>
      <c r="Q199" s="169">
        <f>Reported!O139</f>
        <v>0</v>
      </c>
      <c r="R199" s="240">
        <f>Reported!P139</f>
        <v>0</v>
      </c>
      <c r="S199" s="240">
        <f>Reported!Q139</f>
        <v>0</v>
      </c>
      <c r="T199" s="241">
        <f>Reported!R139</f>
        <v>0</v>
      </c>
      <c r="U199" s="169">
        <f>Reported!S139</f>
        <v>0</v>
      </c>
      <c r="V199" s="240">
        <f>Reported!T139</f>
        <v>0</v>
      </c>
      <c r="W199" s="240">
        <f>Reported!U139</f>
        <v>0</v>
      </c>
      <c r="X199" s="241">
        <f>Reported!V139</f>
        <v>0</v>
      </c>
      <c r="Y199" s="169">
        <f>Reported!W139</f>
        <v>0</v>
      </c>
      <c r="Z199" s="240">
        <f>Reported!X139</f>
        <v>0</v>
      </c>
      <c r="AA199" s="240">
        <f>Reported!Y139</f>
        <v>0</v>
      </c>
      <c r="AB199" s="241">
        <f>Reported!Z139</f>
        <v>0</v>
      </c>
      <c r="AC199" s="169">
        <f>Reported!AA139</f>
        <v>0</v>
      </c>
      <c r="AD199" s="258">
        <f t="shared" ref="AD199:AR199" si="784">AC199</f>
        <v>0</v>
      </c>
      <c r="AE199" s="258">
        <f t="shared" si="784"/>
        <v>0</v>
      </c>
      <c r="AF199" s="259">
        <f t="shared" si="784"/>
        <v>0</v>
      </c>
      <c r="AG199" s="170">
        <f t="shared" si="784"/>
        <v>0</v>
      </c>
      <c r="AH199" s="258">
        <f t="shared" si="784"/>
        <v>0</v>
      </c>
      <c r="AI199" s="258">
        <f t="shared" si="784"/>
        <v>0</v>
      </c>
      <c r="AJ199" s="259">
        <f t="shared" si="784"/>
        <v>0</v>
      </c>
      <c r="AK199" s="170">
        <f t="shared" si="784"/>
        <v>0</v>
      </c>
      <c r="AL199" s="258">
        <f t="shared" si="784"/>
        <v>0</v>
      </c>
      <c r="AM199" s="258">
        <f t="shared" si="784"/>
        <v>0</v>
      </c>
      <c r="AN199" s="259">
        <f t="shared" si="784"/>
        <v>0</v>
      </c>
      <c r="AO199" s="88">
        <f t="shared" si="784"/>
        <v>0</v>
      </c>
      <c r="AP199" s="86">
        <f t="shared" si="784"/>
        <v>0</v>
      </c>
      <c r="AQ199" s="258">
        <f t="shared" si="784"/>
        <v>0</v>
      </c>
      <c r="AR199" s="259">
        <f t="shared" si="784"/>
        <v>0</v>
      </c>
      <c r="AS199" s="88">
        <f t="shared" ref="AS199" si="785">AR199</f>
        <v>0</v>
      </c>
      <c r="AT199" s="86">
        <f t="shared" ref="AT199" si="786">AS199</f>
        <v>0</v>
      </c>
      <c r="AU199" s="258">
        <f t="shared" ref="AU199" si="787">AT199</f>
        <v>0</v>
      </c>
      <c r="AV199" s="259">
        <f t="shared" ref="AV199" si="788">AU199</f>
        <v>0</v>
      </c>
      <c r="AW199" s="85"/>
      <c r="BR199" s="77">
        <f t="shared" si="644"/>
        <v>196</v>
      </c>
    </row>
    <row r="200" spans="1:70" ht="12" customHeight="1" x14ac:dyDescent="0.15">
      <c r="A200" s="85"/>
      <c r="B200" s="188" t="str">
        <f>Reported!A140</f>
        <v>Long term debt</v>
      </c>
      <c r="C200" s="85"/>
      <c r="D200" s="85"/>
      <c r="E200" s="169">
        <f>Reported!C140</f>
        <v>0</v>
      </c>
      <c r="F200" s="240">
        <f>Reported!D140</f>
        <v>0</v>
      </c>
      <c r="G200" s="240">
        <f>Reported!E140</f>
        <v>0</v>
      </c>
      <c r="H200" s="241">
        <f>Reported!F140</f>
        <v>0</v>
      </c>
      <c r="I200" s="169">
        <f>Reported!G140</f>
        <v>0</v>
      </c>
      <c r="J200" s="240">
        <f>Reported!H140</f>
        <v>0</v>
      </c>
      <c r="K200" s="240">
        <f>Reported!I140</f>
        <v>0</v>
      </c>
      <c r="L200" s="241">
        <f>Reported!J140</f>
        <v>0</v>
      </c>
      <c r="M200" s="169">
        <f>Reported!K140</f>
        <v>0</v>
      </c>
      <c r="N200" s="240">
        <f>Reported!L140</f>
        <v>0</v>
      </c>
      <c r="O200" s="240">
        <f>Reported!M140</f>
        <v>0</v>
      </c>
      <c r="P200" s="241">
        <f>Reported!N140</f>
        <v>0</v>
      </c>
      <c r="Q200" s="169">
        <f>Reported!O140</f>
        <v>0</v>
      </c>
      <c r="R200" s="240">
        <f>Reported!P140</f>
        <v>0</v>
      </c>
      <c r="S200" s="240">
        <f>Reported!Q140</f>
        <v>0</v>
      </c>
      <c r="T200" s="241">
        <f>Reported!R140</f>
        <v>0</v>
      </c>
      <c r="U200" s="169">
        <f>Reported!S140</f>
        <v>0</v>
      </c>
      <c r="V200" s="240">
        <f>Reported!T140</f>
        <v>0</v>
      </c>
      <c r="W200" s="240">
        <f>Reported!U140</f>
        <v>0</v>
      </c>
      <c r="X200" s="241">
        <f>Reported!V140</f>
        <v>0</v>
      </c>
      <c r="Y200" s="169">
        <f>Reported!W140</f>
        <v>0</v>
      </c>
      <c r="Z200" s="240">
        <f>Reported!X140</f>
        <v>0</v>
      </c>
      <c r="AA200" s="240">
        <f>Reported!Y140</f>
        <v>0</v>
      </c>
      <c r="AB200" s="241">
        <f>Reported!Z140</f>
        <v>0</v>
      </c>
      <c r="AC200" s="169">
        <f>Reported!AA140</f>
        <v>0</v>
      </c>
      <c r="AD200" s="258">
        <f t="shared" ref="AD200:AV200" si="789">AC200+AD166</f>
        <v>0</v>
      </c>
      <c r="AE200" s="258">
        <f t="shared" si="789"/>
        <v>0</v>
      </c>
      <c r="AF200" s="259">
        <f t="shared" si="789"/>
        <v>0</v>
      </c>
      <c r="AG200" s="170">
        <f t="shared" si="789"/>
        <v>0</v>
      </c>
      <c r="AH200" s="258">
        <f t="shared" si="789"/>
        <v>0</v>
      </c>
      <c r="AI200" s="258">
        <f t="shared" si="789"/>
        <v>0</v>
      </c>
      <c r="AJ200" s="259">
        <f t="shared" si="789"/>
        <v>0</v>
      </c>
      <c r="AK200" s="170">
        <f t="shared" si="789"/>
        <v>0</v>
      </c>
      <c r="AL200" s="258">
        <f t="shared" si="789"/>
        <v>0</v>
      </c>
      <c r="AM200" s="258">
        <f t="shared" si="789"/>
        <v>0</v>
      </c>
      <c r="AN200" s="259">
        <f t="shared" si="789"/>
        <v>0</v>
      </c>
      <c r="AO200" s="88">
        <f t="shared" si="789"/>
        <v>0</v>
      </c>
      <c r="AP200" s="86">
        <f t="shared" si="789"/>
        <v>0</v>
      </c>
      <c r="AQ200" s="258">
        <f t="shared" si="789"/>
        <v>0</v>
      </c>
      <c r="AR200" s="259">
        <f t="shared" si="789"/>
        <v>0</v>
      </c>
      <c r="AS200" s="88">
        <f t="shared" si="789"/>
        <v>0</v>
      </c>
      <c r="AT200" s="86">
        <f t="shared" si="789"/>
        <v>0</v>
      </c>
      <c r="AU200" s="258">
        <f t="shared" si="789"/>
        <v>0</v>
      </c>
      <c r="AV200" s="259">
        <f t="shared" si="789"/>
        <v>0</v>
      </c>
      <c r="AW200" s="85"/>
      <c r="BR200" s="77">
        <f t="shared" si="644"/>
        <v>197</v>
      </c>
    </row>
    <row r="201" spans="1:70" s="85" customFormat="1" ht="12" customHeight="1" x14ac:dyDescent="0.25">
      <c r="A201" s="188"/>
      <c r="B201" s="85" t="str">
        <f>Reported!A141</f>
        <v>Other LT Liabilities</v>
      </c>
      <c r="E201" s="238">
        <f>Reported!C141</f>
        <v>0</v>
      </c>
      <c r="F201" s="242">
        <f>Reported!D141</f>
        <v>0</v>
      </c>
      <c r="G201" s="242">
        <f>Reported!E141</f>
        <v>0</v>
      </c>
      <c r="H201" s="243">
        <f>Reported!F141</f>
        <v>0</v>
      </c>
      <c r="I201" s="238">
        <f>Reported!G141</f>
        <v>0</v>
      </c>
      <c r="J201" s="242">
        <f>Reported!H141</f>
        <v>0</v>
      </c>
      <c r="K201" s="242">
        <f>Reported!I141</f>
        <v>0</v>
      </c>
      <c r="L201" s="243">
        <f>Reported!J141</f>
        <v>0</v>
      </c>
      <c r="M201" s="238">
        <f>Reported!K141</f>
        <v>0</v>
      </c>
      <c r="N201" s="242">
        <f>Reported!L141</f>
        <v>0</v>
      </c>
      <c r="O201" s="242">
        <f>Reported!M141</f>
        <v>0</v>
      </c>
      <c r="P201" s="243">
        <f>Reported!N141</f>
        <v>0</v>
      </c>
      <c r="Q201" s="238">
        <f>Reported!O141</f>
        <v>0</v>
      </c>
      <c r="R201" s="242">
        <f>Reported!P141</f>
        <v>0</v>
      </c>
      <c r="S201" s="242">
        <f>Reported!Q141</f>
        <v>0</v>
      </c>
      <c r="T201" s="243">
        <f>Reported!R141</f>
        <v>0</v>
      </c>
      <c r="U201" s="238">
        <f>Reported!S141</f>
        <v>0</v>
      </c>
      <c r="V201" s="242">
        <f>Reported!T141</f>
        <v>0</v>
      </c>
      <c r="W201" s="242">
        <f>Reported!U141</f>
        <v>0</v>
      </c>
      <c r="X201" s="243">
        <f>Reported!V141</f>
        <v>0</v>
      </c>
      <c r="Y201" s="238">
        <f>Reported!W141</f>
        <v>0</v>
      </c>
      <c r="Z201" s="242">
        <f>Reported!X141</f>
        <v>0</v>
      </c>
      <c r="AA201" s="242">
        <f>Reported!Y141</f>
        <v>0</v>
      </c>
      <c r="AB201" s="243">
        <f>Reported!Z141</f>
        <v>0</v>
      </c>
      <c r="AC201" s="238">
        <f>Reported!AA141</f>
        <v>0</v>
      </c>
      <c r="AD201" s="274">
        <f t="shared" ref="AD201:AR201" si="790">AC201</f>
        <v>0</v>
      </c>
      <c r="AE201" s="274">
        <f t="shared" si="790"/>
        <v>0</v>
      </c>
      <c r="AF201" s="275">
        <f t="shared" si="790"/>
        <v>0</v>
      </c>
      <c r="AG201" s="273">
        <f t="shared" si="790"/>
        <v>0</v>
      </c>
      <c r="AH201" s="274">
        <f t="shared" si="790"/>
        <v>0</v>
      </c>
      <c r="AI201" s="274">
        <f t="shared" si="790"/>
        <v>0</v>
      </c>
      <c r="AJ201" s="275">
        <f t="shared" si="790"/>
        <v>0</v>
      </c>
      <c r="AK201" s="273">
        <f t="shared" si="790"/>
        <v>0</v>
      </c>
      <c r="AL201" s="274">
        <f t="shared" si="790"/>
        <v>0</v>
      </c>
      <c r="AM201" s="274">
        <f t="shared" si="790"/>
        <v>0</v>
      </c>
      <c r="AN201" s="275">
        <f t="shared" si="790"/>
        <v>0</v>
      </c>
      <c r="AO201" s="18">
        <f t="shared" si="790"/>
        <v>0</v>
      </c>
      <c r="AP201" s="19">
        <f t="shared" si="790"/>
        <v>0</v>
      </c>
      <c r="AQ201" s="274">
        <f t="shared" si="790"/>
        <v>0</v>
      </c>
      <c r="AR201" s="275">
        <f t="shared" si="790"/>
        <v>0</v>
      </c>
      <c r="AS201" s="18">
        <f t="shared" ref="AS201" si="791">AR201</f>
        <v>0</v>
      </c>
      <c r="AT201" s="19">
        <f t="shared" ref="AT201" si="792">AS201</f>
        <v>0</v>
      </c>
      <c r="AU201" s="274">
        <f t="shared" ref="AU201" si="793">AT201</f>
        <v>0</v>
      </c>
      <c r="AV201" s="275">
        <f t="shared" ref="AV201" si="794">AU201</f>
        <v>0</v>
      </c>
      <c r="BE201" s="188"/>
      <c r="BR201" s="77">
        <f t="shared" si="644"/>
        <v>198</v>
      </c>
    </row>
    <row r="202" spans="1:70" ht="12" customHeight="1" x14ac:dyDescent="0.25">
      <c r="A202" s="6" t="str">
        <f>Reported!A142</f>
        <v>LT Liabilities</v>
      </c>
      <c r="B202" s="188"/>
      <c r="C202" s="85"/>
      <c r="D202" s="85"/>
      <c r="E202" s="238">
        <f t="shared" ref="E202:AR202" si="795">SUM(E198:E201)</f>
        <v>0</v>
      </c>
      <c r="F202" s="242">
        <f t="shared" si="795"/>
        <v>0</v>
      </c>
      <c r="G202" s="242">
        <f t="shared" si="795"/>
        <v>0</v>
      </c>
      <c r="H202" s="243">
        <f t="shared" si="795"/>
        <v>0</v>
      </c>
      <c r="I202" s="238">
        <f t="shared" si="795"/>
        <v>0</v>
      </c>
      <c r="J202" s="242">
        <f t="shared" si="795"/>
        <v>0</v>
      </c>
      <c r="K202" s="242">
        <f t="shared" si="795"/>
        <v>0</v>
      </c>
      <c r="L202" s="243">
        <f t="shared" si="795"/>
        <v>0</v>
      </c>
      <c r="M202" s="238">
        <f t="shared" si="795"/>
        <v>0</v>
      </c>
      <c r="N202" s="242">
        <f t="shared" si="795"/>
        <v>0</v>
      </c>
      <c r="O202" s="242">
        <f t="shared" si="795"/>
        <v>0</v>
      </c>
      <c r="P202" s="243">
        <f t="shared" si="795"/>
        <v>0</v>
      </c>
      <c r="Q202" s="238">
        <f t="shared" si="795"/>
        <v>0</v>
      </c>
      <c r="R202" s="242">
        <f t="shared" si="795"/>
        <v>0</v>
      </c>
      <c r="S202" s="242">
        <f t="shared" si="795"/>
        <v>0</v>
      </c>
      <c r="T202" s="243">
        <f t="shared" si="795"/>
        <v>0</v>
      </c>
      <c r="U202" s="238">
        <f t="shared" ref="U202:V202" si="796">SUM(U198:U201)</f>
        <v>0</v>
      </c>
      <c r="V202" s="242">
        <f t="shared" si="796"/>
        <v>0</v>
      </c>
      <c r="W202" s="242">
        <f t="shared" ref="W202:Z202" si="797">SUM(W198:W201)</f>
        <v>0</v>
      </c>
      <c r="X202" s="243">
        <f t="shared" si="797"/>
        <v>0</v>
      </c>
      <c r="Y202" s="238">
        <f t="shared" si="797"/>
        <v>0</v>
      </c>
      <c r="Z202" s="242">
        <f t="shared" si="797"/>
        <v>0</v>
      </c>
      <c r="AA202" s="242">
        <f t="shared" ref="AA202:AC202" si="798">SUM(AA198:AA201)</f>
        <v>0</v>
      </c>
      <c r="AB202" s="243">
        <f t="shared" si="798"/>
        <v>0</v>
      </c>
      <c r="AC202" s="238">
        <f t="shared" si="798"/>
        <v>0</v>
      </c>
      <c r="AD202" s="274">
        <f t="shared" si="795"/>
        <v>0</v>
      </c>
      <c r="AE202" s="274">
        <f t="shared" si="795"/>
        <v>0</v>
      </c>
      <c r="AF202" s="275">
        <f t="shared" si="795"/>
        <v>0</v>
      </c>
      <c r="AG202" s="273">
        <f t="shared" si="795"/>
        <v>0</v>
      </c>
      <c r="AH202" s="274">
        <f t="shared" si="795"/>
        <v>0</v>
      </c>
      <c r="AI202" s="274">
        <f t="shared" si="795"/>
        <v>0</v>
      </c>
      <c r="AJ202" s="275">
        <f t="shared" si="795"/>
        <v>0</v>
      </c>
      <c r="AK202" s="273">
        <f t="shared" si="795"/>
        <v>0</v>
      </c>
      <c r="AL202" s="274">
        <f t="shared" si="795"/>
        <v>0</v>
      </c>
      <c r="AM202" s="274">
        <f t="shared" si="795"/>
        <v>0</v>
      </c>
      <c r="AN202" s="275">
        <f t="shared" si="795"/>
        <v>0</v>
      </c>
      <c r="AO202" s="18">
        <f t="shared" si="795"/>
        <v>0</v>
      </c>
      <c r="AP202" s="19">
        <f t="shared" si="795"/>
        <v>0</v>
      </c>
      <c r="AQ202" s="274">
        <f t="shared" si="795"/>
        <v>0</v>
      </c>
      <c r="AR202" s="275">
        <f t="shared" si="795"/>
        <v>0</v>
      </c>
      <c r="AS202" s="18">
        <f t="shared" ref="AS202:AV202" si="799">SUM(AS198:AS201)</f>
        <v>0</v>
      </c>
      <c r="AT202" s="19">
        <f t="shared" si="799"/>
        <v>0</v>
      </c>
      <c r="AU202" s="274">
        <f t="shared" si="799"/>
        <v>0</v>
      </c>
      <c r="AV202" s="275">
        <f t="shared" si="799"/>
        <v>0</v>
      </c>
      <c r="AW202" s="85"/>
      <c r="BR202" s="77">
        <f t="shared" si="644"/>
        <v>199</v>
      </c>
    </row>
    <row r="203" spans="1:70" ht="12" customHeight="1" x14ac:dyDescent="0.15">
      <c r="A203" s="85"/>
      <c r="B203" s="188"/>
      <c r="C203" s="85"/>
      <c r="D203" s="85"/>
      <c r="E203" s="125"/>
      <c r="F203" s="140"/>
      <c r="G203" s="140"/>
      <c r="H203" s="140"/>
      <c r="I203" s="125"/>
      <c r="J203" s="140"/>
      <c r="K203" s="140"/>
      <c r="L203" s="141"/>
      <c r="M203" s="125"/>
      <c r="N203" s="140"/>
      <c r="O203" s="140"/>
      <c r="P203" s="141"/>
      <c r="Q203" s="125"/>
      <c r="R203" s="140"/>
      <c r="S203" s="140"/>
      <c r="T203" s="141"/>
      <c r="U203" s="125"/>
      <c r="V203" s="140"/>
      <c r="W203" s="140"/>
      <c r="X203" s="141"/>
      <c r="Y203" s="125"/>
      <c r="Z203" s="140"/>
      <c r="AA203" s="140"/>
      <c r="AB203" s="141"/>
      <c r="AC203" s="125"/>
      <c r="AD203" s="155"/>
      <c r="AE203" s="155"/>
      <c r="AF203" s="156"/>
      <c r="AG203" s="130"/>
      <c r="AH203" s="155"/>
      <c r="AI203" s="155"/>
      <c r="AJ203" s="156"/>
      <c r="AK203" s="130"/>
      <c r="AL203" s="155"/>
      <c r="AM203" s="155"/>
      <c r="AN203" s="156"/>
      <c r="AO203" s="131"/>
      <c r="AP203" s="157"/>
      <c r="AQ203" s="155"/>
      <c r="AR203" s="156"/>
      <c r="AS203" s="131"/>
      <c r="AT203" s="157"/>
      <c r="AU203" s="155"/>
      <c r="AV203" s="156"/>
      <c r="AW203" s="85"/>
      <c r="BR203" s="77">
        <f t="shared" si="644"/>
        <v>200</v>
      </c>
    </row>
    <row r="204" spans="1:70" ht="12" customHeight="1" x14ac:dyDescent="0.25">
      <c r="A204" s="6" t="str">
        <f>Reported!A144</f>
        <v>Total Liabilities</v>
      </c>
      <c r="B204" s="188"/>
      <c r="C204" s="85"/>
      <c r="D204" s="85"/>
      <c r="E204" s="238">
        <f t="shared" ref="E204:T204" si="800">+E202+E196</f>
        <v>0</v>
      </c>
      <c r="F204" s="242">
        <f t="shared" si="800"/>
        <v>0</v>
      </c>
      <c r="G204" s="242">
        <f t="shared" si="800"/>
        <v>0</v>
      </c>
      <c r="H204" s="243">
        <f t="shared" si="800"/>
        <v>0</v>
      </c>
      <c r="I204" s="238">
        <f t="shared" si="800"/>
        <v>0</v>
      </c>
      <c r="J204" s="242">
        <f t="shared" si="800"/>
        <v>0</v>
      </c>
      <c r="K204" s="242">
        <f t="shared" si="800"/>
        <v>0</v>
      </c>
      <c r="L204" s="243">
        <f t="shared" si="800"/>
        <v>0</v>
      </c>
      <c r="M204" s="238">
        <f t="shared" si="800"/>
        <v>0</v>
      </c>
      <c r="N204" s="242">
        <f t="shared" si="800"/>
        <v>0</v>
      </c>
      <c r="O204" s="242">
        <f t="shared" si="800"/>
        <v>0</v>
      </c>
      <c r="P204" s="243">
        <f t="shared" si="800"/>
        <v>0</v>
      </c>
      <c r="Q204" s="238">
        <f t="shared" si="800"/>
        <v>0</v>
      </c>
      <c r="R204" s="242">
        <f t="shared" si="800"/>
        <v>0</v>
      </c>
      <c r="S204" s="242">
        <f t="shared" si="800"/>
        <v>0</v>
      </c>
      <c r="T204" s="243">
        <f t="shared" si="800"/>
        <v>0</v>
      </c>
      <c r="U204" s="238">
        <f t="shared" ref="U204:V204" si="801">+U202+U196</f>
        <v>0</v>
      </c>
      <c r="V204" s="242">
        <f t="shared" si="801"/>
        <v>0</v>
      </c>
      <c r="W204" s="242">
        <f t="shared" ref="W204:Z204" si="802">+W202+W196</f>
        <v>0</v>
      </c>
      <c r="X204" s="243">
        <f t="shared" si="802"/>
        <v>0</v>
      </c>
      <c r="Y204" s="238">
        <f t="shared" si="802"/>
        <v>0</v>
      </c>
      <c r="Z204" s="242">
        <f t="shared" si="802"/>
        <v>0</v>
      </c>
      <c r="AA204" s="242">
        <f t="shared" ref="AA204:AC204" si="803">+AA202+AA196</f>
        <v>0</v>
      </c>
      <c r="AB204" s="243">
        <f t="shared" si="803"/>
        <v>0</v>
      </c>
      <c r="AC204" s="238">
        <f t="shared" si="803"/>
        <v>0</v>
      </c>
      <c r="AD204" s="274" t="e">
        <f t="shared" ref="AD204:AR204" si="804">AD202+AD196</f>
        <v>#DIV/0!</v>
      </c>
      <c r="AE204" s="274" t="e">
        <f t="shared" si="804"/>
        <v>#DIV/0!</v>
      </c>
      <c r="AF204" s="275" t="e">
        <f t="shared" si="804"/>
        <v>#DIV/0!</v>
      </c>
      <c r="AG204" s="273" t="e">
        <f t="shared" si="804"/>
        <v>#DIV/0!</v>
      </c>
      <c r="AH204" s="274" t="e">
        <f t="shared" si="804"/>
        <v>#DIV/0!</v>
      </c>
      <c r="AI204" s="274" t="e">
        <f t="shared" si="804"/>
        <v>#DIV/0!</v>
      </c>
      <c r="AJ204" s="275" t="e">
        <f t="shared" si="804"/>
        <v>#DIV/0!</v>
      </c>
      <c r="AK204" s="273" t="e">
        <f t="shared" si="804"/>
        <v>#DIV/0!</v>
      </c>
      <c r="AL204" s="274" t="e">
        <f t="shared" si="804"/>
        <v>#DIV/0!</v>
      </c>
      <c r="AM204" s="274" t="e">
        <f t="shared" si="804"/>
        <v>#DIV/0!</v>
      </c>
      <c r="AN204" s="275" t="e">
        <f t="shared" si="804"/>
        <v>#DIV/0!</v>
      </c>
      <c r="AO204" s="18" t="e">
        <f t="shared" si="804"/>
        <v>#DIV/0!</v>
      </c>
      <c r="AP204" s="19" t="e">
        <f t="shared" si="804"/>
        <v>#DIV/0!</v>
      </c>
      <c r="AQ204" s="274" t="e">
        <f t="shared" si="804"/>
        <v>#DIV/0!</v>
      </c>
      <c r="AR204" s="275" t="e">
        <f t="shared" si="804"/>
        <v>#DIV/0!</v>
      </c>
      <c r="AS204" s="18" t="e">
        <f t="shared" ref="AS204:AV204" si="805">AS202+AS196</f>
        <v>#DIV/0!</v>
      </c>
      <c r="AT204" s="19" t="e">
        <f t="shared" si="805"/>
        <v>#DIV/0!</v>
      </c>
      <c r="AU204" s="274" t="e">
        <f t="shared" si="805"/>
        <v>#DIV/0!</v>
      </c>
      <c r="AV204" s="275" t="e">
        <f t="shared" si="805"/>
        <v>#DIV/0!</v>
      </c>
      <c r="AW204" s="85"/>
      <c r="BR204" s="77">
        <f t="shared" si="644"/>
        <v>201</v>
      </c>
    </row>
    <row r="205" spans="1:70" ht="12" customHeight="1" x14ac:dyDescent="0.15">
      <c r="A205" s="85"/>
      <c r="B205" s="188"/>
      <c r="C205" s="85"/>
      <c r="D205" s="85"/>
      <c r="E205" s="125"/>
      <c r="F205" s="140"/>
      <c r="G205" s="140"/>
      <c r="H205" s="140"/>
      <c r="I205" s="125"/>
      <c r="J205" s="140"/>
      <c r="K205" s="140"/>
      <c r="L205" s="141"/>
      <c r="M205" s="125"/>
      <c r="N205" s="140"/>
      <c r="O205" s="140"/>
      <c r="P205" s="141"/>
      <c r="Q205" s="125"/>
      <c r="R205" s="140"/>
      <c r="S205" s="140"/>
      <c r="T205" s="141"/>
      <c r="U205" s="125"/>
      <c r="V205" s="140"/>
      <c r="W205" s="140"/>
      <c r="X205" s="141"/>
      <c r="Y205" s="125"/>
      <c r="Z205" s="140"/>
      <c r="AA205" s="140"/>
      <c r="AB205" s="141"/>
      <c r="AC205" s="125"/>
      <c r="AD205" s="155"/>
      <c r="AE205" s="155"/>
      <c r="AF205" s="156"/>
      <c r="AG205" s="130"/>
      <c r="AH205" s="155"/>
      <c r="AI205" s="155"/>
      <c r="AJ205" s="156"/>
      <c r="AK205" s="130"/>
      <c r="AL205" s="155"/>
      <c r="AM205" s="155"/>
      <c r="AN205" s="156"/>
      <c r="AO205" s="131"/>
      <c r="AP205" s="157"/>
      <c r="AQ205" s="155"/>
      <c r="AR205" s="156"/>
      <c r="AS205" s="131"/>
      <c r="AT205" s="157"/>
      <c r="AU205" s="155"/>
      <c r="AV205" s="156"/>
      <c r="AW205" s="85"/>
      <c r="BR205" s="77">
        <f t="shared" si="644"/>
        <v>202</v>
      </c>
    </row>
    <row r="206" spans="1:70" ht="12" customHeight="1" x14ac:dyDescent="0.25">
      <c r="A206" s="6" t="s">
        <v>36</v>
      </c>
      <c r="B206" s="188"/>
      <c r="C206" s="85"/>
      <c r="D206" s="85"/>
      <c r="E206" s="238">
        <f>Reported!C150</f>
        <v>0</v>
      </c>
      <c r="F206" s="242">
        <f>Reported!D150</f>
        <v>0</v>
      </c>
      <c r="G206" s="242">
        <f>Reported!E150</f>
        <v>0</v>
      </c>
      <c r="H206" s="243">
        <f>Reported!F150</f>
        <v>0</v>
      </c>
      <c r="I206" s="238">
        <f>Reported!G150</f>
        <v>0</v>
      </c>
      <c r="J206" s="242">
        <f>Reported!H150</f>
        <v>0</v>
      </c>
      <c r="K206" s="242">
        <f>Reported!I150</f>
        <v>0</v>
      </c>
      <c r="L206" s="243">
        <f>Reported!J150</f>
        <v>0</v>
      </c>
      <c r="M206" s="238">
        <f>Reported!K150</f>
        <v>0</v>
      </c>
      <c r="N206" s="242">
        <f>Reported!L150</f>
        <v>0</v>
      </c>
      <c r="O206" s="242">
        <f>Reported!M150</f>
        <v>0</v>
      </c>
      <c r="P206" s="243">
        <f>Reported!N150</f>
        <v>0</v>
      </c>
      <c r="Q206" s="238">
        <f>Reported!O150</f>
        <v>0</v>
      </c>
      <c r="R206" s="242">
        <f>Reported!P150</f>
        <v>0</v>
      </c>
      <c r="S206" s="242">
        <f>Reported!Q150</f>
        <v>0</v>
      </c>
      <c r="T206" s="243">
        <f>Reported!R150</f>
        <v>0</v>
      </c>
      <c r="U206" s="238">
        <f>Reported!S150</f>
        <v>0</v>
      </c>
      <c r="V206" s="242">
        <f>Reported!T150</f>
        <v>0</v>
      </c>
      <c r="W206" s="242">
        <f>Reported!U150</f>
        <v>0</v>
      </c>
      <c r="X206" s="243">
        <f>Reported!V150</f>
        <v>0</v>
      </c>
      <c r="Y206" s="238">
        <f>Reported!W150</f>
        <v>0</v>
      </c>
      <c r="Z206" s="242">
        <f>Reported!X150</f>
        <v>0</v>
      </c>
      <c r="AA206" s="242">
        <f>Reported!Y150</f>
        <v>0</v>
      </c>
      <c r="AB206" s="243">
        <f>Reported!Z150</f>
        <v>0</v>
      </c>
      <c r="AC206" s="238">
        <f>Reported!AA150</f>
        <v>0</v>
      </c>
      <c r="AD206" s="274">
        <f t="shared" ref="AD206:AV206" si="806">AC206+AD144+AD164+AD165+AD172+AD167+AD149+AD155+AD168+AD147</f>
        <v>0</v>
      </c>
      <c r="AE206" s="274">
        <f t="shared" si="806"/>
        <v>0</v>
      </c>
      <c r="AF206" s="275">
        <f t="shared" si="806"/>
        <v>0</v>
      </c>
      <c r="AG206" s="273">
        <f t="shared" si="806"/>
        <v>0</v>
      </c>
      <c r="AH206" s="274">
        <f t="shared" si="806"/>
        <v>0</v>
      </c>
      <c r="AI206" s="274">
        <f t="shared" si="806"/>
        <v>0</v>
      </c>
      <c r="AJ206" s="275">
        <f t="shared" si="806"/>
        <v>0</v>
      </c>
      <c r="AK206" s="273">
        <f t="shared" si="806"/>
        <v>0</v>
      </c>
      <c r="AL206" s="274">
        <f t="shared" si="806"/>
        <v>0</v>
      </c>
      <c r="AM206" s="274">
        <f t="shared" si="806"/>
        <v>0</v>
      </c>
      <c r="AN206" s="275">
        <f t="shared" si="806"/>
        <v>0</v>
      </c>
      <c r="AO206" s="18">
        <f t="shared" si="806"/>
        <v>0</v>
      </c>
      <c r="AP206" s="19">
        <f t="shared" si="806"/>
        <v>0</v>
      </c>
      <c r="AQ206" s="274">
        <f t="shared" si="806"/>
        <v>0</v>
      </c>
      <c r="AR206" s="275">
        <f t="shared" si="806"/>
        <v>0</v>
      </c>
      <c r="AS206" s="18">
        <f t="shared" si="806"/>
        <v>0</v>
      </c>
      <c r="AT206" s="19">
        <f t="shared" si="806"/>
        <v>0</v>
      </c>
      <c r="AU206" s="274">
        <f t="shared" si="806"/>
        <v>0</v>
      </c>
      <c r="AV206" s="275">
        <f t="shared" si="806"/>
        <v>0</v>
      </c>
      <c r="AW206" s="85"/>
      <c r="BR206" s="77">
        <f t="shared" si="644"/>
        <v>203</v>
      </c>
    </row>
    <row r="207" spans="1:70" ht="12" customHeight="1" x14ac:dyDescent="0.15">
      <c r="A207" s="188"/>
      <c r="B207" s="10"/>
      <c r="C207" s="85"/>
      <c r="D207" s="85"/>
      <c r="E207" s="125"/>
      <c r="F207" s="140"/>
      <c r="G207" s="140"/>
      <c r="H207" s="140"/>
      <c r="I207" s="125"/>
      <c r="J207" s="140"/>
      <c r="K207" s="140"/>
      <c r="L207" s="141"/>
      <c r="M207" s="125"/>
      <c r="N207" s="140"/>
      <c r="O207" s="140"/>
      <c r="P207" s="141"/>
      <c r="Q207" s="125"/>
      <c r="R207" s="140"/>
      <c r="S207" s="140"/>
      <c r="T207" s="141"/>
      <c r="U207" s="125"/>
      <c r="V207" s="140"/>
      <c r="W207" s="140"/>
      <c r="X207" s="141"/>
      <c r="Y207" s="125"/>
      <c r="Z207" s="140"/>
      <c r="AA207" s="140"/>
      <c r="AB207" s="141"/>
      <c r="AC207" s="125"/>
      <c r="AD207" s="155"/>
      <c r="AE207" s="155"/>
      <c r="AF207" s="156"/>
      <c r="AG207" s="130"/>
      <c r="AH207" s="155"/>
      <c r="AI207" s="155"/>
      <c r="AJ207" s="156"/>
      <c r="AK207" s="130"/>
      <c r="AL207" s="155"/>
      <c r="AM207" s="155"/>
      <c r="AN207" s="156"/>
      <c r="AO207" s="131"/>
      <c r="AP207" s="157"/>
      <c r="AQ207" s="155"/>
      <c r="AR207" s="156"/>
      <c r="AS207" s="131"/>
      <c r="AT207" s="157"/>
      <c r="AU207" s="155"/>
      <c r="AV207" s="156"/>
      <c r="AW207" s="85"/>
      <c r="BR207" s="77">
        <f t="shared" si="644"/>
        <v>204</v>
      </c>
    </row>
    <row r="208" spans="1:70" ht="12" customHeight="1" x14ac:dyDescent="0.15">
      <c r="A208" s="6" t="s">
        <v>79</v>
      </c>
      <c r="B208" s="188"/>
      <c r="C208" s="85"/>
      <c r="D208" s="85"/>
      <c r="E208" s="239">
        <f t="shared" ref="E208:T208" si="807">E206+E204</f>
        <v>0</v>
      </c>
      <c r="F208" s="244">
        <f t="shared" si="807"/>
        <v>0</v>
      </c>
      <c r="G208" s="244">
        <f t="shared" si="807"/>
        <v>0</v>
      </c>
      <c r="H208" s="245">
        <f t="shared" si="807"/>
        <v>0</v>
      </c>
      <c r="I208" s="239">
        <f t="shared" si="807"/>
        <v>0</v>
      </c>
      <c r="J208" s="244">
        <f t="shared" si="807"/>
        <v>0</v>
      </c>
      <c r="K208" s="244">
        <f t="shared" si="807"/>
        <v>0</v>
      </c>
      <c r="L208" s="245">
        <f t="shared" si="807"/>
        <v>0</v>
      </c>
      <c r="M208" s="239">
        <f t="shared" si="807"/>
        <v>0</v>
      </c>
      <c r="N208" s="244">
        <f t="shared" si="807"/>
        <v>0</v>
      </c>
      <c r="O208" s="244">
        <f t="shared" si="807"/>
        <v>0</v>
      </c>
      <c r="P208" s="245">
        <f t="shared" si="807"/>
        <v>0</v>
      </c>
      <c r="Q208" s="239">
        <f t="shared" si="807"/>
        <v>0</v>
      </c>
      <c r="R208" s="244">
        <f t="shared" si="807"/>
        <v>0</v>
      </c>
      <c r="S208" s="244">
        <f t="shared" si="807"/>
        <v>0</v>
      </c>
      <c r="T208" s="245">
        <f t="shared" si="807"/>
        <v>0</v>
      </c>
      <c r="U208" s="239">
        <f t="shared" ref="U208:V208" si="808">U206+U204</f>
        <v>0</v>
      </c>
      <c r="V208" s="244">
        <f t="shared" si="808"/>
        <v>0</v>
      </c>
      <c r="W208" s="244">
        <f t="shared" ref="W208:Z208" si="809">W206+W204</f>
        <v>0</v>
      </c>
      <c r="X208" s="245">
        <f t="shared" si="809"/>
        <v>0</v>
      </c>
      <c r="Y208" s="239">
        <f t="shared" si="809"/>
        <v>0</v>
      </c>
      <c r="Z208" s="244">
        <f t="shared" si="809"/>
        <v>0</v>
      </c>
      <c r="AA208" s="244">
        <f t="shared" ref="AA208:AC208" si="810">AA206+AA204</f>
        <v>0</v>
      </c>
      <c r="AB208" s="245">
        <f t="shared" si="810"/>
        <v>0</v>
      </c>
      <c r="AC208" s="239">
        <f t="shared" si="810"/>
        <v>0</v>
      </c>
      <c r="AD208" s="261" t="e">
        <f t="shared" ref="AD208:AR208" si="811">AD204+AD206</f>
        <v>#DIV/0!</v>
      </c>
      <c r="AE208" s="261" t="e">
        <f t="shared" si="811"/>
        <v>#DIV/0!</v>
      </c>
      <c r="AF208" s="262" t="e">
        <f t="shared" si="811"/>
        <v>#DIV/0!</v>
      </c>
      <c r="AG208" s="260" t="e">
        <f t="shared" si="811"/>
        <v>#DIV/0!</v>
      </c>
      <c r="AH208" s="261" t="e">
        <f t="shared" si="811"/>
        <v>#DIV/0!</v>
      </c>
      <c r="AI208" s="261" t="e">
        <f t="shared" si="811"/>
        <v>#DIV/0!</v>
      </c>
      <c r="AJ208" s="262" t="e">
        <f t="shared" si="811"/>
        <v>#DIV/0!</v>
      </c>
      <c r="AK208" s="260" t="e">
        <f t="shared" si="811"/>
        <v>#DIV/0!</v>
      </c>
      <c r="AL208" s="261" t="e">
        <f t="shared" si="811"/>
        <v>#DIV/0!</v>
      </c>
      <c r="AM208" s="261" t="e">
        <f t="shared" si="811"/>
        <v>#DIV/0!</v>
      </c>
      <c r="AN208" s="262" t="e">
        <f t="shared" si="811"/>
        <v>#DIV/0!</v>
      </c>
      <c r="AO208" s="263" t="e">
        <f t="shared" si="811"/>
        <v>#DIV/0!</v>
      </c>
      <c r="AP208" s="264" t="e">
        <f t="shared" si="811"/>
        <v>#DIV/0!</v>
      </c>
      <c r="AQ208" s="261" t="e">
        <f t="shared" si="811"/>
        <v>#DIV/0!</v>
      </c>
      <c r="AR208" s="262" t="e">
        <f t="shared" si="811"/>
        <v>#DIV/0!</v>
      </c>
      <c r="AS208" s="263" t="e">
        <f t="shared" ref="AS208:AV208" si="812">AS204+AS206</f>
        <v>#DIV/0!</v>
      </c>
      <c r="AT208" s="264" t="e">
        <f t="shared" si="812"/>
        <v>#DIV/0!</v>
      </c>
      <c r="AU208" s="261" t="e">
        <f t="shared" si="812"/>
        <v>#DIV/0!</v>
      </c>
      <c r="AV208" s="262" t="e">
        <f t="shared" si="812"/>
        <v>#DIV/0!</v>
      </c>
      <c r="AW208" s="85"/>
      <c r="BR208" s="77">
        <f t="shared" si="644"/>
        <v>205</v>
      </c>
    </row>
    <row r="209" spans="1:70" ht="12" customHeight="1" x14ac:dyDescent="0.15">
      <c r="A209" s="85"/>
      <c r="B209" s="188"/>
      <c r="C209" s="85"/>
      <c r="D209" s="85"/>
      <c r="E209" s="97">
        <f t="shared" ref="E209:AR209" si="813">E189-E208</f>
        <v>0</v>
      </c>
      <c r="F209" s="97">
        <f t="shared" si="813"/>
        <v>0</v>
      </c>
      <c r="G209" s="97">
        <f t="shared" si="813"/>
        <v>0</v>
      </c>
      <c r="H209" s="97">
        <f t="shared" si="813"/>
        <v>0</v>
      </c>
      <c r="I209" s="97">
        <f t="shared" si="813"/>
        <v>0</v>
      </c>
      <c r="J209" s="97">
        <f t="shared" si="813"/>
        <v>0</v>
      </c>
      <c r="K209" s="97">
        <f t="shared" si="813"/>
        <v>0</v>
      </c>
      <c r="L209" s="97">
        <f t="shared" si="813"/>
        <v>0</v>
      </c>
      <c r="M209" s="97">
        <f t="shared" si="813"/>
        <v>0</v>
      </c>
      <c r="N209" s="97">
        <f t="shared" si="813"/>
        <v>0</v>
      </c>
      <c r="O209" s="97">
        <f t="shared" si="813"/>
        <v>0</v>
      </c>
      <c r="P209" s="97">
        <f t="shared" si="813"/>
        <v>0</v>
      </c>
      <c r="Q209" s="97">
        <f t="shared" si="813"/>
        <v>0</v>
      </c>
      <c r="R209" s="97">
        <f t="shared" si="813"/>
        <v>0</v>
      </c>
      <c r="S209" s="97">
        <f t="shared" si="813"/>
        <v>0</v>
      </c>
      <c r="T209" s="97">
        <f t="shared" si="813"/>
        <v>0</v>
      </c>
      <c r="U209" s="97">
        <f t="shared" ref="U209:V209" si="814">U189-U208</f>
        <v>0</v>
      </c>
      <c r="V209" s="97">
        <f t="shared" si="814"/>
        <v>0</v>
      </c>
      <c r="W209" s="97">
        <f t="shared" ref="W209:Z209" si="815">W189-W208</f>
        <v>0</v>
      </c>
      <c r="X209" s="97">
        <f t="shared" si="815"/>
        <v>0</v>
      </c>
      <c r="Y209" s="97">
        <f t="shared" si="815"/>
        <v>0</v>
      </c>
      <c r="Z209" s="97">
        <f t="shared" si="815"/>
        <v>0</v>
      </c>
      <c r="AA209" s="97">
        <f t="shared" ref="AA209:AC209" si="816">AA189-AA208</f>
        <v>0</v>
      </c>
      <c r="AB209" s="97">
        <f t="shared" si="816"/>
        <v>0</v>
      </c>
      <c r="AC209" s="97">
        <f t="shared" si="816"/>
        <v>0</v>
      </c>
      <c r="AD209" s="474" t="e">
        <f t="shared" si="813"/>
        <v>#DIV/0!</v>
      </c>
      <c r="AE209" s="474" t="e">
        <f t="shared" si="813"/>
        <v>#DIV/0!</v>
      </c>
      <c r="AF209" s="474" t="e">
        <f t="shared" si="813"/>
        <v>#DIV/0!</v>
      </c>
      <c r="AG209" s="474" t="e">
        <f t="shared" si="813"/>
        <v>#DIV/0!</v>
      </c>
      <c r="AH209" s="474" t="e">
        <f t="shared" si="813"/>
        <v>#DIV/0!</v>
      </c>
      <c r="AI209" s="474" t="e">
        <f t="shared" si="813"/>
        <v>#DIV/0!</v>
      </c>
      <c r="AJ209" s="474" t="e">
        <f t="shared" si="813"/>
        <v>#DIV/0!</v>
      </c>
      <c r="AK209" s="474" t="e">
        <f t="shared" si="813"/>
        <v>#DIV/0!</v>
      </c>
      <c r="AL209" s="474" t="e">
        <f t="shared" si="813"/>
        <v>#DIV/0!</v>
      </c>
      <c r="AM209" s="474" t="e">
        <f t="shared" si="813"/>
        <v>#DIV/0!</v>
      </c>
      <c r="AN209" s="474" t="e">
        <f t="shared" si="813"/>
        <v>#DIV/0!</v>
      </c>
      <c r="AO209" s="474" t="e">
        <f t="shared" si="813"/>
        <v>#DIV/0!</v>
      </c>
      <c r="AP209" s="474" t="e">
        <f t="shared" si="813"/>
        <v>#DIV/0!</v>
      </c>
      <c r="AQ209" s="474" t="e">
        <f t="shared" si="813"/>
        <v>#DIV/0!</v>
      </c>
      <c r="AR209" s="474" t="e">
        <f t="shared" si="813"/>
        <v>#DIV/0!</v>
      </c>
      <c r="AS209" s="474" t="e">
        <f t="shared" ref="AS209:AV209" si="817">AS189-AS208</f>
        <v>#DIV/0!</v>
      </c>
      <c r="AT209" s="474" t="e">
        <f t="shared" si="817"/>
        <v>#DIV/0!</v>
      </c>
      <c r="AU209" s="474" t="e">
        <f t="shared" si="817"/>
        <v>#DIV/0!</v>
      </c>
      <c r="AV209" s="474" t="e">
        <f t="shared" si="817"/>
        <v>#DIV/0!</v>
      </c>
      <c r="AW209" s="85"/>
      <c r="BR209" s="77">
        <f t="shared" si="644"/>
        <v>206</v>
      </c>
    </row>
    <row r="210" spans="1:70" ht="12" customHeight="1" x14ac:dyDescent="0.15">
      <c r="A210" s="85"/>
      <c r="B210" s="188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129"/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  <c r="AR210" s="129"/>
      <c r="AS210" s="129"/>
      <c r="AT210" s="129"/>
      <c r="AU210" s="129"/>
      <c r="AV210" s="129"/>
      <c r="AW210" s="85"/>
      <c r="BR210" s="77">
        <f t="shared" si="644"/>
        <v>207</v>
      </c>
    </row>
    <row r="211" spans="1:70" ht="12" customHeight="1" x14ac:dyDescent="0.15">
      <c r="A211" s="6" t="s">
        <v>71</v>
      </c>
      <c r="B211" s="188"/>
      <c r="C211" s="85"/>
      <c r="D211" s="85"/>
      <c r="E211" s="97">
        <f t="shared" ref="E211:AR211" si="818">E178+E179+E184-E191-E194-E200</f>
        <v>0</v>
      </c>
      <c r="F211" s="97">
        <f t="shared" si="818"/>
        <v>0</v>
      </c>
      <c r="G211" s="97">
        <f t="shared" si="818"/>
        <v>0</v>
      </c>
      <c r="H211" s="97">
        <f t="shared" si="818"/>
        <v>0</v>
      </c>
      <c r="I211" s="97">
        <f t="shared" si="818"/>
        <v>0</v>
      </c>
      <c r="J211" s="97">
        <f t="shared" si="818"/>
        <v>0</v>
      </c>
      <c r="K211" s="97">
        <f t="shared" si="818"/>
        <v>0</v>
      </c>
      <c r="L211" s="97">
        <f t="shared" si="818"/>
        <v>0</v>
      </c>
      <c r="M211" s="97">
        <f t="shared" si="818"/>
        <v>0</v>
      </c>
      <c r="N211" s="97">
        <f t="shared" si="818"/>
        <v>0</v>
      </c>
      <c r="O211" s="97">
        <f t="shared" si="818"/>
        <v>0</v>
      </c>
      <c r="P211" s="97">
        <f t="shared" si="818"/>
        <v>0</v>
      </c>
      <c r="Q211" s="97">
        <f t="shared" si="818"/>
        <v>0</v>
      </c>
      <c r="R211" s="97">
        <f t="shared" si="818"/>
        <v>0</v>
      </c>
      <c r="S211" s="97">
        <f t="shared" si="818"/>
        <v>0</v>
      </c>
      <c r="T211" s="97">
        <f t="shared" si="818"/>
        <v>0</v>
      </c>
      <c r="U211" s="97">
        <f t="shared" ref="U211:V211" si="819">U178+U179+U184-U191-U194-U200</f>
        <v>0</v>
      </c>
      <c r="V211" s="97">
        <f t="shared" si="819"/>
        <v>0</v>
      </c>
      <c r="W211" s="97">
        <f t="shared" ref="W211:Z211" si="820">W178+W179+W184-W191-W194-W200</f>
        <v>0</v>
      </c>
      <c r="X211" s="97">
        <f t="shared" si="820"/>
        <v>0</v>
      </c>
      <c r="Y211" s="97">
        <f t="shared" si="820"/>
        <v>0</v>
      </c>
      <c r="Z211" s="97">
        <f t="shared" si="820"/>
        <v>0</v>
      </c>
      <c r="AA211" s="97">
        <f t="shared" ref="AA211:AC211" si="821">AA178+AA179+AA184-AA191-AA194-AA200</f>
        <v>0</v>
      </c>
      <c r="AB211" s="97">
        <f t="shared" si="821"/>
        <v>0</v>
      </c>
      <c r="AC211" s="97">
        <f t="shared" si="821"/>
        <v>0</v>
      </c>
      <c r="AD211" s="97" t="e">
        <f t="shared" si="818"/>
        <v>#DIV/0!</v>
      </c>
      <c r="AE211" s="97" t="e">
        <f t="shared" si="818"/>
        <v>#DIV/0!</v>
      </c>
      <c r="AF211" s="97" t="e">
        <f t="shared" si="818"/>
        <v>#DIV/0!</v>
      </c>
      <c r="AG211" s="97" t="e">
        <f t="shared" si="818"/>
        <v>#DIV/0!</v>
      </c>
      <c r="AH211" s="97" t="e">
        <f t="shared" si="818"/>
        <v>#DIV/0!</v>
      </c>
      <c r="AI211" s="97" t="e">
        <f t="shared" si="818"/>
        <v>#DIV/0!</v>
      </c>
      <c r="AJ211" s="97" t="e">
        <f t="shared" si="818"/>
        <v>#DIV/0!</v>
      </c>
      <c r="AK211" s="97" t="e">
        <f t="shared" si="818"/>
        <v>#DIV/0!</v>
      </c>
      <c r="AL211" s="97" t="e">
        <f t="shared" si="818"/>
        <v>#DIV/0!</v>
      </c>
      <c r="AM211" s="97" t="e">
        <f t="shared" si="818"/>
        <v>#DIV/0!</v>
      </c>
      <c r="AN211" s="97" t="e">
        <f t="shared" si="818"/>
        <v>#DIV/0!</v>
      </c>
      <c r="AO211" s="97" t="e">
        <f t="shared" si="818"/>
        <v>#DIV/0!</v>
      </c>
      <c r="AP211" s="97" t="e">
        <f t="shared" si="818"/>
        <v>#DIV/0!</v>
      </c>
      <c r="AQ211" s="97" t="e">
        <f t="shared" si="818"/>
        <v>#DIV/0!</v>
      </c>
      <c r="AR211" s="97" t="e">
        <f t="shared" si="818"/>
        <v>#DIV/0!</v>
      </c>
      <c r="AS211" s="97" t="e">
        <f t="shared" ref="AS211:AV211" si="822">AS178+AS179+AS184-AS191-AS194-AS200</f>
        <v>#DIV/0!</v>
      </c>
      <c r="AT211" s="97" t="e">
        <f t="shared" si="822"/>
        <v>#DIV/0!</v>
      </c>
      <c r="AU211" s="97" t="e">
        <f t="shared" si="822"/>
        <v>#DIV/0!</v>
      </c>
      <c r="AV211" s="97" t="e">
        <f t="shared" si="822"/>
        <v>#DIV/0!</v>
      </c>
      <c r="AW211" s="85"/>
      <c r="BR211" s="77">
        <f t="shared" si="644"/>
        <v>208</v>
      </c>
    </row>
    <row r="212" spans="1:70" ht="12" customHeight="1" x14ac:dyDescent="0.15">
      <c r="A212" s="85"/>
      <c r="B212" s="188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85"/>
      <c r="AN212" s="85"/>
      <c r="AO212" s="127"/>
      <c r="AP212" s="127"/>
      <c r="AQ212" s="85"/>
      <c r="AR212" s="85"/>
      <c r="AS212" s="127"/>
      <c r="AT212" s="127"/>
      <c r="AU212" s="85"/>
      <c r="AV212" s="85"/>
      <c r="AW212" s="85"/>
      <c r="BR212" s="77">
        <f t="shared" si="644"/>
        <v>209</v>
      </c>
    </row>
    <row r="213" spans="1:70" ht="12" customHeight="1" x14ac:dyDescent="0.15">
      <c r="A213" s="85"/>
      <c r="B213" s="188" t="s">
        <v>80</v>
      </c>
      <c r="C213" s="85"/>
      <c r="D213" s="85"/>
      <c r="E213" s="268">
        <f t="shared" ref="E213:AB213" si="823">IFERROR(E180/(E48/90),0)</f>
        <v>0</v>
      </c>
      <c r="F213" s="269">
        <f t="shared" si="823"/>
        <v>0</v>
      </c>
      <c r="G213" s="269">
        <f t="shared" si="823"/>
        <v>0</v>
      </c>
      <c r="H213" s="269">
        <f t="shared" si="823"/>
        <v>0</v>
      </c>
      <c r="I213" s="268">
        <f t="shared" si="823"/>
        <v>0</v>
      </c>
      <c r="J213" s="269">
        <f t="shared" si="823"/>
        <v>0</v>
      </c>
      <c r="K213" s="269">
        <f t="shared" si="823"/>
        <v>0</v>
      </c>
      <c r="L213" s="270">
        <f t="shared" si="823"/>
        <v>0</v>
      </c>
      <c r="M213" s="268">
        <f t="shared" si="823"/>
        <v>0</v>
      </c>
      <c r="N213" s="269">
        <f t="shared" si="823"/>
        <v>0</v>
      </c>
      <c r="O213" s="269">
        <f t="shared" si="823"/>
        <v>0</v>
      </c>
      <c r="P213" s="270">
        <f t="shared" si="823"/>
        <v>0</v>
      </c>
      <c r="Q213" s="268">
        <f t="shared" si="823"/>
        <v>0</v>
      </c>
      <c r="R213" s="269">
        <f t="shared" si="823"/>
        <v>0</v>
      </c>
      <c r="S213" s="269">
        <f t="shared" si="823"/>
        <v>0</v>
      </c>
      <c r="T213" s="270">
        <f t="shared" si="823"/>
        <v>0</v>
      </c>
      <c r="U213" s="268">
        <f t="shared" si="823"/>
        <v>0</v>
      </c>
      <c r="V213" s="269">
        <f t="shared" si="823"/>
        <v>0</v>
      </c>
      <c r="W213" s="269">
        <f t="shared" si="823"/>
        <v>0</v>
      </c>
      <c r="X213" s="270">
        <f t="shared" si="823"/>
        <v>0</v>
      </c>
      <c r="Y213" s="268">
        <f t="shared" si="823"/>
        <v>0</v>
      </c>
      <c r="Z213" s="269">
        <f t="shared" si="823"/>
        <v>0</v>
      </c>
      <c r="AA213" s="269">
        <f t="shared" si="823"/>
        <v>0</v>
      </c>
      <c r="AB213" s="270">
        <f t="shared" si="823"/>
        <v>0</v>
      </c>
      <c r="AC213" s="268">
        <f t="shared" ref="AC213" si="824">IFERROR(AC180/(AC48/90),0)</f>
        <v>0</v>
      </c>
      <c r="AD213" s="265">
        <f t="shared" ref="AD213:AR213" si="825">AC213</f>
        <v>0</v>
      </c>
      <c r="AE213" s="265">
        <f t="shared" si="825"/>
        <v>0</v>
      </c>
      <c r="AF213" s="271">
        <f t="shared" si="825"/>
        <v>0</v>
      </c>
      <c r="AG213" s="266">
        <f t="shared" si="825"/>
        <v>0</v>
      </c>
      <c r="AH213" s="265">
        <f t="shared" si="825"/>
        <v>0</v>
      </c>
      <c r="AI213" s="265">
        <f t="shared" si="825"/>
        <v>0</v>
      </c>
      <c r="AJ213" s="271">
        <f t="shared" si="825"/>
        <v>0</v>
      </c>
      <c r="AK213" s="266">
        <f t="shared" si="825"/>
        <v>0</v>
      </c>
      <c r="AL213" s="265">
        <f t="shared" si="825"/>
        <v>0</v>
      </c>
      <c r="AM213" s="265">
        <f t="shared" si="825"/>
        <v>0</v>
      </c>
      <c r="AN213" s="271">
        <f t="shared" si="825"/>
        <v>0</v>
      </c>
      <c r="AO213" s="272">
        <f t="shared" si="825"/>
        <v>0</v>
      </c>
      <c r="AP213" s="267">
        <f t="shared" si="825"/>
        <v>0</v>
      </c>
      <c r="AQ213" s="265">
        <f t="shared" si="825"/>
        <v>0</v>
      </c>
      <c r="AR213" s="271">
        <f t="shared" si="825"/>
        <v>0</v>
      </c>
      <c r="AS213" s="272">
        <f t="shared" ref="AS213:AS214" si="826">AR213</f>
        <v>0</v>
      </c>
      <c r="AT213" s="267">
        <f t="shared" ref="AT213:AT214" si="827">AS213</f>
        <v>0</v>
      </c>
      <c r="AU213" s="265">
        <f t="shared" ref="AU213:AU214" si="828">AT213</f>
        <v>0</v>
      </c>
      <c r="AV213" s="271">
        <f t="shared" ref="AV213:AV214" si="829">AU213</f>
        <v>0</v>
      </c>
      <c r="AW213" s="85"/>
      <c r="BR213" s="77">
        <f t="shared" si="644"/>
        <v>210</v>
      </c>
    </row>
    <row r="214" spans="1:70" ht="12" customHeight="1" x14ac:dyDescent="0.15">
      <c r="A214" s="85"/>
      <c r="B214" s="188" t="s">
        <v>81</v>
      </c>
      <c r="C214" s="85"/>
      <c r="D214" s="85"/>
      <c r="E214" s="169">
        <f t="shared" ref="E214:AB214" si="830">IFERROR(E192/((E10+E21+E59+E30+E35+E15+E60+E61)/90),0)</f>
        <v>0</v>
      </c>
      <c r="F214" s="240">
        <f t="shared" si="830"/>
        <v>0</v>
      </c>
      <c r="G214" s="240">
        <f t="shared" si="830"/>
        <v>0</v>
      </c>
      <c r="H214" s="241">
        <f t="shared" si="830"/>
        <v>0</v>
      </c>
      <c r="I214" s="169">
        <f t="shared" si="830"/>
        <v>0</v>
      </c>
      <c r="J214" s="240">
        <f t="shared" si="830"/>
        <v>0</v>
      </c>
      <c r="K214" s="240">
        <f t="shared" si="830"/>
        <v>0</v>
      </c>
      <c r="L214" s="241">
        <f t="shared" si="830"/>
        <v>0</v>
      </c>
      <c r="M214" s="169">
        <f t="shared" si="830"/>
        <v>0</v>
      </c>
      <c r="N214" s="240">
        <f t="shared" si="830"/>
        <v>0</v>
      </c>
      <c r="O214" s="240">
        <f t="shared" si="830"/>
        <v>0</v>
      </c>
      <c r="P214" s="241">
        <f t="shared" si="830"/>
        <v>0</v>
      </c>
      <c r="Q214" s="169">
        <f t="shared" si="830"/>
        <v>0</v>
      </c>
      <c r="R214" s="240">
        <f t="shared" si="830"/>
        <v>0</v>
      </c>
      <c r="S214" s="240">
        <f t="shared" si="830"/>
        <v>0</v>
      </c>
      <c r="T214" s="241">
        <f t="shared" si="830"/>
        <v>0</v>
      </c>
      <c r="U214" s="169">
        <f t="shared" si="830"/>
        <v>0</v>
      </c>
      <c r="V214" s="240">
        <f t="shared" si="830"/>
        <v>0</v>
      </c>
      <c r="W214" s="240">
        <f t="shared" si="830"/>
        <v>0</v>
      </c>
      <c r="X214" s="241">
        <f t="shared" si="830"/>
        <v>0</v>
      </c>
      <c r="Y214" s="169">
        <f t="shared" si="830"/>
        <v>0</v>
      </c>
      <c r="Z214" s="240">
        <f t="shared" si="830"/>
        <v>0</v>
      </c>
      <c r="AA214" s="240">
        <f t="shared" si="830"/>
        <v>0</v>
      </c>
      <c r="AB214" s="241">
        <f t="shared" si="830"/>
        <v>0</v>
      </c>
      <c r="AC214" s="169">
        <f t="shared" ref="AC214" si="831">IFERROR(AC192/((AC10+AC21+AC59+AC30+AC35+AC15+AC60+AC61)/90),0)</f>
        <v>0</v>
      </c>
      <c r="AD214" s="258">
        <f t="shared" ref="AD214:AR214" si="832">AC214</f>
        <v>0</v>
      </c>
      <c r="AE214" s="258">
        <f t="shared" si="832"/>
        <v>0</v>
      </c>
      <c r="AF214" s="259">
        <f t="shared" si="832"/>
        <v>0</v>
      </c>
      <c r="AG214" s="170">
        <f t="shared" si="832"/>
        <v>0</v>
      </c>
      <c r="AH214" s="258">
        <f t="shared" si="832"/>
        <v>0</v>
      </c>
      <c r="AI214" s="258">
        <f t="shared" si="832"/>
        <v>0</v>
      </c>
      <c r="AJ214" s="259">
        <f t="shared" si="832"/>
        <v>0</v>
      </c>
      <c r="AK214" s="170">
        <f t="shared" si="832"/>
        <v>0</v>
      </c>
      <c r="AL214" s="258">
        <f t="shared" si="832"/>
        <v>0</v>
      </c>
      <c r="AM214" s="258">
        <f t="shared" si="832"/>
        <v>0</v>
      </c>
      <c r="AN214" s="259">
        <f t="shared" si="832"/>
        <v>0</v>
      </c>
      <c r="AO214" s="88">
        <f t="shared" si="832"/>
        <v>0</v>
      </c>
      <c r="AP214" s="86">
        <f t="shared" si="832"/>
        <v>0</v>
      </c>
      <c r="AQ214" s="258">
        <f t="shared" si="832"/>
        <v>0</v>
      </c>
      <c r="AR214" s="259">
        <f t="shared" si="832"/>
        <v>0</v>
      </c>
      <c r="AS214" s="88">
        <f t="shared" si="826"/>
        <v>0</v>
      </c>
      <c r="AT214" s="86">
        <f t="shared" si="827"/>
        <v>0</v>
      </c>
      <c r="AU214" s="258">
        <f t="shared" si="828"/>
        <v>0</v>
      </c>
      <c r="AV214" s="259">
        <f t="shared" si="829"/>
        <v>0</v>
      </c>
      <c r="AW214" s="85"/>
      <c r="BR214" s="77">
        <f t="shared" si="644"/>
        <v>211</v>
      </c>
    </row>
    <row r="215" spans="1:70" s="471" customFormat="1" ht="12" customHeight="1" x14ac:dyDescent="0.15">
      <c r="A215" s="328"/>
      <c r="B215" s="188" t="s">
        <v>181</v>
      </c>
      <c r="C215" s="328"/>
      <c r="D215" s="328"/>
      <c r="E215" s="468"/>
      <c r="F215" s="469"/>
      <c r="G215" s="469"/>
      <c r="H215" s="469"/>
      <c r="I215" s="468"/>
      <c r="J215" s="469"/>
      <c r="K215" s="469"/>
      <c r="L215" s="470"/>
      <c r="M215" s="468"/>
      <c r="N215" s="469"/>
      <c r="O215" s="469"/>
      <c r="P215" s="470"/>
      <c r="Q215" s="468"/>
      <c r="R215" s="469"/>
      <c r="S215" s="469"/>
      <c r="T215" s="470"/>
      <c r="U215" s="502" t="e">
        <f t="shared" ref="U215:AC215" si="833">(U193+U198)/SUM(R20:U20)*365</f>
        <v>#DIV/0!</v>
      </c>
      <c r="V215" s="503" t="e">
        <f t="shared" si="833"/>
        <v>#DIV/0!</v>
      </c>
      <c r="W215" s="503" t="e">
        <f t="shared" si="833"/>
        <v>#DIV/0!</v>
      </c>
      <c r="X215" s="504" t="e">
        <f t="shared" si="833"/>
        <v>#DIV/0!</v>
      </c>
      <c r="Y215" s="502" t="e">
        <f t="shared" si="833"/>
        <v>#DIV/0!</v>
      </c>
      <c r="Z215" s="503" t="e">
        <f t="shared" si="833"/>
        <v>#DIV/0!</v>
      </c>
      <c r="AA215" s="503" t="e">
        <f t="shared" si="833"/>
        <v>#DIV/0!</v>
      </c>
      <c r="AB215" s="504" t="e">
        <f t="shared" si="833"/>
        <v>#DIV/0!</v>
      </c>
      <c r="AC215" s="502" t="e">
        <f t="shared" si="833"/>
        <v>#DIV/0!</v>
      </c>
      <c r="AD215" s="405" t="e">
        <f t="shared" ref="AD215:AR215" si="834">+AC215</f>
        <v>#DIV/0!</v>
      </c>
      <c r="AE215" s="405" t="e">
        <f t="shared" si="834"/>
        <v>#DIV/0!</v>
      </c>
      <c r="AF215" s="406" t="e">
        <f t="shared" si="834"/>
        <v>#DIV/0!</v>
      </c>
      <c r="AG215" s="407" t="e">
        <f t="shared" si="834"/>
        <v>#DIV/0!</v>
      </c>
      <c r="AH215" s="405" t="e">
        <f t="shared" si="834"/>
        <v>#DIV/0!</v>
      </c>
      <c r="AI215" s="405" t="e">
        <f t="shared" si="834"/>
        <v>#DIV/0!</v>
      </c>
      <c r="AJ215" s="406" t="e">
        <f t="shared" si="834"/>
        <v>#DIV/0!</v>
      </c>
      <c r="AK215" s="407" t="e">
        <f t="shared" si="834"/>
        <v>#DIV/0!</v>
      </c>
      <c r="AL215" s="405" t="e">
        <f t="shared" si="834"/>
        <v>#DIV/0!</v>
      </c>
      <c r="AM215" s="405" t="e">
        <f t="shared" si="834"/>
        <v>#DIV/0!</v>
      </c>
      <c r="AN215" s="406" t="e">
        <f t="shared" si="834"/>
        <v>#DIV/0!</v>
      </c>
      <c r="AO215" s="407" t="e">
        <f t="shared" si="834"/>
        <v>#DIV/0!</v>
      </c>
      <c r="AP215" s="405" t="e">
        <f t="shared" si="834"/>
        <v>#DIV/0!</v>
      </c>
      <c r="AQ215" s="405" t="e">
        <f t="shared" si="834"/>
        <v>#DIV/0!</v>
      </c>
      <c r="AR215" s="406" t="e">
        <f t="shared" si="834"/>
        <v>#DIV/0!</v>
      </c>
      <c r="AS215" s="407" t="e">
        <f t="shared" ref="AS215" si="835">+AR215</f>
        <v>#DIV/0!</v>
      </c>
      <c r="AT215" s="405" t="e">
        <f t="shared" ref="AT215" si="836">+AS215</f>
        <v>#DIV/0!</v>
      </c>
      <c r="AU215" s="405" t="e">
        <f t="shared" ref="AU215" si="837">+AT215</f>
        <v>#DIV/0!</v>
      </c>
      <c r="AV215" s="406" t="e">
        <f t="shared" ref="AV215" si="838">+AU215</f>
        <v>#DIV/0!</v>
      </c>
      <c r="AW215" s="328"/>
      <c r="BE215" s="472"/>
      <c r="BR215" s="473"/>
    </row>
    <row r="216" spans="1:70" ht="12" customHeight="1" x14ac:dyDescent="0.1"/>
    <row r="217" spans="1:70" ht="12" customHeight="1" x14ac:dyDescent="0.1"/>
    <row r="218" spans="1:70" ht="12" customHeight="1" x14ac:dyDescent="0.1">
      <c r="AD218" s="171"/>
      <c r="AE218" s="171"/>
      <c r="AF218" s="171"/>
      <c r="AG218" s="171"/>
      <c r="AH218" s="171"/>
      <c r="AI218" s="171"/>
    </row>
  </sheetData>
  <dataValidations count="1">
    <dataValidation type="list" allowBlank="1" showInputMessage="1" showErrorMessage="1" sqref="E5:AV5" xr:uid="{00000000-0002-0000-0100-000000000000}">
      <formula1>DataType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166"/>
  <sheetViews>
    <sheetView tabSelected="1" zoomScaleNormal="100" workbookViewId="0" xr3:uid="{842E5F09-E766-5B8D-85AF-A39847EA96FD}">
      <pane xSplit="1" ySplit="5" topLeftCell="U6" activePane="bottomRight" state="frozenSplit"/>
      <selection pane="bottomLeft" activeCell="A42" sqref="A42"/>
      <selection pane="topRight" activeCell="D1" sqref="D1"/>
      <selection pane="bottomRight" activeCell="W169" sqref="W169"/>
    </sheetView>
  </sheetViews>
  <sheetFormatPr defaultRowHeight="15" x14ac:dyDescent="0.2"/>
  <cols>
    <col min="1" max="1" width="23.67578125" customWidth="1"/>
    <col min="2" max="50" width="10.76171875" customWidth="1"/>
  </cols>
  <sheetData>
    <row r="1" spans="1:50" ht="18" x14ac:dyDescent="0.2">
      <c r="A1" s="530" t="e">
        <f>IF(#REF!=0,"",#REF!)</f>
        <v>#REF!</v>
      </c>
    </row>
    <row r="2" spans="1:50" ht="11.25" customHeight="1" x14ac:dyDescent="0.2">
      <c r="A2" s="531" t="str">
        <f>IFERROR(CHOOSE(#REF!,"Dollars","Thousands","Millions"),"")</f>
        <v/>
      </c>
      <c r="B2" s="2"/>
      <c r="C2" s="555">
        <f>YEAR(F4)</f>
        <v>2011</v>
      </c>
      <c r="D2" s="556"/>
      <c r="E2" s="556"/>
      <c r="F2" s="557"/>
      <c r="G2" s="555">
        <f>YEAR(J4)</f>
        <v>2012</v>
      </c>
      <c r="H2" s="556"/>
      <c r="I2" s="556"/>
      <c r="J2" s="557"/>
      <c r="K2" s="555">
        <f>YEAR(N4)</f>
        <v>2013</v>
      </c>
      <c r="L2" s="556"/>
      <c r="M2" s="556"/>
      <c r="N2" s="557"/>
      <c r="O2" s="555">
        <f>YEAR(R4)</f>
        <v>2014</v>
      </c>
      <c r="P2" s="556"/>
      <c r="Q2" s="556"/>
      <c r="R2" s="557"/>
      <c r="S2" s="555">
        <f>YEAR(V4)</f>
        <v>2015</v>
      </c>
      <c r="T2" s="556"/>
      <c r="U2" s="556"/>
      <c r="V2" s="557"/>
      <c r="W2" s="555">
        <f>YEAR(Z4)</f>
        <v>2016</v>
      </c>
      <c r="X2" s="556"/>
      <c r="Y2" s="556"/>
      <c r="Z2" s="557"/>
      <c r="AA2" s="555">
        <f>YEAR(AD4)</f>
        <v>2017</v>
      </c>
      <c r="AB2" s="556"/>
      <c r="AC2" s="556"/>
      <c r="AD2" s="557"/>
      <c r="AE2" s="555">
        <f>YEAR(AH4)</f>
        <v>2018</v>
      </c>
      <c r="AF2" s="556"/>
      <c r="AG2" s="556"/>
      <c r="AH2" s="557"/>
      <c r="AI2" s="555">
        <f>YEAR(AL4)</f>
        <v>2019</v>
      </c>
      <c r="AJ2" s="556"/>
      <c r="AK2" s="556"/>
      <c r="AL2" s="557"/>
      <c r="AM2" s="555">
        <f>AI2+1</f>
        <v>2020</v>
      </c>
      <c r="AN2" s="556"/>
      <c r="AO2" s="556"/>
      <c r="AP2" s="557"/>
      <c r="AQ2" s="555">
        <f>AM2+1</f>
        <v>2021</v>
      </c>
      <c r="AR2" s="556"/>
      <c r="AS2" s="556"/>
      <c r="AT2" s="557"/>
      <c r="AU2" s="555">
        <f>AQ2+1</f>
        <v>2022</v>
      </c>
      <c r="AV2" s="556"/>
      <c r="AW2" s="556"/>
      <c r="AX2" s="557"/>
    </row>
    <row r="3" spans="1:50" ht="11.25" customHeight="1" x14ac:dyDescent="0.2">
      <c r="A3" s="531" t="str">
        <f>IFERROR(CHOOSE(#REF!,"CAD","USD","EUR","GBP","CNY"),"")</f>
        <v/>
      </c>
      <c r="B3" s="2"/>
      <c r="C3" s="39">
        <v>1</v>
      </c>
      <c r="D3" s="40">
        <v>2</v>
      </c>
      <c r="E3" s="40">
        <v>3</v>
      </c>
      <c r="F3" s="41">
        <v>4</v>
      </c>
      <c r="G3" s="39">
        <v>1</v>
      </c>
      <c r="H3" s="40">
        <v>2</v>
      </c>
      <c r="I3" s="40">
        <v>3</v>
      </c>
      <c r="J3" s="41">
        <v>4</v>
      </c>
      <c r="K3" s="39">
        <v>1</v>
      </c>
      <c r="L3" s="40">
        <v>2</v>
      </c>
      <c r="M3" s="40">
        <v>3</v>
      </c>
      <c r="N3" s="41">
        <v>4</v>
      </c>
      <c r="O3" s="39">
        <v>1</v>
      </c>
      <c r="P3" s="40">
        <v>2</v>
      </c>
      <c r="Q3" s="40">
        <v>3</v>
      </c>
      <c r="R3" s="41">
        <v>4</v>
      </c>
      <c r="S3" s="39">
        <v>1</v>
      </c>
      <c r="T3" s="40">
        <v>2</v>
      </c>
      <c r="U3" s="40">
        <v>3</v>
      </c>
      <c r="V3" s="41">
        <v>4</v>
      </c>
      <c r="W3" s="39">
        <v>1</v>
      </c>
      <c r="X3" s="40">
        <v>2</v>
      </c>
      <c r="Y3" s="40">
        <v>3</v>
      </c>
      <c r="Z3" s="41">
        <v>4</v>
      </c>
      <c r="AA3" s="39">
        <v>1</v>
      </c>
      <c r="AB3" s="40">
        <v>2</v>
      </c>
      <c r="AC3" s="40">
        <v>3</v>
      </c>
      <c r="AD3" s="41">
        <v>4</v>
      </c>
      <c r="AE3" s="39">
        <v>1</v>
      </c>
      <c r="AF3" s="40">
        <v>2</v>
      </c>
      <c r="AG3" s="40">
        <v>3</v>
      </c>
      <c r="AH3" s="41">
        <v>4</v>
      </c>
      <c r="AI3" s="39">
        <v>1</v>
      </c>
      <c r="AJ3" s="40">
        <v>2</v>
      </c>
      <c r="AK3" s="40">
        <v>3</v>
      </c>
      <c r="AL3" s="41">
        <v>4</v>
      </c>
      <c r="AM3" s="39">
        <v>1</v>
      </c>
      <c r="AN3" s="40">
        <v>2</v>
      </c>
      <c r="AO3" s="40">
        <v>3</v>
      </c>
      <c r="AP3" s="41">
        <v>4</v>
      </c>
      <c r="AQ3" s="39">
        <v>1</v>
      </c>
      <c r="AR3" s="40">
        <v>2</v>
      </c>
      <c r="AS3" s="40">
        <v>3</v>
      </c>
      <c r="AT3" s="41">
        <v>4</v>
      </c>
      <c r="AU3" s="39">
        <v>1</v>
      </c>
      <c r="AV3" s="40">
        <v>2</v>
      </c>
      <c r="AW3" s="40">
        <v>3</v>
      </c>
      <c r="AX3" s="41">
        <v>4</v>
      </c>
    </row>
    <row r="4" spans="1:50" ht="11.25" customHeight="1" x14ac:dyDescent="0.2">
      <c r="A4" s="85"/>
      <c r="B4" s="2"/>
      <c r="C4" s="213">
        <v>40633</v>
      </c>
      <c r="D4" s="34">
        <f t="shared" ref="D4:AX4" si="0">IF(MONTH(C4)&gt;9,DATE(YEAR(C4)+1,MONTH(C4)-9,CHOOSE(MONTH(C4)-9,31,28,31,30,31,30,31,31,30,31,30,31)),DATE(YEAR(C4),MONTH(C4)+3,CHOOSE(MONTH(C4)+3,31,28,31,30,31,30,31,31,30,31,30,31)))</f>
        <v>40724</v>
      </c>
      <c r="E4" s="34">
        <f t="shared" si="0"/>
        <v>40816</v>
      </c>
      <c r="F4" s="35">
        <f t="shared" si="0"/>
        <v>40908</v>
      </c>
      <c r="G4" s="33">
        <f t="shared" si="0"/>
        <v>40999</v>
      </c>
      <c r="H4" s="34">
        <f t="shared" si="0"/>
        <v>41090</v>
      </c>
      <c r="I4" s="34">
        <f t="shared" si="0"/>
        <v>41182</v>
      </c>
      <c r="J4" s="35">
        <f t="shared" si="0"/>
        <v>41274</v>
      </c>
      <c r="K4" s="33">
        <f t="shared" si="0"/>
        <v>41364</v>
      </c>
      <c r="L4" s="34">
        <f t="shared" si="0"/>
        <v>41455</v>
      </c>
      <c r="M4" s="34">
        <f t="shared" si="0"/>
        <v>41547</v>
      </c>
      <c r="N4" s="35">
        <f t="shared" si="0"/>
        <v>41639</v>
      </c>
      <c r="O4" s="33">
        <f t="shared" si="0"/>
        <v>41729</v>
      </c>
      <c r="P4" s="34">
        <f t="shared" si="0"/>
        <v>41820</v>
      </c>
      <c r="Q4" s="34">
        <f t="shared" si="0"/>
        <v>41912</v>
      </c>
      <c r="R4" s="35">
        <f t="shared" si="0"/>
        <v>42004</v>
      </c>
      <c r="S4" s="33">
        <f t="shared" si="0"/>
        <v>42094</v>
      </c>
      <c r="T4" s="34">
        <f t="shared" si="0"/>
        <v>42185</v>
      </c>
      <c r="U4" s="34">
        <f t="shared" si="0"/>
        <v>42277</v>
      </c>
      <c r="V4" s="35">
        <f t="shared" si="0"/>
        <v>42369</v>
      </c>
      <c r="W4" s="33">
        <f t="shared" si="0"/>
        <v>42460</v>
      </c>
      <c r="X4" s="34">
        <f t="shared" si="0"/>
        <v>42551</v>
      </c>
      <c r="Y4" s="34">
        <f t="shared" si="0"/>
        <v>42643</v>
      </c>
      <c r="Z4" s="35">
        <f t="shared" si="0"/>
        <v>42735</v>
      </c>
      <c r="AA4" s="33">
        <f t="shared" si="0"/>
        <v>42825</v>
      </c>
      <c r="AB4" s="34">
        <f t="shared" si="0"/>
        <v>42916</v>
      </c>
      <c r="AC4" s="34">
        <f t="shared" si="0"/>
        <v>43008</v>
      </c>
      <c r="AD4" s="35">
        <f t="shared" si="0"/>
        <v>43100</v>
      </c>
      <c r="AE4" s="33">
        <f t="shared" si="0"/>
        <v>43190</v>
      </c>
      <c r="AF4" s="34">
        <f t="shared" si="0"/>
        <v>43281</v>
      </c>
      <c r="AG4" s="34">
        <f t="shared" si="0"/>
        <v>43373</v>
      </c>
      <c r="AH4" s="35">
        <f t="shared" si="0"/>
        <v>43465</v>
      </c>
      <c r="AI4" s="33">
        <f t="shared" si="0"/>
        <v>43555</v>
      </c>
      <c r="AJ4" s="34">
        <f t="shared" si="0"/>
        <v>43646</v>
      </c>
      <c r="AK4" s="34">
        <f t="shared" si="0"/>
        <v>43738</v>
      </c>
      <c r="AL4" s="35">
        <f t="shared" si="0"/>
        <v>43830</v>
      </c>
      <c r="AM4" s="33">
        <f t="shared" si="0"/>
        <v>43921</v>
      </c>
      <c r="AN4" s="34">
        <f t="shared" si="0"/>
        <v>44012</v>
      </c>
      <c r="AO4" s="34">
        <f t="shared" si="0"/>
        <v>44104</v>
      </c>
      <c r="AP4" s="35">
        <f t="shared" si="0"/>
        <v>44196</v>
      </c>
      <c r="AQ4" s="33">
        <f t="shared" si="0"/>
        <v>44286</v>
      </c>
      <c r="AR4" s="34">
        <f t="shared" si="0"/>
        <v>44377</v>
      </c>
      <c r="AS4" s="34">
        <f t="shared" si="0"/>
        <v>44469</v>
      </c>
      <c r="AT4" s="35">
        <f t="shared" si="0"/>
        <v>44561</v>
      </c>
      <c r="AU4" s="33">
        <f t="shared" si="0"/>
        <v>44651</v>
      </c>
      <c r="AV4" s="34">
        <f t="shared" si="0"/>
        <v>44742</v>
      </c>
      <c r="AW4" s="34">
        <f t="shared" si="0"/>
        <v>44834</v>
      </c>
      <c r="AX4" s="35">
        <f t="shared" si="0"/>
        <v>44926</v>
      </c>
    </row>
    <row r="5" spans="1:50" ht="11.25" customHeight="1" x14ac:dyDescent="0.2">
      <c r="B5" s="2"/>
      <c r="C5" s="36" t="str">
        <f t="shared" ref="C5:AX5" si="1">IF(C41&lt;&gt;0,"Actual","")</f>
        <v/>
      </c>
      <c r="D5" s="37" t="str">
        <f t="shared" si="1"/>
        <v/>
      </c>
      <c r="E5" s="37" t="str">
        <f t="shared" si="1"/>
        <v/>
      </c>
      <c r="F5" s="38" t="str">
        <f t="shared" si="1"/>
        <v/>
      </c>
      <c r="G5" s="36" t="str">
        <f t="shared" si="1"/>
        <v/>
      </c>
      <c r="H5" s="37" t="str">
        <f t="shared" si="1"/>
        <v/>
      </c>
      <c r="I5" s="37" t="str">
        <f t="shared" si="1"/>
        <v/>
      </c>
      <c r="J5" s="38" t="str">
        <f t="shared" si="1"/>
        <v/>
      </c>
      <c r="K5" s="36" t="str">
        <f t="shared" si="1"/>
        <v/>
      </c>
      <c r="L5" s="37" t="str">
        <f t="shared" si="1"/>
        <v/>
      </c>
      <c r="M5" s="37" t="str">
        <f t="shared" si="1"/>
        <v/>
      </c>
      <c r="N5" s="38" t="str">
        <f t="shared" si="1"/>
        <v/>
      </c>
      <c r="O5" s="36" t="str">
        <f t="shared" si="1"/>
        <v/>
      </c>
      <c r="P5" s="37" t="str">
        <f t="shared" si="1"/>
        <v/>
      </c>
      <c r="Q5" s="37" t="str">
        <f t="shared" si="1"/>
        <v/>
      </c>
      <c r="R5" s="38" t="str">
        <f t="shared" si="1"/>
        <v/>
      </c>
      <c r="S5" s="36" t="str">
        <f t="shared" si="1"/>
        <v/>
      </c>
      <c r="T5" s="37" t="str">
        <f t="shared" si="1"/>
        <v/>
      </c>
      <c r="U5" s="37" t="str">
        <f t="shared" si="1"/>
        <v/>
      </c>
      <c r="V5" s="38" t="str">
        <f t="shared" si="1"/>
        <v/>
      </c>
      <c r="W5" s="36" t="str">
        <f t="shared" si="1"/>
        <v/>
      </c>
      <c r="X5" s="37" t="str">
        <f t="shared" si="1"/>
        <v/>
      </c>
      <c r="Y5" s="37" t="str">
        <f t="shared" si="1"/>
        <v/>
      </c>
      <c r="Z5" s="38" t="str">
        <f t="shared" si="1"/>
        <v/>
      </c>
      <c r="AA5" s="36" t="str">
        <f t="shared" si="1"/>
        <v/>
      </c>
      <c r="AB5" s="37" t="str">
        <f t="shared" si="1"/>
        <v/>
      </c>
      <c r="AC5" s="37" t="str">
        <f t="shared" si="1"/>
        <v/>
      </c>
      <c r="AD5" s="38" t="str">
        <f t="shared" si="1"/>
        <v/>
      </c>
      <c r="AE5" s="36" t="str">
        <f t="shared" si="1"/>
        <v/>
      </c>
      <c r="AF5" s="37" t="str">
        <f t="shared" si="1"/>
        <v/>
      </c>
      <c r="AG5" s="37" t="str">
        <f t="shared" si="1"/>
        <v/>
      </c>
      <c r="AH5" s="38" t="str">
        <f t="shared" si="1"/>
        <v/>
      </c>
      <c r="AI5" s="36" t="str">
        <f t="shared" si="1"/>
        <v/>
      </c>
      <c r="AJ5" s="37" t="str">
        <f t="shared" si="1"/>
        <v/>
      </c>
      <c r="AK5" s="37" t="str">
        <f t="shared" si="1"/>
        <v/>
      </c>
      <c r="AL5" s="38" t="str">
        <f t="shared" si="1"/>
        <v/>
      </c>
      <c r="AM5" s="36" t="str">
        <f t="shared" si="1"/>
        <v/>
      </c>
      <c r="AN5" s="37" t="str">
        <f t="shared" si="1"/>
        <v/>
      </c>
      <c r="AO5" s="37" t="str">
        <f t="shared" si="1"/>
        <v/>
      </c>
      <c r="AP5" s="38" t="str">
        <f t="shared" si="1"/>
        <v/>
      </c>
      <c r="AQ5" s="36" t="str">
        <f t="shared" si="1"/>
        <v/>
      </c>
      <c r="AR5" s="37" t="str">
        <f t="shared" si="1"/>
        <v/>
      </c>
      <c r="AS5" s="37" t="str">
        <f t="shared" si="1"/>
        <v/>
      </c>
      <c r="AT5" s="38" t="str">
        <f t="shared" si="1"/>
        <v/>
      </c>
      <c r="AU5" s="36" t="str">
        <f t="shared" si="1"/>
        <v/>
      </c>
      <c r="AV5" s="37" t="str">
        <f t="shared" si="1"/>
        <v/>
      </c>
      <c r="AW5" s="37" t="str">
        <f t="shared" si="1"/>
        <v/>
      </c>
      <c r="AX5" s="38" t="str">
        <f t="shared" si="1"/>
        <v/>
      </c>
    </row>
    <row r="6" spans="1:50" ht="11.25" customHeight="1" x14ac:dyDescent="0.2">
      <c r="A6" s="6" t="s">
        <v>7</v>
      </c>
      <c r="B6" s="2"/>
      <c r="C6" s="13"/>
      <c r="D6" s="17"/>
      <c r="E6" s="17"/>
      <c r="F6" s="17"/>
      <c r="G6" s="13"/>
      <c r="H6" s="17"/>
      <c r="I6" s="17"/>
      <c r="J6" s="29"/>
      <c r="K6" s="14"/>
      <c r="L6" s="29"/>
      <c r="M6" s="29"/>
      <c r="N6" s="47"/>
      <c r="O6" s="22"/>
      <c r="P6" s="17"/>
      <c r="Q6" s="17"/>
      <c r="R6" s="17"/>
      <c r="S6" s="84"/>
      <c r="T6" s="17"/>
      <c r="U6" s="17"/>
      <c r="V6" s="17"/>
      <c r="W6" s="541"/>
      <c r="X6" s="17"/>
      <c r="Y6" s="17"/>
      <c r="Z6" s="17"/>
      <c r="AA6" s="13"/>
      <c r="AB6" s="17"/>
      <c r="AC6" s="17"/>
      <c r="AD6" s="28"/>
      <c r="AE6" s="13"/>
      <c r="AF6" s="17"/>
      <c r="AG6" s="17"/>
      <c r="AH6" s="28"/>
      <c r="AI6" s="13"/>
      <c r="AJ6" s="17"/>
      <c r="AK6" s="17"/>
      <c r="AL6" s="28"/>
      <c r="AM6" s="13"/>
      <c r="AN6" s="17"/>
      <c r="AO6" s="17"/>
      <c r="AP6" s="28"/>
      <c r="AQ6" s="13"/>
      <c r="AR6" s="17"/>
      <c r="AS6" s="17"/>
      <c r="AT6" s="28"/>
      <c r="AU6" s="13"/>
      <c r="AV6" s="17"/>
      <c r="AW6" s="17"/>
      <c r="AX6" s="28"/>
    </row>
    <row r="7" spans="1:50" ht="11.25" customHeight="1" x14ac:dyDescent="0.2">
      <c r="A7" s="6"/>
      <c r="B7" s="2"/>
      <c r="C7" s="13"/>
      <c r="D7" s="17"/>
      <c r="E7" s="17"/>
      <c r="F7" s="17"/>
      <c r="G7" s="13"/>
      <c r="H7" s="17"/>
      <c r="I7" s="17"/>
      <c r="J7" s="29"/>
      <c r="K7" s="14"/>
      <c r="L7" s="29"/>
      <c r="M7" s="29"/>
      <c r="N7" s="45"/>
      <c r="O7" s="21"/>
      <c r="P7" s="17"/>
      <c r="Q7" s="17"/>
      <c r="R7" s="17"/>
      <c r="S7" s="84"/>
      <c r="T7" s="17"/>
      <c r="U7" s="17"/>
      <c r="V7" s="17"/>
      <c r="W7" s="542"/>
      <c r="X7" s="17"/>
      <c r="Y7" s="17"/>
      <c r="Z7" s="17"/>
      <c r="AA7" s="13"/>
      <c r="AB7" s="17"/>
      <c r="AC7" s="17"/>
      <c r="AD7" s="17"/>
      <c r="AE7" s="13"/>
      <c r="AF7" s="17"/>
      <c r="AG7" s="17"/>
      <c r="AH7" s="17"/>
      <c r="AI7" s="13"/>
      <c r="AJ7" s="17"/>
      <c r="AK7" s="17"/>
      <c r="AL7" s="28"/>
      <c r="AM7" s="13"/>
      <c r="AN7" s="17"/>
      <c r="AO7" s="17"/>
      <c r="AP7" s="28"/>
      <c r="AQ7" s="13"/>
      <c r="AR7" s="17"/>
      <c r="AS7" s="17"/>
      <c r="AT7" s="28"/>
      <c r="AU7" s="13"/>
      <c r="AV7" s="17"/>
      <c r="AW7" s="17"/>
      <c r="AX7" s="28"/>
    </row>
    <row r="8" spans="1:50" ht="11.25" customHeight="1" x14ac:dyDescent="0.2">
      <c r="A8" s="328" t="s">
        <v>141</v>
      </c>
      <c r="B8" s="2"/>
      <c r="C8" s="214">
        <v>0</v>
      </c>
      <c r="D8" s="215">
        <v>0</v>
      </c>
      <c r="E8" s="215">
        <v>0</v>
      </c>
      <c r="F8" s="215">
        <v>0</v>
      </c>
      <c r="G8" s="214">
        <v>0</v>
      </c>
      <c r="H8" s="215">
        <v>0</v>
      </c>
      <c r="I8" s="215">
        <v>0</v>
      </c>
      <c r="J8" s="215">
        <v>0</v>
      </c>
      <c r="K8" s="214">
        <v>0</v>
      </c>
      <c r="L8" s="215">
        <v>0</v>
      </c>
      <c r="M8" s="215">
        <v>0</v>
      </c>
      <c r="N8" s="215">
        <v>0</v>
      </c>
      <c r="O8" s="214">
        <v>0</v>
      </c>
      <c r="P8" s="215">
        <v>0</v>
      </c>
      <c r="Q8" s="215">
        <v>0</v>
      </c>
      <c r="R8" s="215">
        <v>0</v>
      </c>
      <c r="S8" s="214">
        <v>0</v>
      </c>
      <c r="T8" s="215">
        <v>0</v>
      </c>
      <c r="U8" s="215">
        <v>0</v>
      </c>
      <c r="V8" s="215">
        <v>0</v>
      </c>
      <c r="W8" s="214">
        <v>0</v>
      </c>
      <c r="X8" s="215">
        <v>0</v>
      </c>
      <c r="Y8" s="215">
        <v>0</v>
      </c>
      <c r="Z8" s="215">
        <v>0</v>
      </c>
      <c r="AA8" s="214">
        <v>0</v>
      </c>
      <c r="AB8" s="215">
        <v>0</v>
      </c>
      <c r="AC8" s="215">
        <v>0</v>
      </c>
      <c r="AD8" s="215">
        <v>0</v>
      </c>
      <c r="AE8" s="214">
        <v>0</v>
      </c>
      <c r="AF8" s="215">
        <v>0</v>
      </c>
      <c r="AG8" s="215">
        <v>0</v>
      </c>
      <c r="AH8" s="215">
        <v>0</v>
      </c>
      <c r="AI8" s="214">
        <v>0</v>
      </c>
      <c r="AJ8" s="215">
        <v>0</v>
      </c>
      <c r="AK8" s="215">
        <v>0</v>
      </c>
      <c r="AL8" s="216">
        <v>0</v>
      </c>
      <c r="AM8" s="214">
        <v>0</v>
      </c>
      <c r="AN8" s="215">
        <v>0</v>
      </c>
      <c r="AO8" s="215">
        <v>0</v>
      </c>
      <c r="AP8" s="216">
        <v>0</v>
      </c>
      <c r="AQ8" s="214">
        <v>0</v>
      </c>
      <c r="AR8" s="215">
        <v>0</v>
      </c>
      <c r="AS8" s="215">
        <v>0</v>
      </c>
      <c r="AT8" s="216">
        <v>0</v>
      </c>
      <c r="AU8" s="214">
        <v>0</v>
      </c>
      <c r="AV8" s="215">
        <v>0</v>
      </c>
      <c r="AW8" s="215">
        <v>0</v>
      </c>
      <c r="AX8" s="216">
        <v>0</v>
      </c>
    </row>
    <row r="9" spans="1:50" ht="11.25" customHeight="1" x14ac:dyDescent="0.2">
      <c r="A9" s="328" t="s">
        <v>127</v>
      </c>
      <c r="B9" s="2"/>
      <c r="C9" s="214">
        <v>0</v>
      </c>
      <c r="D9" s="215">
        <v>0</v>
      </c>
      <c r="E9" s="215">
        <v>0</v>
      </c>
      <c r="F9" s="215">
        <v>0</v>
      </c>
      <c r="G9" s="214">
        <v>0</v>
      </c>
      <c r="H9" s="215">
        <v>0</v>
      </c>
      <c r="I9" s="215">
        <v>0</v>
      </c>
      <c r="J9" s="215">
        <v>0</v>
      </c>
      <c r="K9" s="214">
        <v>0</v>
      </c>
      <c r="L9" s="215">
        <v>0</v>
      </c>
      <c r="M9" s="215">
        <v>0</v>
      </c>
      <c r="N9" s="215">
        <v>0</v>
      </c>
      <c r="O9" s="214">
        <v>0</v>
      </c>
      <c r="P9" s="215">
        <v>0</v>
      </c>
      <c r="Q9" s="215">
        <v>0</v>
      </c>
      <c r="R9" s="215">
        <v>0</v>
      </c>
      <c r="S9" s="214">
        <v>0</v>
      </c>
      <c r="T9" s="215">
        <v>0</v>
      </c>
      <c r="U9" s="215">
        <v>0</v>
      </c>
      <c r="V9" s="215">
        <v>0</v>
      </c>
      <c r="W9" s="214">
        <v>0</v>
      </c>
      <c r="X9" s="215">
        <v>0</v>
      </c>
      <c r="Y9" s="215">
        <v>0</v>
      </c>
      <c r="Z9" s="215">
        <v>0</v>
      </c>
      <c r="AA9" s="214">
        <v>0</v>
      </c>
      <c r="AB9" s="215">
        <v>0</v>
      </c>
      <c r="AC9" s="215">
        <v>0</v>
      </c>
      <c r="AD9" s="215">
        <v>0</v>
      </c>
      <c r="AE9" s="214">
        <v>0</v>
      </c>
      <c r="AF9" s="215">
        <v>0</v>
      </c>
      <c r="AG9" s="215">
        <v>0</v>
      </c>
      <c r="AH9" s="215">
        <v>0</v>
      </c>
      <c r="AI9" s="214">
        <v>0</v>
      </c>
      <c r="AJ9" s="215">
        <v>0</v>
      </c>
      <c r="AK9" s="215">
        <v>0</v>
      </c>
      <c r="AL9" s="216">
        <v>0</v>
      </c>
      <c r="AM9" s="214">
        <v>0</v>
      </c>
      <c r="AN9" s="215">
        <v>0</v>
      </c>
      <c r="AO9" s="215">
        <v>0</v>
      </c>
      <c r="AP9" s="216">
        <v>0</v>
      </c>
      <c r="AQ9" s="214">
        <v>0</v>
      </c>
      <c r="AR9" s="215">
        <v>0</v>
      </c>
      <c r="AS9" s="215">
        <v>0</v>
      </c>
      <c r="AT9" s="216">
        <v>0</v>
      </c>
      <c r="AU9" s="214">
        <v>0</v>
      </c>
      <c r="AV9" s="215">
        <v>0</v>
      </c>
      <c r="AW9" s="215">
        <v>0</v>
      </c>
      <c r="AX9" s="216">
        <v>0</v>
      </c>
    </row>
    <row r="10" spans="1:50" ht="11.25" customHeight="1" x14ac:dyDescent="0.2">
      <c r="A10" s="328" t="s">
        <v>138</v>
      </c>
      <c r="B10" s="2"/>
      <c r="C10" s="214">
        <v>0</v>
      </c>
      <c r="D10" s="215">
        <v>0</v>
      </c>
      <c r="E10" s="215">
        <v>0</v>
      </c>
      <c r="F10" s="215">
        <v>0</v>
      </c>
      <c r="G10" s="214">
        <v>0</v>
      </c>
      <c r="H10" s="215">
        <v>0</v>
      </c>
      <c r="I10" s="215">
        <v>0</v>
      </c>
      <c r="J10" s="215">
        <v>0</v>
      </c>
      <c r="K10" s="214">
        <v>0</v>
      </c>
      <c r="L10" s="215">
        <v>0</v>
      </c>
      <c r="M10" s="215">
        <v>0</v>
      </c>
      <c r="N10" s="215">
        <v>0</v>
      </c>
      <c r="O10" s="214">
        <v>0</v>
      </c>
      <c r="P10" s="215">
        <v>0</v>
      </c>
      <c r="Q10" s="215">
        <v>0</v>
      </c>
      <c r="R10" s="215">
        <v>0</v>
      </c>
      <c r="S10" s="214">
        <v>0</v>
      </c>
      <c r="T10" s="215">
        <v>0</v>
      </c>
      <c r="U10" s="215">
        <v>0</v>
      </c>
      <c r="V10" s="215">
        <v>0</v>
      </c>
      <c r="W10" s="214">
        <v>0</v>
      </c>
      <c r="X10" s="215">
        <v>0</v>
      </c>
      <c r="Y10" s="215">
        <v>0</v>
      </c>
      <c r="Z10" s="215">
        <v>0</v>
      </c>
      <c r="AA10" s="214">
        <v>0</v>
      </c>
      <c r="AB10" s="215">
        <v>0</v>
      </c>
      <c r="AC10" s="215">
        <v>0</v>
      </c>
      <c r="AD10" s="215">
        <v>0</v>
      </c>
      <c r="AE10" s="214">
        <v>0</v>
      </c>
      <c r="AF10" s="215">
        <v>0</v>
      </c>
      <c r="AG10" s="215">
        <v>0</v>
      </c>
      <c r="AH10" s="215">
        <v>0</v>
      </c>
      <c r="AI10" s="214">
        <v>0</v>
      </c>
      <c r="AJ10" s="215">
        <v>0</v>
      </c>
      <c r="AK10" s="215">
        <v>0</v>
      </c>
      <c r="AL10" s="216">
        <v>0</v>
      </c>
      <c r="AM10" s="214">
        <v>0</v>
      </c>
      <c r="AN10" s="215">
        <v>0</v>
      </c>
      <c r="AO10" s="215">
        <v>0</v>
      </c>
      <c r="AP10" s="216">
        <v>0</v>
      </c>
      <c r="AQ10" s="214">
        <v>0</v>
      </c>
      <c r="AR10" s="215">
        <v>0</v>
      </c>
      <c r="AS10" s="215">
        <v>0</v>
      </c>
      <c r="AT10" s="216">
        <v>0</v>
      </c>
      <c r="AU10" s="214">
        <v>0</v>
      </c>
      <c r="AV10" s="215">
        <v>0</v>
      </c>
      <c r="AW10" s="215">
        <v>0</v>
      </c>
      <c r="AX10" s="216">
        <v>0</v>
      </c>
    </row>
    <row r="11" spans="1:50" ht="11.25" customHeight="1" x14ac:dyDescent="0.2">
      <c r="A11" s="328" t="s">
        <v>128</v>
      </c>
      <c r="B11" s="2"/>
      <c r="C11" s="214">
        <v>0</v>
      </c>
      <c r="D11" s="215">
        <v>0</v>
      </c>
      <c r="E11" s="215">
        <v>0</v>
      </c>
      <c r="F11" s="215">
        <v>0</v>
      </c>
      <c r="G11" s="214">
        <v>0</v>
      </c>
      <c r="H11" s="215">
        <v>0</v>
      </c>
      <c r="I11" s="215">
        <v>0</v>
      </c>
      <c r="J11" s="215">
        <v>0</v>
      </c>
      <c r="K11" s="214">
        <v>0</v>
      </c>
      <c r="L11" s="215">
        <v>0</v>
      </c>
      <c r="M11" s="215">
        <v>0</v>
      </c>
      <c r="N11" s="215">
        <v>0</v>
      </c>
      <c r="O11" s="214">
        <v>0</v>
      </c>
      <c r="P11" s="215">
        <v>0</v>
      </c>
      <c r="Q11" s="215">
        <v>0</v>
      </c>
      <c r="R11" s="215">
        <v>0</v>
      </c>
      <c r="S11" s="214">
        <v>0</v>
      </c>
      <c r="T11" s="215">
        <v>0</v>
      </c>
      <c r="U11" s="215">
        <v>0</v>
      </c>
      <c r="V11" s="215">
        <v>0</v>
      </c>
      <c r="W11" s="214">
        <v>0</v>
      </c>
      <c r="X11" s="215">
        <v>0</v>
      </c>
      <c r="Y11" s="215">
        <v>0</v>
      </c>
      <c r="Z11" s="215">
        <v>0</v>
      </c>
      <c r="AA11" s="214">
        <v>0</v>
      </c>
      <c r="AB11" s="215">
        <v>0</v>
      </c>
      <c r="AC11" s="215">
        <v>0</v>
      </c>
      <c r="AD11" s="215">
        <v>0</v>
      </c>
      <c r="AE11" s="214">
        <v>0</v>
      </c>
      <c r="AF11" s="215">
        <v>0</v>
      </c>
      <c r="AG11" s="215">
        <v>0</v>
      </c>
      <c r="AH11" s="215">
        <v>0</v>
      </c>
      <c r="AI11" s="214">
        <v>0</v>
      </c>
      <c r="AJ11" s="215">
        <v>0</v>
      </c>
      <c r="AK11" s="215">
        <v>0</v>
      </c>
      <c r="AL11" s="216">
        <v>0</v>
      </c>
      <c r="AM11" s="214">
        <v>0</v>
      </c>
      <c r="AN11" s="215">
        <v>0</v>
      </c>
      <c r="AO11" s="215">
        <v>0</v>
      </c>
      <c r="AP11" s="216">
        <v>0</v>
      </c>
      <c r="AQ11" s="214">
        <v>0</v>
      </c>
      <c r="AR11" s="215">
        <v>0</v>
      </c>
      <c r="AS11" s="215">
        <v>0</v>
      </c>
      <c r="AT11" s="216">
        <v>0</v>
      </c>
      <c r="AU11" s="214">
        <v>0</v>
      </c>
      <c r="AV11" s="215">
        <v>0</v>
      </c>
      <c r="AW11" s="215">
        <v>0</v>
      </c>
      <c r="AX11" s="216">
        <v>0</v>
      </c>
    </row>
    <row r="12" spans="1:50" s="309" customFormat="1" ht="11.25" customHeight="1" x14ac:dyDescent="0.2">
      <c r="A12" s="328" t="s">
        <v>129</v>
      </c>
      <c r="B12" s="85"/>
      <c r="C12" s="214">
        <v>0</v>
      </c>
      <c r="D12" s="215">
        <v>0</v>
      </c>
      <c r="E12" s="215">
        <v>0</v>
      </c>
      <c r="F12" s="215">
        <v>0</v>
      </c>
      <c r="G12" s="214">
        <v>0</v>
      </c>
      <c r="H12" s="215">
        <v>0</v>
      </c>
      <c r="I12" s="215">
        <v>0</v>
      </c>
      <c r="J12" s="215">
        <v>0</v>
      </c>
      <c r="K12" s="214">
        <v>0</v>
      </c>
      <c r="L12" s="215">
        <v>0</v>
      </c>
      <c r="M12" s="215">
        <v>0</v>
      </c>
      <c r="N12" s="215">
        <v>0</v>
      </c>
      <c r="O12" s="214">
        <v>0</v>
      </c>
      <c r="P12" s="215">
        <v>0</v>
      </c>
      <c r="Q12" s="215">
        <v>0</v>
      </c>
      <c r="R12" s="215">
        <v>0</v>
      </c>
      <c r="S12" s="214">
        <v>0</v>
      </c>
      <c r="T12" s="215">
        <v>0</v>
      </c>
      <c r="U12" s="215">
        <v>0</v>
      </c>
      <c r="V12" s="215">
        <v>0</v>
      </c>
      <c r="W12" s="214">
        <v>0</v>
      </c>
      <c r="X12" s="215">
        <v>0</v>
      </c>
      <c r="Y12" s="215">
        <v>0</v>
      </c>
      <c r="Z12" s="215">
        <v>0</v>
      </c>
      <c r="AA12" s="214">
        <v>0</v>
      </c>
      <c r="AB12" s="215">
        <v>0</v>
      </c>
      <c r="AC12" s="215">
        <v>0</v>
      </c>
      <c r="AD12" s="215">
        <v>0</v>
      </c>
      <c r="AE12" s="214">
        <v>0</v>
      </c>
      <c r="AF12" s="215">
        <v>0</v>
      </c>
      <c r="AG12" s="215">
        <v>0</v>
      </c>
      <c r="AH12" s="215">
        <v>0</v>
      </c>
      <c r="AI12" s="214">
        <v>0</v>
      </c>
      <c r="AJ12" s="215">
        <v>0</v>
      </c>
      <c r="AK12" s="215">
        <v>0</v>
      </c>
      <c r="AL12" s="216">
        <v>0</v>
      </c>
      <c r="AM12" s="214">
        <v>0</v>
      </c>
      <c r="AN12" s="215">
        <v>0</v>
      </c>
      <c r="AO12" s="215">
        <v>0</v>
      </c>
      <c r="AP12" s="216">
        <v>0</v>
      </c>
      <c r="AQ12" s="214">
        <v>0</v>
      </c>
      <c r="AR12" s="215">
        <v>0</v>
      </c>
      <c r="AS12" s="215">
        <v>0</v>
      </c>
      <c r="AT12" s="216">
        <v>0</v>
      </c>
      <c r="AU12" s="214">
        <v>0</v>
      </c>
      <c r="AV12" s="215">
        <v>0</v>
      </c>
      <c r="AW12" s="215">
        <v>0</v>
      </c>
      <c r="AX12" s="216">
        <v>0</v>
      </c>
    </row>
    <row r="13" spans="1:50" ht="11.25" customHeight="1" x14ac:dyDescent="0.25">
      <c r="A13" s="328" t="s">
        <v>30</v>
      </c>
      <c r="B13" s="7"/>
      <c r="C13" s="217">
        <v>0</v>
      </c>
      <c r="D13" s="218">
        <v>0</v>
      </c>
      <c r="E13" s="218">
        <v>0</v>
      </c>
      <c r="F13" s="218">
        <v>0</v>
      </c>
      <c r="G13" s="217">
        <v>0</v>
      </c>
      <c r="H13" s="218">
        <v>0</v>
      </c>
      <c r="I13" s="218">
        <v>0</v>
      </c>
      <c r="J13" s="218">
        <v>0</v>
      </c>
      <c r="K13" s="217">
        <v>0</v>
      </c>
      <c r="L13" s="218">
        <v>0</v>
      </c>
      <c r="M13" s="218">
        <v>0</v>
      </c>
      <c r="N13" s="218">
        <v>0</v>
      </c>
      <c r="O13" s="217">
        <v>0</v>
      </c>
      <c r="P13" s="218">
        <v>0</v>
      </c>
      <c r="Q13" s="218">
        <v>0</v>
      </c>
      <c r="R13" s="218">
        <v>0</v>
      </c>
      <c r="S13" s="217">
        <v>0</v>
      </c>
      <c r="T13" s="218">
        <v>0</v>
      </c>
      <c r="U13" s="218">
        <v>0</v>
      </c>
      <c r="V13" s="218">
        <v>0</v>
      </c>
      <c r="W13" s="217">
        <v>0</v>
      </c>
      <c r="X13" s="218">
        <v>0</v>
      </c>
      <c r="Y13" s="218">
        <v>0</v>
      </c>
      <c r="Z13" s="218">
        <v>0</v>
      </c>
      <c r="AA13" s="217">
        <v>0</v>
      </c>
      <c r="AB13" s="218">
        <v>0</v>
      </c>
      <c r="AC13" s="218">
        <v>0</v>
      </c>
      <c r="AD13" s="218">
        <v>0</v>
      </c>
      <c r="AE13" s="217">
        <v>0</v>
      </c>
      <c r="AF13" s="218">
        <v>0</v>
      </c>
      <c r="AG13" s="218">
        <v>0</v>
      </c>
      <c r="AH13" s="218">
        <v>0</v>
      </c>
      <c r="AI13" s="217">
        <v>0</v>
      </c>
      <c r="AJ13" s="218">
        <v>0</v>
      </c>
      <c r="AK13" s="218">
        <v>0</v>
      </c>
      <c r="AL13" s="219">
        <v>0</v>
      </c>
      <c r="AM13" s="217">
        <v>0</v>
      </c>
      <c r="AN13" s="218">
        <v>0</v>
      </c>
      <c r="AO13" s="218">
        <v>0</v>
      </c>
      <c r="AP13" s="219">
        <v>0</v>
      </c>
      <c r="AQ13" s="217">
        <v>0</v>
      </c>
      <c r="AR13" s="218">
        <v>0</v>
      </c>
      <c r="AS13" s="218">
        <v>0</v>
      </c>
      <c r="AT13" s="219">
        <v>0</v>
      </c>
      <c r="AU13" s="217">
        <v>0</v>
      </c>
      <c r="AV13" s="218">
        <v>0</v>
      </c>
      <c r="AW13" s="218">
        <v>0</v>
      </c>
      <c r="AX13" s="219">
        <v>0</v>
      </c>
    </row>
    <row r="14" spans="1:50" ht="11.25" customHeight="1" x14ac:dyDescent="0.2">
      <c r="A14" s="6" t="s">
        <v>19</v>
      </c>
      <c r="B14" s="2"/>
      <c r="C14" s="21">
        <f t="shared" ref="C14:AX14" si="2">SUM(C8:C13)</f>
        <v>0</v>
      </c>
      <c r="D14" s="45">
        <f t="shared" si="2"/>
        <v>0</v>
      </c>
      <c r="E14" s="45">
        <f t="shared" si="2"/>
        <v>0</v>
      </c>
      <c r="F14" s="45">
        <f t="shared" si="2"/>
        <v>0</v>
      </c>
      <c r="G14" s="21">
        <f t="shared" si="2"/>
        <v>0</v>
      </c>
      <c r="H14" s="45">
        <f t="shared" si="2"/>
        <v>0</v>
      </c>
      <c r="I14" s="45">
        <f t="shared" si="2"/>
        <v>0</v>
      </c>
      <c r="J14" s="45">
        <f t="shared" si="2"/>
        <v>0</v>
      </c>
      <c r="K14" s="21">
        <f t="shared" si="2"/>
        <v>0</v>
      </c>
      <c r="L14" s="45">
        <f t="shared" si="2"/>
        <v>0</v>
      </c>
      <c r="M14" s="45">
        <f t="shared" si="2"/>
        <v>0</v>
      </c>
      <c r="N14" s="45">
        <f t="shared" si="2"/>
        <v>0</v>
      </c>
      <c r="O14" s="21">
        <f t="shared" si="2"/>
        <v>0</v>
      </c>
      <c r="P14" s="45">
        <f t="shared" si="2"/>
        <v>0</v>
      </c>
      <c r="Q14" s="45">
        <f t="shared" si="2"/>
        <v>0</v>
      </c>
      <c r="R14" s="45">
        <f t="shared" si="2"/>
        <v>0</v>
      </c>
      <c r="S14" s="21">
        <f t="shared" si="2"/>
        <v>0</v>
      </c>
      <c r="T14" s="45">
        <f t="shared" si="2"/>
        <v>0</v>
      </c>
      <c r="U14" s="45">
        <f t="shared" si="2"/>
        <v>0</v>
      </c>
      <c r="V14" s="45">
        <f t="shared" si="2"/>
        <v>0</v>
      </c>
      <c r="W14" s="21">
        <f t="shared" si="2"/>
        <v>0</v>
      </c>
      <c r="X14" s="45">
        <f t="shared" si="2"/>
        <v>0</v>
      </c>
      <c r="Y14" s="45">
        <f t="shared" si="2"/>
        <v>0</v>
      </c>
      <c r="Z14" s="45">
        <f t="shared" si="2"/>
        <v>0</v>
      </c>
      <c r="AA14" s="21">
        <f t="shared" si="2"/>
        <v>0</v>
      </c>
      <c r="AB14" s="45">
        <f t="shared" si="2"/>
        <v>0</v>
      </c>
      <c r="AC14" s="45">
        <f t="shared" si="2"/>
        <v>0</v>
      </c>
      <c r="AD14" s="45">
        <f t="shared" si="2"/>
        <v>0</v>
      </c>
      <c r="AE14" s="21">
        <f t="shared" si="2"/>
        <v>0</v>
      </c>
      <c r="AF14" s="45">
        <f t="shared" si="2"/>
        <v>0</v>
      </c>
      <c r="AG14" s="45">
        <f t="shared" si="2"/>
        <v>0</v>
      </c>
      <c r="AH14" s="45">
        <f t="shared" si="2"/>
        <v>0</v>
      </c>
      <c r="AI14" s="21">
        <f t="shared" si="2"/>
        <v>0</v>
      </c>
      <c r="AJ14" s="45">
        <f t="shared" si="2"/>
        <v>0</v>
      </c>
      <c r="AK14" s="45">
        <f t="shared" si="2"/>
        <v>0</v>
      </c>
      <c r="AL14" s="45">
        <f t="shared" si="2"/>
        <v>0</v>
      </c>
      <c r="AM14" s="21">
        <f t="shared" si="2"/>
        <v>0</v>
      </c>
      <c r="AN14" s="45">
        <f t="shared" si="2"/>
        <v>0</v>
      </c>
      <c r="AO14" s="45">
        <f t="shared" si="2"/>
        <v>0</v>
      </c>
      <c r="AP14" s="45">
        <f t="shared" si="2"/>
        <v>0</v>
      </c>
      <c r="AQ14" s="21">
        <f t="shared" si="2"/>
        <v>0</v>
      </c>
      <c r="AR14" s="45">
        <f t="shared" si="2"/>
        <v>0</v>
      </c>
      <c r="AS14" s="45">
        <f t="shared" si="2"/>
        <v>0</v>
      </c>
      <c r="AT14" s="45">
        <f t="shared" si="2"/>
        <v>0</v>
      </c>
      <c r="AU14" s="21">
        <f t="shared" si="2"/>
        <v>0</v>
      </c>
      <c r="AV14" s="45">
        <f t="shared" si="2"/>
        <v>0</v>
      </c>
      <c r="AW14" s="45">
        <f t="shared" si="2"/>
        <v>0</v>
      </c>
      <c r="AX14" s="46">
        <f t="shared" si="2"/>
        <v>0</v>
      </c>
    </row>
    <row r="15" spans="1:50" ht="11.25" customHeight="1" x14ac:dyDescent="0.2">
      <c r="A15" s="2"/>
      <c r="B15" s="2"/>
      <c r="C15" s="22"/>
      <c r="D15" s="47"/>
      <c r="E15" s="47"/>
      <c r="F15" s="47"/>
      <c r="G15" s="22"/>
      <c r="H15" s="47"/>
      <c r="I15" s="47"/>
      <c r="J15" s="47"/>
      <c r="K15" s="22"/>
      <c r="L15" s="47"/>
      <c r="M15" s="47"/>
      <c r="N15" s="47"/>
      <c r="O15" s="22"/>
      <c r="P15" s="47"/>
      <c r="Q15" s="47"/>
      <c r="R15" s="47"/>
      <c r="S15" s="22"/>
      <c r="T15" s="47"/>
      <c r="U15" s="47"/>
      <c r="V15" s="47"/>
      <c r="W15" s="13"/>
      <c r="X15" s="47"/>
      <c r="Y15" s="47"/>
      <c r="Z15" s="47"/>
      <c r="AA15" s="13"/>
      <c r="AB15" s="47"/>
      <c r="AC15" s="47"/>
      <c r="AD15" s="47"/>
      <c r="AE15" s="13"/>
      <c r="AF15" s="47"/>
      <c r="AG15" s="47"/>
      <c r="AH15" s="47"/>
      <c r="AI15" s="22"/>
      <c r="AJ15" s="47"/>
      <c r="AK15" s="47"/>
      <c r="AL15" s="48"/>
      <c r="AM15" s="22"/>
      <c r="AN15" s="47"/>
      <c r="AO15" s="47"/>
      <c r="AP15" s="48"/>
      <c r="AQ15" s="22"/>
      <c r="AR15" s="47"/>
      <c r="AS15" s="47"/>
      <c r="AT15" s="48"/>
      <c r="AU15" s="22"/>
      <c r="AV15" s="47"/>
      <c r="AW15" s="47"/>
      <c r="AX15" s="48"/>
    </row>
    <row r="16" spans="1:50" ht="11.25" customHeight="1" x14ac:dyDescent="0.2">
      <c r="A16" s="6" t="s">
        <v>6</v>
      </c>
      <c r="B16" s="2"/>
      <c r="C16" s="21"/>
      <c r="D16" s="45"/>
      <c r="E16" s="45"/>
      <c r="F16" s="45"/>
      <c r="G16" s="21"/>
      <c r="H16" s="45"/>
      <c r="I16" s="45"/>
      <c r="J16" s="45"/>
      <c r="K16" s="21"/>
      <c r="L16" s="45"/>
      <c r="M16" s="45"/>
      <c r="N16" s="45"/>
      <c r="O16" s="21"/>
      <c r="P16" s="45"/>
      <c r="Q16" s="45"/>
      <c r="R16" s="45"/>
      <c r="S16" s="21"/>
      <c r="T16" s="45"/>
      <c r="U16" s="45"/>
      <c r="V16" s="45"/>
      <c r="W16" s="21"/>
      <c r="X16" s="45"/>
      <c r="Y16" s="412"/>
      <c r="Z16" s="45"/>
      <c r="AA16" s="21"/>
      <c r="AB16" s="45"/>
      <c r="AC16" s="45"/>
      <c r="AD16" s="45"/>
      <c r="AE16" s="21"/>
      <c r="AF16" s="45"/>
      <c r="AG16" s="45"/>
      <c r="AH16" s="45"/>
      <c r="AI16" s="21"/>
      <c r="AJ16" s="45"/>
      <c r="AK16" s="45"/>
      <c r="AL16" s="46"/>
      <c r="AM16" s="21"/>
      <c r="AN16" s="45"/>
      <c r="AO16" s="45"/>
      <c r="AP16" s="46"/>
      <c r="AQ16" s="21"/>
      <c r="AR16" s="45"/>
      <c r="AS16" s="45"/>
      <c r="AT16" s="46"/>
      <c r="AU16" s="21"/>
      <c r="AV16" s="45"/>
      <c r="AW16" s="45"/>
      <c r="AX16" s="46"/>
    </row>
    <row r="17" spans="1:50" ht="11.25" customHeight="1" x14ac:dyDescent="0.2">
      <c r="A17" s="328" t="str">
        <f t="shared" ref="A17:A22" si="3">A8</f>
        <v>Licensing</v>
      </c>
      <c r="B17" s="2"/>
      <c r="C17" s="214">
        <v>0</v>
      </c>
      <c r="D17" s="215">
        <v>0</v>
      </c>
      <c r="E17" s="215">
        <v>0</v>
      </c>
      <c r="F17" s="215">
        <v>0</v>
      </c>
      <c r="G17" s="214">
        <v>0</v>
      </c>
      <c r="H17" s="215">
        <v>0</v>
      </c>
      <c r="I17" s="215">
        <v>0</v>
      </c>
      <c r="J17" s="215">
        <v>0</v>
      </c>
      <c r="K17" s="214">
        <v>0</v>
      </c>
      <c r="L17" s="215">
        <v>0</v>
      </c>
      <c r="M17" s="215">
        <v>0</v>
      </c>
      <c r="N17" s="215">
        <v>0</v>
      </c>
      <c r="O17" s="214">
        <v>0</v>
      </c>
      <c r="P17" s="215">
        <v>0</v>
      </c>
      <c r="Q17" s="215">
        <v>0</v>
      </c>
      <c r="R17" s="215">
        <v>0</v>
      </c>
      <c r="S17" s="214">
        <v>0</v>
      </c>
      <c r="T17" s="215">
        <v>0</v>
      </c>
      <c r="U17" s="215">
        <v>0</v>
      </c>
      <c r="V17" s="215">
        <v>0</v>
      </c>
      <c r="W17" s="214">
        <v>0</v>
      </c>
      <c r="X17" s="215">
        <v>0</v>
      </c>
      <c r="Y17" s="215">
        <v>0</v>
      </c>
      <c r="Z17" s="215">
        <v>0</v>
      </c>
      <c r="AA17" s="214">
        <v>0</v>
      </c>
      <c r="AB17" s="215">
        <v>0</v>
      </c>
      <c r="AC17" s="215">
        <v>0</v>
      </c>
      <c r="AD17" s="215">
        <v>0</v>
      </c>
      <c r="AE17" s="214">
        <v>0</v>
      </c>
      <c r="AF17" s="215">
        <v>0</v>
      </c>
      <c r="AG17" s="215">
        <v>0</v>
      </c>
      <c r="AH17" s="215">
        <v>0</v>
      </c>
      <c r="AI17" s="214">
        <v>0</v>
      </c>
      <c r="AJ17" s="215">
        <v>0</v>
      </c>
      <c r="AK17" s="215">
        <v>0</v>
      </c>
      <c r="AL17" s="216">
        <v>0</v>
      </c>
      <c r="AM17" s="214">
        <v>0</v>
      </c>
      <c r="AN17" s="215">
        <v>0</v>
      </c>
      <c r="AO17" s="215">
        <v>0</v>
      </c>
      <c r="AP17" s="216">
        <v>0</v>
      </c>
      <c r="AQ17" s="214">
        <v>0</v>
      </c>
      <c r="AR17" s="215">
        <v>0</v>
      </c>
      <c r="AS17" s="215">
        <v>0</v>
      </c>
      <c r="AT17" s="216">
        <v>0</v>
      </c>
      <c r="AU17" s="214">
        <v>0</v>
      </c>
      <c r="AV17" s="215">
        <v>0</v>
      </c>
      <c r="AW17" s="215">
        <v>0</v>
      </c>
      <c r="AX17" s="216">
        <v>0</v>
      </c>
    </row>
    <row r="18" spans="1:50" ht="11.25" customHeight="1" x14ac:dyDescent="0.2">
      <c r="A18" s="328" t="str">
        <f t="shared" si="3"/>
        <v>Subscription</v>
      </c>
      <c r="B18" s="2"/>
      <c r="C18" s="214">
        <v>0</v>
      </c>
      <c r="D18" s="215">
        <v>0</v>
      </c>
      <c r="E18" s="215">
        <v>0</v>
      </c>
      <c r="F18" s="215">
        <v>0</v>
      </c>
      <c r="G18" s="214">
        <v>0</v>
      </c>
      <c r="H18" s="215">
        <v>0</v>
      </c>
      <c r="I18" s="215">
        <v>0</v>
      </c>
      <c r="J18" s="215">
        <v>0</v>
      </c>
      <c r="K18" s="214">
        <v>0</v>
      </c>
      <c r="L18" s="215">
        <v>0</v>
      </c>
      <c r="M18" s="215">
        <v>0</v>
      </c>
      <c r="N18" s="215">
        <v>0</v>
      </c>
      <c r="O18" s="214">
        <v>0</v>
      </c>
      <c r="P18" s="215">
        <v>0</v>
      </c>
      <c r="Q18" s="215">
        <v>0</v>
      </c>
      <c r="R18" s="215">
        <v>0</v>
      </c>
      <c r="S18" s="214">
        <v>0</v>
      </c>
      <c r="T18" s="215">
        <v>0</v>
      </c>
      <c r="U18" s="215">
        <v>0</v>
      </c>
      <c r="V18" s="215">
        <v>0</v>
      </c>
      <c r="W18" s="214">
        <v>0</v>
      </c>
      <c r="X18" s="215">
        <v>0</v>
      </c>
      <c r="Y18" s="215">
        <v>0</v>
      </c>
      <c r="Z18" s="215">
        <v>0</v>
      </c>
      <c r="AA18" s="214">
        <v>0</v>
      </c>
      <c r="AB18" s="215">
        <v>0</v>
      </c>
      <c r="AC18" s="215">
        <v>0</v>
      </c>
      <c r="AD18" s="215">
        <v>0</v>
      </c>
      <c r="AE18" s="214">
        <v>0</v>
      </c>
      <c r="AF18" s="215">
        <v>0</v>
      </c>
      <c r="AG18" s="215">
        <v>0</v>
      </c>
      <c r="AH18" s="215">
        <v>0</v>
      </c>
      <c r="AI18" s="214">
        <v>0</v>
      </c>
      <c r="AJ18" s="215">
        <v>0</v>
      </c>
      <c r="AK18" s="215">
        <v>0</v>
      </c>
      <c r="AL18" s="216">
        <v>0</v>
      </c>
      <c r="AM18" s="214">
        <v>0</v>
      </c>
      <c r="AN18" s="215">
        <v>0</v>
      </c>
      <c r="AO18" s="215">
        <v>0</v>
      </c>
      <c r="AP18" s="216">
        <v>0</v>
      </c>
      <c r="AQ18" s="214">
        <v>0</v>
      </c>
      <c r="AR18" s="215">
        <v>0</v>
      </c>
      <c r="AS18" s="215">
        <v>0</v>
      </c>
      <c r="AT18" s="216">
        <v>0</v>
      </c>
      <c r="AU18" s="214">
        <v>0</v>
      </c>
      <c r="AV18" s="215">
        <v>0</v>
      </c>
      <c r="AW18" s="215">
        <v>0</v>
      </c>
      <c r="AX18" s="216">
        <v>0</v>
      </c>
    </row>
    <row r="19" spans="1:50" ht="11.25" customHeight="1" x14ac:dyDescent="0.2">
      <c r="A19" s="328" t="str">
        <f t="shared" si="3"/>
        <v>Merchant Solutions</v>
      </c>
      <c r="B19" s="2"/>
      <c r="C19" s="214">
        <v>0</v>
      </c>
      <c r="D19" s="215">
        <v>0</v>
      </c>
      <c r="E19" s="215">
        <v>0</v>
      </c>
      <c r="F19" s="215">
        <v>0</v>
      </c>
      <c r="G19" s="214">
        <v>0</v>
      </c>
      <c r="H19" s="215">
        <v>0</v>
      </c>
      <c r="I19" s="215">
        <v>0</v>
      </c>
      <c r="J19" s="215">
        <v>0</v>
      </c>
      <c r="K19" s="214">
        <v>0</v>
      </c>
      <c r="L19" s="215">
        <v>0</v>
      </c>
      <c r="M19" s="215">
        <v>0</v>
      </c>
      <c r="N19" s="215">
        <v>0</v>
      </c>
      <c r="O19" s="214">
        <v>0</v>
      </c>
      <c r="P19" s="215">
        <v>0</v>
      </c>
      <c r="Q19" s="215">
        <v>0</v>
      </c>
      <c r="R19" s="215">
        <v>0</v>
      </c>
      <c r="S19" s="214">
        <v>0</v>
      </c>
      <c r="T19" s="215">
        <v>0</v>
      </c>
      <c r="U19" s="215">
        <v>0</v>
      </c>
      <c r="V19" s="215">
        <v>0</v>
      </c>
      <c r="W19" s="214">
        <v>0</v>
      </c>
      <c r="X19" s="215">
        <v>0</v>
      </c>
      <c r="Y19" s="215">
        <v>0</v>
      </c>
      <c r="Z19" s="215">
        <v>0</v>
      </c>
      <c r="AA19" s="214">
        <v>0</v>
      </c>
      <c r="AB19" s="215">
        <v>0</v>
      </c>
      <c r="AC19" s="215">
        <v>0</v>
      </c>
      <c r="AD19" s="215">
        <v>0</v>
      </c>
      <c r="AE19" s="214">
        <v>0</v>
      </c>
      <c r="AF19" s="215">
        <v>0</v>
      </c>
      <c r="AG19" s="215">
        <v>0</v>
      </c>
      <c r="AH19" s="215">
        <v>0</v>
      </c>
      <c r="AI19" s="214">
        <v>0</v>
      </c>
      <c r="AJ19" s="215">
        <v>0</v>
      </c>
      <c r="AK19" s="215">
        <v>0</v>
      </c>
      <c r="AL19" s="216">
        <v>0</v>
      </c>
      <c r="AM19" s="214">
        <v>0</v>
      </c>
      <c r="AN19" s="215">
        <v>0</v>
      </c>
      <c r="AO19" s="215">
        <v>0</v>
      </c>
      <c r="AP19" s="216">
        <v>0</v>
      </c>
      <c r="AQ19" s="214">
        <v>0</v>
      </c>
      <c r="AR19" s="215">
        <v>0</v>
      </c>
      <c r="AS19" s="215">
        <v>0</v>
      </c>
      <c r="AT19" s="216">
        <v>0</v>
      </c>
      <c r="AU19" s="214">
        <v>0</v>
      </c>
      <c r="AV19" s="215">
        <v>0</v>
      </c>
      <c r="AW19" s="215">
        <v>0</v>
      </c>
      <c r="AX19" s="216">
        <v>0</v>
      </c>
    </row>
    <row r="20" spans="1:50" ht="11.25" customHeight="1" x14ac:dyDescent="0.2">
      <c r="A20" s="328" t="str">
        <f t="shared" si="3"/>
        <v>Services</v>
      </c>
      <c r="B20" s="2"/>
      <c r="C20" s="214">
        <v>0</v>
      </c>
      <c r="D20" s="215">
        <v>0</v>
      </c>
      <c r="E20" s="215">
        <v>0</v>
      </c>
      <c r="F20" s="215">
        <v>0</v>
      </c>
      <c r="G20" s="214">
        <v>0</v>
      </c>
      <c r="H20" s="215">
        <v>0</v>
      </c>
      <c r="I20" s="215">
        <v>0</v>
      </c>
      <c r="J20" s="215">
        <v>0</v>
      </c>
      <c r="K20" s="214">
        <v>0</v>
      </c>
      <c r="L20" s="215">
        <v>0</v>
      </c>
      <c r="M20" s="215">
        <v>0</v>
      </c>
      <c r="N20" s="215">
        <v>0</v>
      </c>
      <c r="O20" s="214">
        <v>0</v>
      </c>
      <c r="P20" s="215">
        <v>0</v>
      </c>
      <c r="Q20" s="215">
        <v>0</v>
      </c>
      <c r="R20" s="215">
        <v>0</v>
      </c>
      <c r="S20" s="214">
        <v>0</v>
      </c>
      <c r="T20" s="215">
        <v>0</v>
      </c>
      <c r="U20" s="215">
        <v>0</v>
      </c>
      <c r="V20" s="215">
        <v>0</v>
      </c>
      <c r="W20" s="214">
        <v>0</v>
      </c>
      <c r="X20" s="215">
        <v>0</v>
      </c>
      <c r="Y20" s="215">
        <v>0</v>
      </c>
      <c r="Z20" s="215">
        <v>0</v>
      </c>
      <c r="AA20" s="214">
        <v>0</v>
      </c>
      <c r="AB20" s="215">
        <v>0</v>
      </c>
      <c r="AC20" s="215">
        <v>0</v>
      </c>
      <c r="AD20" s="215">
        <v>0</v>
      </c>
      <c r="AE20" s="214">
        <v>0</v>
      </c>
      <c r="AF20" s="215">
        <v>0</v>
      </c>
      <c r="AG20" s="215">
        <v>0</v>
      </c>
      <c r="AH20" s="215">
        <v>0</v>
      </c>
      <c r="AI20" s="214">
        <v>0</v>
      </c>
      <c r="AJ20" s="215">
        <v>0</v>
      </c>
      <c r="AK20" s="215">
        <v>0</v>
      </c>
      <c r="AL20" s="216">
        <v>0</v>
      </c>
      <c r="AM20" s="214">
        <v>0</v>
      </c>
      <c r="AN20" s="215">
        <v>0</v>
      </c>
      <c r="AO20" s="215">
        <v>0</v>
      </c>
      <c r="AP20" s="216">
        <v>0</v>
      </c>
      <c r="AQ20" s="214">
        <v>0</v>
      </c>
      <c r="AR20" s="215">
        <v>0</v>
      </c>
      <c r="AS20" s="215">
        <v>0</v>
      </c>
      <c r="AT20" s="216">
        <v>0</v>
      </c>
      <c r="AU20" s="214">
        <v>0</v>
      </c>
      <c r="AV20" s="215">
        <v>0</v>
      </c>
      <c r="AW20" s="215">
        <v>0</v>
      </c>
      <c r="AX20" s="216">
        <v>0</v>
      </c>
    </row>
    <row r="21" spans="1:50" ht="11.25" customHeight="1" x14ac:dyDescent="0.2">
      <c r="A21" s="328" t="str">
        <f t="shared" si="3"/>
        <v>Product</v>
      </c>
      <c r="B21" s="2"/>
      <c r="C21" s="214">
        <v>0</v>
      </c>
      <c r="D21" s="215">
        <v>0</v>
      </c>
      <c r="E21" s="215">
        <v>0</v>
      </c>
      <c r="F21" s="215">
        <v>0</v>
      </c>
      <c r="G21" s="214">
        <v>0</v>
      </c>
      <c r="H21" s="215">
        <v>0</v>
      </c>
      <c r="I21" s="215">
        <v>0</v>
      </c>
      <c r="J21" s="215">
        <v>0</v>
      </c>
      <c r="K21" s="214">
        <v>0</v>
      </c>
      <c r="L21" s="215">
        <v>0</v>
      </c>
      <c r="M21" s="215">
        <v>0</v>
      </c>
      <c r="N21" s="215">
        <v>0</v>
      </c>
      <c r="O21" s="214">
        <v>0</v>
      </c>
      <c r="P21" s="215">
        <v>0</v>
      </c>
      <c r="Q21" s="215">
        <v>0</v>
      </c>
      <c r="R21" s="215">
        <v>0</v>
      </c>
      <c r="S21" s="214">
        <v>0</v>
      </c>
      <c r="T21" s="215">
        <v>0</v>
      </c>
      <c r="U21" s="215">
        <v>0</v>
      </c>
      <c r="V21" s="215">
        <v>0</v>
      </c>
      <c r="W21" s="214">
        <v>0</v>
      </c>
      <c r="X21" s="215">
        <v>0</v>
      </c>
      <c r="Y21" s="215">
        <v>0</v>
      </c>
      <c r="Z21" s="215">
        <v>0</v>
      </c>
      <c r="AA21" s="214">
        <v>0</v>
      </c>
      <c r="AB21" s="215">
        <v>0</v>
      </c>
      <c r="AC21" s="215">
        <v>0</v>
      </c>
      <c r="AD21" s="215">
        <v>0</v>
      </c>
      <c r="AE21" s="214">
        <v>0</v>
      </c>
      <c r="AF21" s="215">
        <v>0</v>
      </c>
      <c r="AG21" s="215">
        <v>0</v>
      </c>
      <c r="AH21" s="215">
        <v>0</v>
      </c>
      <c r="AI21" s="214">
        <v>0</v>
      </c>
      <c r="AJ21" s="215">
        <v>0</v>
      </c>
      <c r="AK21" s="215">
        <v>0</v>
      </c>
      <c r="AL21" s="216">
        <v>0</v>
      </c>
      <c r="AM21" s="214">
        <v>0</v>
      </c>
      <c r="AN21" s="215">
        <v>0</v>
      </c>
      <c r="AO21" s="215">
        <v>0</v>
      </c>
      <c r="AP21" s="216">
        <v>0</v>
      </c>
      <c r="AQ21" s="214">
        <v>0</v>
      </c>
      <c r="AR21" s="215">
        <v>0</v>
      </c>
      <c r="AS21" s="215">
        <v>0</v>
      </c>
      <c r="AT21" s="216">
        <v>0</v>
      </c>
      <c r="AU21" s="214">
        <v>0</v>
      </c>
      <c r="AV21" s="215">
        <v>0</v>
      </c>
      <c r="AW21" s="215">
        <v>0</v>
      </c>
      <c r="AX21" s="216">
        <v>0</v>
      </c>
    </row>
    <row r="22" spans="1:50" s="212" customFormat="1" ht="11.25" customHeight="1" x14ac:dyDescent="0.25">
      <c r="A22" s="328" t="str">
        <f t="shared" si="3"/>
        <v>Other</v>
      </c>
      <c r="B22" s="208"/>
      <c r="C22" s="217">
        <v>0</v>
      </c>
      <c r="D22" s="218">
        <v>0</v>
      </c>
      <c r="E22" s="218">
        <v>0</v>
      </c>
      <c r="F22" s="218">
        <v>0</v>
      </c>
      <c r="G22" s="217">
        <v>0</v>
      </c>
      <c r="H22" s="218">
        <v>0</v>
      </c>
      <c r="I22" s="218">
        <v>0</v>
      </c>
      <c r="J22" s="218">
        <v>0</v>
      </c>
      <c r="K22" s="217">
        <v>0</v>
      </c>
      <c r="L22" s="218">
        <v>0</v>
      </c>
      <c r="M22" s="218">
        <v>0</v>
      </c>
      <c r="N22" s="218">
        <v>0</v>
      </c>
      <c r="O22" s="217">
        <v>0</v>
      </c>
      <c r="P22" s="218">
        <v>0</v>
      </c>
      <c r="Q22" s="218">
        <v>0</v>
      </c>
      <c r="R22" s="218">
        <v>0</v>
      </c>
      <c r="S22" s="217">
        <v>0</v>
      </c>
      <c r="T22" s="218">
        <v>0</v>
      </c>
      <c r="U22" s="218">
        <v>0</v>
      </c>
      <c r="V22" s="218">
        <v>0</v>
      </c>
      <c r="W22" s="217">
        <v>0</v>
      </c>
      <c r="X22" s="218">
        <v>0</v>
      </c>
      <c r="Y22" s="218">
        <v>0</v>
      </c>
      <c r="Z22" s="218">
        <v>0</v>
      </c>
      <c r="AA22" s="217">
        <v>0</v>
      </c>
      <c r="AB22" s="210">
        <f t="shared" ref="AB22:AX22" si="4">AB23-SUM(AB17:AB21)</f>
        <v>0</v>
      </c>
      <c r="AC22" s="210">
        <f t="shared" si="4"/>
        <v>0</v>
      </c>
      <c r="AD22" s="210">
        <f t="shared" si="4"/>
        <v>0</v>
      </c>
      <c r="AE22" s="209">
        <f t="shared" si="4"/>
        <v>0</v>
      </c>
      <c r="AF22" s="210">
        <f t="shared" si="4"/>
        <v>0</v>
      </c>
      <c r="AG22" s="210">
        <f t="shared" si="4"/>
        <v>0</v>
      </c>
      <c r="AH22" s="210">
        <f t="shared" si="4"/>
        <v>0</v>
      </c>
      <c r="AI22" s="209">
        <f t="shared" si="4"/>
        <v>0</v>
      </c>
      <c r="AJ22" s="210">
        <f t="shared" si="4"/>
        <v>0</v>
      </c>
      <c r="AK22" s="210">
        <f t="shared" si="4"/>
        <v>0</v>
      </c>
      <c r="AL22" s="211">
        <f t="shared" si="4"/>
        <v>0</v>
      </c>
      <c r="AM22" s="209">
        <f t="shared" si="4"/>
        <v>0</v>
      </c>
      <c r="AN22" s="210">
        <f t="shared" si="4"/>
        <v>0</v>
      </c>
      <c r="AO22" s="210">
        <f t="shared" si="4"/>
        <v>0</v>
      </c>
      <c r="AP22" s="211">
        <f t="shared" si="4"/>
        <v>0</v>
      </c>
      <c r="AQ22" s="209">
        <f t="shared" si="4"/>
        <v>0</v>
      </c>
      <c r="AR22" s="210">
        <f t="shared" si="4"/>
        <v>0</v>
      </c>
      <c r="AS22" s="210">
        <f t="shared" si="4"/>
        <v>0</v>
      </c>
      <c r="AT22" s="211">
        <f t="shared" si="4"/>
        <v>0</v>
      </c>
      <c r="AU22" s="209">
        <f t="shared" si="4"/>
        <v>0</v>
      </c>
      <c r="AV22" s="210">
        <f t="shared" si="4"/>
        <v>0</v>
      </c>
      <c r="AW22" s="210">
        <f t="shared" si="4"/>
        <v>0</v>
      </c>
      <c r="AX22" s="211">
        <f t="shared" si="4"/>
        <v>0</v>
      </c>
    </row>
    <row r="23" spans="1:50" ht="11.25" customHeight="1" x14ac:dyDescent="0.2">
      <c r="A23" s="85" t="s">
        <v>88</v>
      </c>
      <c r="B23" s="2"/>
      <c r="C23" s="21">
        <f t="shared" ref="C23:AA23" si="5">SUM(C17:C22)</f>
        <v>0</v>
      </c>
      <c r="D23" s="45">
        <f t="shared" si="5"/>
        <v>0</v>
      </c>
      <c r="E23" s="45">
        <f t="shared" si="5"/>
        <v>0</v>
      </c>
      <c r="F23" s="45">
        <f t="shared" si="5"/>
        <v>0</v>
      </c>
      <c r="G23" s="21">
        <f t="shared" si="5"/>
        <v>0</v>
      </c>
      <c r="H23" s="45">
        <f t="shared" si="5"/>
        <v>0</v>
      </c>
      <c r="I23" s="45">
        <f t="shared" si="5"/>
        <v>0</v>
      </c>
      <c r="J23" s="45">
        <f t="shared" si="5"/>
        <v>0</v>
      </c>
      <c r="K23" s="21">
        <f t="shared" si="5"/>
        <v>0</v>
      </c>
      <c r="L23" s="45">
        <f t="shared" si="5"/>
        <v>0</v>
      </c>
      <c r="M23" s="45">
        <f t="shared" si="5"/>
        <v>0</v>
      </c>
      <c r="N23" s="45">
        <f t="shared" si="5"/>
        <v>0</v>
      </c>
      <c r="O23" s="21">
        <f t="shared" si="5"/>
        <v>0</v>
      </c>
      <c r="P23" s="45">
        <f t="shared" si="5"/>
        <v>0</v>
      </c>
      <c r="Q23" s="45">
        <f t="shared" si="5"/>
        <v>0</v>
      </c>
      <c r="R23" s="45">
        <f t="shared" si="5"/>
        <v>0</v>
      </c>
      <c r="S23" s="21">
        <f t="shared" si="5"/>
        <v>0</v>
      </c>
      <c r="T23" s="45">
        <f t="shared" si="5"/>
        <v>0</v>
      </c>
      <c r="U23" s="45">
        <f t="shared" si="5"/>
        <v>0</v>
      </c>
      <c r="V23" s="45">
        <f t="shared" si="5"/>
        <v>0</v>
      </c>
      <c r="W23" s="21">
        <f t="shared" si="5"/>
        <v>0</v>
      </c>
      <c r="X23" s="45">
        <f t="shared" si="5"/>
        <v>0</v>
      </c>
      <c r="Y23" s="45">
        <f t="shared" si="5"/>
        <v>0</v>
      </c>
      <c r="Z23" s="45">
        <f t="shared" si="5"/>
        <v>0</v>
      </c>
      <c r="AA23" s="21">
        <f t="shared" si="5"/>
        <v>0</v>
      </c>
      <c r="AB23" s="45">
        <v>0</v>
      </c>
      <c r="AC23" s="45">
        <v>0</v>
      </c>
      <c r="AD23" s="45">
        <v>0</v>
      </c>
      <c r="AE23" s="21">
        <v>0</v>
      </c>
      <c r="AF23" s="45">
        <v>0</v>
      </c>
      <c r="AG23" s="45">
        <v>0</v>
      </c>
      <c r="AH23" s="45">
        <v>0</v>
      </c>
      <c r="AI23" s="21">
        <v>0</v>
      </c>
      <c r="AJ23" s="45">
        <v>0</v>
      </c>
      <c r="AK23" s="45">
        <v>0</v>
      </c>
      <c r="AL23" s="45">
        <v>0</v>
      </c>
      <c r="AM23" s="21">
        <v>0</v>
      </c>
      <c r="AN23" s="45">
        <v>0</v>
      </c>
      <c r="AO23" s="45">
        <v>0</v>
      </c>
      <c r="AP23" s="45">
        <v>0</v>
      </c>
      <c r="AQ23" s="21">
        <v>0</v>
      </c>
      <c r="AR23" s="45">
        <v>0</v>
      </c>
      <c r="AS23" s="45">
        <v>0</v>
      </c>
      <c r="AT23" s="45">
        <v>0</v>
      </c>
      <c r="AU23" s="21">
        <v>0</v>
      </c>
      <c r="AV23" s="45">
        <v>0</v>
      </c>
      <c r="AW23" s="45">
        <v>0</v>
      </c>
      <c r="AX23" s="45">
        <v>0</v>
      </c>
    </row>
    <row r="24" spans="1:50" ht="11.25" customHeight="1" x14ac:dyDescent="0.2">
      <c r="A24" s="2"/>
      <c r="B24" s="2"/>
      <c r="C24" s="14"/>
      <c r="D24" s="29"/>
      <c r="E24" s="29"/>
      <c r="F24" s="29"/>
      <c r="G24" s="14"/>
      <c r="H24" s="29"/>
      <c r="I24" s="29"/>
      <c r="J24" s="29"/>
      <c r="K24" s="14"/>
      <c r="L24" s="29"/>
      <c r="M24" s="29"/>
      <c r="N24" s="29"/>
      <c r="O24" s="14"/>
      <c r="P24" s="29"/>
      <c r="Q24" s="29"/>
      <c r="R24" s="29"/>
      <c r="S24" s="14"/>
      <c r="T24" s="29"/>
      <c r="U24" s="29"/>
      <c r="V24" s="29"/>
      <c r="W24" s="14"/>
      <c r="X24" s="29"/>
      <c r="Y24" s="29"/>
      <c r="Z24" s="29"/>
      <c r="AA24" s="14"/>
      <c r="AB24" s="29"/>
      <c r="AC24" s="29"/>
      <c r="AD24" s="29"/>
      <c r="AE24" s="14"/>
      <c r="AF24" s="29"/>
      <c r="AG24" s="29"/>
      <c r="AH24" s="29"/>
      <c r="AI24" s="14"/>
      <c r="AJ24" s="29"/>
      <c r="AK24" s="29"/>
      <c r="AL24" s="29"/>
      <c r="AM24" s="14"/>
      <c r="AN24" s="29"/>
      <c r="AO24" s="29"/>
      <c r="AP24" s="30"/>
      <c r="AQ24" s="14"/>
      <c r="AR24" s="29"/>
      <c r="AS24" s="29"/>
      <c r="AT24" s="30"/>
      <c r="AU24" s="14"/>
      <c r="AV24" s="29"/>
      <c r="AW24" s="29"/>
      <c r="AX24" s="30"/>
    </row>
    <row r="25" spans="1:50" ht="11.25" customHeight="1" x14ac:dyDescent="0.2">
      <c r="A25" s="2"/>
      <c r="B25" s="2"/>
      <c r="C25" s="14"/>
      <c r="D25" s="29"/>
      <c r="E25" s="29"/>
      <c r="F25" s="29"/>
      <c r="G25" s="14"/>
      <c r="H25" s="29"/>
      <c r="I25" s="29"/>
      <c r="J25" s="29"/>
      <c r="K25" s="14"/>
      <c r="L25" s="29"/>
      <c r="M25" s="29"/>
      <c r="N25" s="29"/>
      <c r="O25" s="14"/>
      <c r="P25" s="29"/>
      <c r="Q25" s="29"/>
      <c r="R25" s="29"/>
      <c r="S25" s="14"/>
      <c r="T25" s="29"/>
      <c r="U25" s="29"/>
      <c r="V25" s="29"/>
      <c r="W25" s="14"/>
      <c r="X25" s="29"/>
      <c r="Y25" s="29"/>
      <c r="Z25" s="29"/>
      <c r="AA25" s="14"/>
      <c r="AB25" s="29"/>
      <c r="AC25" s="29"/>
      <c r="AD25" s="29"/>
      <c r="AE25" s="14"/>
      <c r="AF25" s="29"/>
      <c r="AG25" s="29"/>
      <c r="AH25" s="29"/>
      <c r="AI25" s="14"/>
      <c r="AJ25" s="29"/>
      <c r="AK25" s="29"/>
      <c r="AL25" s="29"/>
      <c r="AM25" s="14"/>
      <c r="AN25" s="29"/>
      <c r="AO25" s="29"/>
      <c r="AP25" s="30"/>
      <c r="AQ25" s="14"/>
      <c r="AR25" s="29"/>
      <c r="AS25" s="29"/>
      <c r="AT25" s="30"/>
      <c r="AU25" s="14"/>
      <c r="AV25" s="29"/>
      <c r="AW25" s="29"/>
      <c r="AX25" s="30"/>
    </row>
    <row r="26" spans="1:50" ht="11.25" customHeight="1" x14ac:dyDescent="0.2">
      <c r="A26" s="6" t="s">
        <v>5</v>
      </c>
      <c r="B26" s="2"/>
      <c r="C26" s="22">
        <f t="shared" ref="C26:AX26" si="6">C14-C23</f>
        <v>0</v>
      </c>
      <c r="D26" s="47">
        <f t="shared" si="6"/>
        <v>0</v>
      </c>
      <c r="E26" s="47">
        <f t="shared" si="6"/>
        <v>0</v>
      </c>
      <c r="F26" s="47">
        <f t="shared" si="6"/>
        <v>0</v>
      </c>
      <c r="G26" s="22">
        <f t="shared" si="6"/>
        <v>0</v>
      </c>
      <c r="H26" s="47">
        <f t="shared" si="6"/>
        <v>0</v>
      </c>
      <c r="I26" s="47">
        <f t="shared" si="6"/>
        <v>0</v>
      </c>
      <c r="J26" s="47">
        <f t="shared" si="6"/>
        <v>0</v>
      </c>
      <c r="K26" s="22">
        <f t="shared" si="6"/>
        <v>0</v>
      </c>
      <c r="L26" s="47">
        <f t="shared" si="6"/>
        <v>0</v>
      </c>
      <c r="M26" s="47">
        <f t="shared" si="6"/>
        <v>0</v>
      </c>
      <c r="N26" s="47">
        <f t="shared" si="6"/>
        <v>0</v>
      </c>
      <c r="O26" s="22">
        <f t="shared" si="6"/>
        <v>0</v>
      </c>
      <c r="P26" s="47">
        <f t="shared" si="6"/>
        <v>0</v>
      </c>
      <c r="Q26" s="47">
        <f t="shared" si="6"/>
        <v>0</v>
      </c>
      <c r="R26" s="47">
        <f t="shared" si="6"/>
        <v>0</v>
      </c>
      <c r="S26" s="22">
        <f t="shared" si="6"/>
        <v>0</v>
      </c>
      <c r="T26" s="47">
        <f t="shared" si="6"/>
        <v>0</v>
      </c>
      <c r="U26" s="47">
        <f t="shared" si="6"/>
        <v>0</v>
      </c>
      <c r="V26" s="47">
        <f t="shared" si="6"/>
        <v>0</v>
      </c>
      <c r="W26" s="22">
        <f t="shared" si="6"/>
        <v>0</v>
      </c>
      <c r="X26" s="47">
        <f t="shared" si="6"/>
        <v>0</v>
      </c>
      <c r="Y26" s="47">
        <f t="shared" si="6"/>
        <v>0</v>
      </c>
      <c r="Z26" s="47">
        <f t="shared" si="6"/>
        <v>0</v>
      </c>
      <c r="AA26" s="22">
        <f t="shared" si="6"/>
        <v>0</v>
      </c>
      <c r="AB26" s="47">
        <f t="shared" si="6"/>
        <v>0</v>
      </c>
      <c r="AC26" s="47">
        <f t="shared" si="6"/>
        <v>0</v>
      </c>
      <c r="AD26" s="47">
        <f t="shared" si="6"/>
        <v>0</v>
      </c>
      <c r="AE26" s="22">
        <f t="shared" si="6"/>
        <v>0</v>
      </c>
      <c r="AF26" s="47">
        <f t="shared" si="6"/>
        <v>0</v>
      </c>
      <c r="AG26" s="47">
        <f t="shared" si="6"/>
        <v>0</v>
      </c>
      <c r="AH26" s="47">
        <f t="shared" si="6"/>
        <v>0</v>
      </c>
      <c r="AI26" s="22">
        <f t="shared" si="6"/>
        <v>0</v>
      </c>
      <c r="AJ26" s="47">
        <f t="shared" si="6"/>
        <v>0</v>
      </c>
      <c r="AK26" s="47">
        <f t="shared" si="6"/>
        <v>0</v>
      </c>
      <c r="AL26" s="47">
        <f t="shared" si="6"/>
        <v>0</v>
      </c>
      <c r="AM26" s="22">
        <f t="shared" si="6"/>
        <v>0</v>
      </c>
      <c r="AN26" s="47">
        <f t="shared" si="6"/>
        <v>0</v>
      </c>
      <c r="AO26" s="47">
        <f t="shared" si="6"/>
        <v>0</v>
      </c>
      <c r="AP26" s="48">
        <f t="shared" si="6"/>
        <v>0</v>
      </c>
      <c r="AQ26" s="22">
        <f t="shared" si="6"/>
        <v>0</v>
      </c>
      <c r="AR26" s="47">
        <f t="shared" si="6"/>
        <v>0</v>
      </c>
      <c r="AS26" s="47">
        <f t="shared" si="6"/>
        <v>0</v>
      </c>
      <c r="AT26" s="48">
        <f t="shared" si="6"/>
        <v>0</v>
      </c>
      <c r="AU26" s="22">
        <f t="shared" si="6"/>
        <v>0</v>
      </c>
      <c r="AV26" s="47">
        <f t="shared" si="6"/>
        <v>0</v>
      </c>
      <c r="AW26" s="47">
        <f t="shared" si="6"/>
        <v>0</v>
      </c>
      <c r="AX26" s="48">
        <f t="shared" si="6"/>
        <v>0</v>
      </c>
    </row>
    <row r="27" spans="1:50" ht="11.25" customHeight="1" x14ac:dyDescent="0.2">
      <c r="A27" s="2"/>
      <c r="B27" s="2"/>
      <c r="C27" s="21"/>
      <c r="D27" s="45"/>
      <c r="E27" s="45"/>
      <c r="F27" s="45"/>
      <c r="G27" s="21"/>
      <c r="H27" s="45"/>
      <c r="I27" s="45"/>
      <c r="J27" s="25"/>
      <c r="K27" s="21"/>
      <c r="L27" s="45"/>
      <c r="M27" s="45"/>
      <c r="N27" s="45"/>
      <c r="O27" s="21"/>
      <c r="P27" s="45"/>
      <c r="Q27" s="45"/>
      <c r="R27" s="45"/>
      <c r="S27" s="21"/>
      <c r="T27" s="45"/>
      <c r="U27" s="45"/>
      <c r="V27" s="45"/>
      <c r="W27" s="21"/>
      <c r="X27" s="45"/>
      <c r="Y27" s="45"/>
      <c r="Z27" s="45"/>
      <c r="AA27" s="21"/>
      <c r="AB27" s="45"/>
      <c r="AC27" s="45"/>
      <c r="AD27" s="45"/>
      <c r="AE27" s="21"/>
      <c r="AF27" s="45"/>
      <c r="AG27" s="45"/>
      <c r="AH27" s="45"/>
      <c r="AI27" s="21"/>
      <c r="AJ27" s="45"/>
      <c r="AK27" s="45"/>
      <c r="AL27" s="46"/>
      <c r="AM27" s="21"/>
      <c r="AN27" s="45"/>
      <c r="AO27" s="45"/>
      <c r="AP27" s="46"/>
      <c r="AQ27" s="21"/>
      <c r="AR27" s="45"/>
      <c r="AS27" s="45"/>
      <c r="AT27" s="46"/>
      <c r="AU27" s="21"/>
      <c r="AV27" s="45"/>
      <c r="AW27" s="45"/>
      <c r="AX27" s="46"/>
    </row>
    <row r="28" spans="1:50" ht="11.25" customHeight="1" x14ac:dyDescent="0.2">
      <c r="A28" s="85" t="s">
        <v>17</v>
      </c>
      <c r="B28" s="2"/>
      <c r="C28" s="214">
        <v>0</v>
      </c>
      <c r="D28" s="215">
        <v>0</v>
      </c>
      <c r="E28" s="215">
        <v>0</v>
      </c>
      <c r="F28" s="215">
        <v>0</v>
      </c>
      <c r="G28" s="214">
        <v>0</v>
      </c>
      <c r="H28" s="215">
        <v>0</v>
      </c>
      <c r="I28" s="215">
        <v>0</v>
      </c>
      <c r="J28" s="215">
        <v>0</v>
      </c>
      <c r="K28" s="214">
        <v>0</v>
      </c>
      <c r="L28" s="215">
        <v>0</v>
      </c>
      <c r="M28" s="215">
        <v>0</v>
      </c>
      <c r="N28" s="215">
        <v>0</v>
      </c>
      <c r="O28" s="214">
        <v>0</v>
      </c>
      <c r="P28" s="215">
        <v>0</v>
      </c>
      <c r="Q28" s="215">
        <v>0</v>
      </c>
      <c r="R28" s="215">
        <v>0</v>
      </c>
      <c r="S28" s="214">
        <v>0</v>
      </c>
      <c r="T28" s="215">
        <v>0</v>
      </c>
      <c r="U28" s="215">
        <v>0</v>
      </c>
      <c r="V28" s="215">
        <v>0</v>
      </c>
      <c r="W28" s="214">
        <v>0</v>
      </c>
      <c r="X28" s="215">
        <v>0</v>
      </c>
      <c r="Y28" s="215">
        <v>0</v>
      </c>
      <c r="Z28" s="215">
        <v>0</v>
      </c>
      <c r="AA28" s="214">
        <v>0</v>
      </c>
      <c r="AB28" s="215">
        <v>0</v>
      </c>
      <c r="AC28" s="215">
        <v>0</v>
      </c>
      <c r="AD28" s="215">
        <v>0</v>
      </c>
      <c r="AE28" s="214">
        <v>0</v>
      </c>
      <c r="AF28" s="215">
        <v>0</v>
      </c>
      <c r="AG28" s="215">
        <v>0</v>
      </c>
      <c r="AH28" s="215">
        <v>0</v>
      </c>
      <c r="AI28" s="214">
        <v>0</v>
      </c>
      <c r="AJ28" s="215">
        <v>0</v>
      </c>
      <c r="AK28" s="215">
        <v>0</v>
      </c>
      <c r="AL28" s="216">
        <v>0</v>
      </c>
      <c r="AM28" s="214">
        <v>0</v>
      </c>
      <c r="AN28" s="215">
        <v>0</v>
      </c>
      <c r="AO28" s="215">
        <v>0</v>
      </c>
      <c r="AP28" s="216">
        <v>0</v>
      </c>
      <c r="AQ28" s="214">
        <v>0</v>
      </c>
      <c r="AR28" s="215">
        <v>0</v>
      </c>
      <c r="AS28" s="215">
        <v>0</v>
      </c>
      <c r="AT28" s="216">
        <v>0</v>
      </c>
      <c r="AU28" s="214">
        <v>0</v>
      </c>
      <c r="AV28" s="215">
        <v>0</v>
      </c>
      <c r="AW28" s="215">
        <v>0</v>
      </c>
      <c r="AX28" s="216">
        <v>0</v>
      </c>
    </row>
    <row r="29" spans="1:50" ht="11.25" customHeight="1" x14ac:dyDescent="0.2">
      <c r="A29" s="2" t="s">
        <v>4</v>
      </c>
      <c r="B29" s="2"/>
      <c r="C29" s="214">
        <v>0</v>
      </c>
      <c r="D29" s="215">
        <v>0</v>
      </c>
      <c r="E29" s="215">
        <v>0</v>
      </c>
      <c r="F29" s="215">
        <v>0</v>
      </c>
      <c r="G29" s="214">
        <v>0</v>
      </c>
      <c r="H29" s="215">
        <v>0</v>
      </c>
      <c r="I29" s="215">
        <v>0</v>
      </c>
      <c r="J29" s="215">
        <v>0</v>
      </c>
      <c r="K29" s="214">
        <v>0</v>
      </c>
      <c r="L29" s="215">
        <v>0</v>
      </c>
      <c r="M29" s="215">
        <v>0</v>
      </c>
      <c r="N29" s="215">
        <v>0</v>
      </c>
      <c r="O29" s="214">
        <v>0</v>
      </c>
      <c r="P29" s="215">
        <v>0</v>
      </c>
      <c r="Q29" s="215">
        <v>0</v>
      </c>
      <c r="R29" s="215">
        <v>0</v>
      </c>
      <c r="S29" s="214">
        <v>0</v>
      </c>
      <c r="T29" s="215">
        <v>0</v>
      </c>
      <c r="U29" s="215">
        <v>0</v>
      </c>
      <c r="V29" s="215">
        <v>0</v>
      </c>
      <c r="W29" s="214">
        <v>0</v>
      </c>
      <c r="X29" s="215">
        <v>0</v>
      </c>
      <c r="Y29" s="215">
        <v>0</v>
      </c>
      <c r="Z29" s="215">
        <v>0</v>
      </c>
      <c r="AA29" s="214">
        <v>0</v>
      </c>
      <c r="AB29" s="215">
        <v>0</v>
      </c>
      <c r="AC29" s="215">
        <v>0</v>
      </c>
      <c r="AD29" s="215">
        <v>0</v>
      </c>
      <c r="AE29" s="214">
        <v>0</v>
      </c>
      <c r="AF29" s="215">
        <v>0</v>
      </c>
      <c r="AG29" s="215">
        <v>0</v>
      </c>
      <c r="AH29" s="215">
        <v>0</v>
      </c>
      <c r="AI29" s="214">
        <v>0</v>
      </c>
      <c r="AJ29" s="215">
        <v>0</v>
      </c>
      <c r="AK29" s="215">
        <v>0</v>
      </c>
      <c r="AL29" s="216">
        <v>0</v>
      </c>
      <c r="AM29" s="214">
        <v>0</v>
      </c>
      <c r="AN29" s="215">
        <v>0</v>
      </c>
      <c r="AO29" s="215">
        <v>0</v>
      </c>
      <c r="AP29" s="216">
        <v>0</v>
      </c>
      <c r="AQ29" s="214">
        <v>0</v>
      </c>
      <c r="AR29" s="215">
        <v>0</v>
      </c>
      <c r="AS29" s="215">
        <v>0</v>
      </c>
      <c r="AT29" s="216">
        <v>0</v>
      </c>
      <c r="AU29" s="214">
        <v>0</v>
      </c>
      <c r="AV29" s="215">
        <v>0</v>
      </c>
      <c r="AW29" s="215">
        <v>0</v>
      </c>
      <c r="AX29" s="216">
        <v>0</v>
      </c>
    </row>
    <row r="30" spans="1:50" ht="11.25" customHeight="1" x14ac:dyDescent="0.2">
      <c r="A30" s="2" t="s">
        <v>3</v>
      </c>
      <c r="B30" s="2"/>
      <c r="C30" s="214">
        <v>0</v>
      </c>
      <c r="D30" s="215">
        <v>0</v>
      </c>
      <c r="E30" s="215">
        <v>0</v>
      </c>
      <c r="F30" s="215">
        <v>0</v>
      </c>
      <c r="G30" s="214">
        <v>0</v>
      </c>
      <c r="H30" s="215">
        <v>0</v>
      </c>
      <c r="I30" s="215">
        <v>0</v>
      </c>
      <c r="J30" s="215">
        <v>0</v>
      </c>
      <c r="K30" s="214">
        <v>0</v>
      </c>
      <c r="L30" s="215">
        <v>0</v>
      </c>
      <c r="M30" s="215">
        <v>0</v>
      </c>
      <c r="N30" s="215">
        <v>0</v>
      </c>
      <c r="O30" s="214">
        <v>0</v>
      </c>
      <c r="P30" s="215">
        <v>0</v>
      </c>
      <c r="Q30" s="215">
        <v>0</v>
      </c>
      <c r="R30" s="215">
        <v>0</v>
      </c>
      <c r="S30" s="214">
        <v>0</v>
      </c>
      <c r="T30" s="215">
        <v>0</v>
      </c>
      <c r="U30" s="215">
        <v>0</v>
      </c>
      <c r="V30" s="215">
        <v>0</v>
      </c>
      <c r="W30" s="214">
        <v>0</v>
      </c>
      <c r="X30" s="215">
        <v>0</v>
      </c>
      <c r="Y30" s="215">
        <v>0</v>
      </c>
      <c r="Z30" s="215">
        <v>0</v>
      </c>
      <c r="AA30" s="214">
        <v>0</v>
      </c>
      <c r="AB30" s="215">
        <v>0</v>
      </c>
      <c r="AC30" s="215">
        <v>0</v>
      </c>
      <c r="AD30" s="215">
        <v>0</v>
      </c>
      <c r="AE30" s="214">
        <v>0</v>
      </c>
      <c r="AF30" s="215">
        <v>0</v>
      </c>
      <c r="AG30" s="215">
        <v>0</v>
      </c>
      <c r="AH30" s="215">
        <v>0</v>
      </c>
      <c r="AI30" s="214">
        <v>0</v>
      </c>
      <c r="AJ30" s="215">
        <v>0</v>
      </c>
      <c r="AK30" s="215">
        <v>0</v>
      </c>
      <c r="AL30" s="216">
        <v>0</v>
      </c>
      <c r="AM30" s="214">
        <v>0</v>
      </c>
      <c r="AN30" s="215">
        <v>0</v>
      </c>
      <c r="AO30" s="215">
        <v>0</v>
      </c>
      <c r="AP30" s="216">
        <v>0</v>
      </c>
      <c r="AQ30" s="214">
        <v>0</v>
      </c>
      <c r="AR30" s="215">
        <v>0</v>
      </c>
      <c r="AS30" s="215">
        <v>0</v>
      </c>
      <c r="AT30" s="216">
        <v>0</v>
      </c>
      <c r="AU30" s="214">
        <v>0</v>
      </c>
      <c r="AV30" s="215">
        <v>0</v>
      </c>
      <c r="AW30" s="215">
        <v>0</v>
      </c>
      <c r="AX30" s="216">
        <v>0</v>
      </c>
    </row>
    <row r="31" spans="1:50" ht="11.25" customHeight="1" x14ac:dyDescent="0.2">
      <c r="A31" s="85" t="s">
        <v>125</v>
      </c>
      <c r="B31" s="2"/>
      <c r="C31" s="214">
        <v>0</v>
      </c>
      <c r="D31" s="215">
        <v>0</v>
      </c>
      <c r="E31" s="215">
        <v>0</v>
      </c>
      <c r="F31" s="215">
        <v>0</v>
      </c>
      <c r="G31" s="214">
        <v>0</v>
      </c>
      <c r="H31" s="215">
        <v>0</v>
      </c>
      <c r="I31" s="215">
        <v>0</v>
      </c>
      <c r="J31" s="215">
        <v>0</v>
      </c>
      <c r="K31" s="214">
        <v>0</v>
      </c>
      <c r="L31" s="215">
        <v>0</v>
      </c>
      <c r="M31" s="215">
        <v>0</v>
      </c>
      <c r="N31" s="215">
        <v>0</v>
      </c>
      <c r="O31" s="214">
        <v>0</v>
      </c>
      <c r="P31" s="215">
        <v>0</v>
      </c>
      <c r="Q31" s="215">
        <v>0</v>
      </c>
      <c r="R31" s="215">
        <v>0</v>
      </c>
      <c r="S31" s="214">
        <v>0</v>
      </c>
      <c r="T31" s="215">
        <v>0</v>
      </c>
      <c r="U31" s="215">
        <v>0</v>
      </c>
      <c r="V31" s="215">
        <v>0</v>
      </c>
      <c r="W31" s="214">
        <v>0</v>
      </c>
      <c r="X31" s="215">
        <v>0</v>
      </c>
      <c r="Y31" s="215">
        <v>0</v>
      </c>
      <c r="Z31" s="215">
        <v>0</v>
      </c>
      <c r="AA31" s="214">
        <v>0</v>
      </c>
      <c r="AB31" s="215">
        <v>0</v>
      </c>
      <c r="AC31" s="215">
        <v>0</v>
      </c>
      <c r="AD31" s="215">
        <v>0</v>
      </c>
      <c r="AE31" s="214">
        <v>0</v>
      </c>
      <c r="AF31" s="215">
        <v>0</v>
      </c>
      <c r="AG31" s="215">
        <v>0</v>
      </c>
      <c r="AH31" s="215">
        <v>0</v>
      </c>
      <c r="AI31" s="214">
        <v>0</v>
      </c>
      <c r="AJ31" s="215">
        <v>0</v>
      </c>
      <c r="AK31" s="215">
        <v>0</v>
      </c>
      <c r="AL31" s="216">
        <v>0</v>
      </c>
      <c r="AM31" s="214">
        <v>0</v>
      </c>
      <c r="AN31" s="215">
        <v>0</v>
      </c>
      <c r="AO31" s="215">
        <v>0</v>
      </c>
      <c r="AP31" s="216">
        <v>0</v>
      </c>
      <c r="AQ31" s="214">
        <v>0</v>
      </c>
      <c r="AR31" s="215">
        <v>0</v>
      </c>
      <c r="AS31" s="215">
        <v>0</v>
      </c>
      <c r="AT31" s="216">
        <v>0</v>
      </c>
      <c r="AU31" s="214">
        <v>0</v>
      </c>
      <c r="AV31" s="215">
        <v>0</v>
      </c>
      <c r="AW31" s="215">
        <v>0</v>
      </c>
      <c r="AX31" s="216">
        <v>0</v>
      </c>
    </row>
    <row r="32" spans="1:50" ht="11.25" customHeight="1" x14ac:dyDescent="0.2">
      <c r="A32" s="85" t="s">
        <v>113</v>
      </c>
      <c r="B32" s="2"/>
      <c r="C32" s="214">
        <v>0</v>
      </c>
      <c r="D32" s="215">
        <v>0</v>
      </c>
      <c r="E32" s="215">
        <v>0</v>
      </c>
      <c r="F32" s="215">
        <v>0</v>
      </c>
      <c r="G32" s="214">
        <v>0</v>
      </c>
      <c r="H32" s="215">
        <v>0</v>
      </c>
      <c r="I32" s="215">
        <v>0</v>
      </c>
      <c r="J32" s="215">
        <v>0</v>
      </c>
      <c r="K32" s="214">
        <v>0</v>
      </c>
      <c r="L32" s="215">
        <v>0</v>
      </c>
      <c r="M32" s="215">
        <v>0</v>
      </c>
      <c r="N32" s="215">
        <v>0</v>
      </c>
      <c r="O32" s="214">
        <v>0</v>
      </c>
      <c r="P32" s="215">
        <v>0</v>
      </c>
      <c r="Q32" s="215">
        <v>0</v>
      </c>
      <c r="R32" s="215">
        <v>0</v>
      </c>
      <c r="S32" s="214">
        <v>0</v>
      </c>
      <c r="T32" s="215">
        <v>0</v>
      </c>
      <c r="U32" s="215">
        <v>0</v>
      </c>
      <c r="V32" s="215">
        <v>0</v>
      </c>
      <c r="W32" s="214">
        <v>0</v>
      </c>
      <c r="X32" s="215">
        <v>0</v>
      </c>
      <c r="Y32" s="215">
        <v>0</v>
      </c>
      <c r="Z32" s="215">
        <v>0</v>
      </c>
      <c r="AA32" s="214">
        <v>0</v>
      </c>
      <c r="AB32" s="215">
        <v>0</v>
      </c>
      <c r="AC32" s="215">
        <v>0</v>
      </c>
      <c r="AD32" s="215">
        <v>0</v>
      </c>
      <c r="AE32" s="214">
        <v>0</v>
      </c>
      <c r="AF32" s="215">
        <v>0</v>
      </c>
      <c r="AG32" s="215">
        <v>0</v>
      </c>
      <c r="AH32" s="215">
        <v>0</v>
      </c>
      <c r="AI32" s="214">
        <v>0</v>
      </c>
      <c r="AJ32" s="215">
        <v>0</v>
      </c>
      <c r="AK32" s="215">
        <v>0</v>
      </c>
      <c r="AL32" s="216">
        <v>0</v>
      </c>
      <c r="AM32" s="214">
        <v>0</v>
      </c>
      <c r="AN32" s="215">
        <v>0</v>
      </c>
      <c r="AO32" s="215">
        <v>0</v>
      </c>
      <c r="AP32" s="216">
        <v>0</v>
      </c>
      <c r="AQ32" s="214">
        <v>0</v>
      </c>
      <c r="AR32" s="215">
        <v>0</v>
      </c>
      <c r="AS32" s="215">
        <v>0</v>
      </c>
      <c r="AT32" s="216">
        <v>0</v>
      </c>
      <c r="AU32" s="214">
        <v>0</v>
      </c>
      <c r="AV32" s="215">
        <v>0</v>
      </c>
      <c r="AW32" s="215">
        <v>0</v>
      </c>
      <c r="AX32" s="216">
        <v>0</v>
      </c>
    </row>
    <row r="33" spans="1:50" ht="11.25" customHeight="1" x14ac:dyDescent="0.25">
      <c r="A33" s="2" t="s">
        <v>30</v>
      </c>
      <c r="B33" s="2"/>
      <c r="C33" s="18">
        <f>C26-SUM(C28:C32)-C35</f>
        <v>0</v>
      </c>
      <c r="D33" s="19">
        <f t="shared" ref="D33:AX33" si="7">D26-SUM(D28:D32)-D35</f>
        <v>0</v>
      </c>
      <c r="E33" s="19">
        <f t="shared" si="7"/>
        <v>0</v>
      </c>
      <c r="F33" s="19">
        <f t="shared" si="7"/>
        <v>0</v>
      </c>
      <c r="G33" s="18">
        <f t="shared" si="7"/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8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8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8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8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8">
        <f t="shared" si="7"/>
        <v>0</v>
      </c>
      <c r="AB33" s="19">
        <f t="shared" si="7"/>
        <v>0</v>
      </c>
      <c r="AC33" s="19">
        <f t="shared" si="7"/>
        <v>0</v>
      </c>
      <c r="AD33" s="19">
        <f t="shared" si="7"/>
        <v>0</v>
      </c>
      <c r="AE33" s="18">
        <f t="shared" si="7"/>
        <v>0</v>
      </c>
      <c r="AF33" s="19">
        <f t="shared" si="7"/>
        <v>0</v>
      </c>
      <c r="AG33" s="19">
        <f t="shared" si="7"/>
        <v>0</v>
      </c>
      <c r="AH33" s="19">
        <f t="shared" si="7"/>
        <v>0</v>
      </c>
      <c r="AI33" s="18">
        <f t="shared" si="7"/>
        <v>0</v>
      </c>
      <c r="AJ33" s="19">
        <f t="shared" si="7"/>
        <v>0</v>
      </c>
      <c r="AK33" s="19">
        <f t="shared" si="7"/>
        <v>0</v>
      </c>
      <c r="AL33" s="20">
        <f t="shared" si="7"/>
        <v>0</v>
      </c>
      <c r="AM33" s="18">
        <f t="shared" si="7"/>
        <v>0</v>
      </c>
      <c r="AN33" s="19">
        <f t="shared" si="7"/>
        <v>0</v>
      </c>
      <c r="AO33" s="19">
        <f t="shared" si="7"/>
        <v>0</v>
      </c>
      <c r="AP33" s="20">
        <f t="shared" si="7"/>
        <v>0</v>
      </c>
      <c r="AQ33" s="18">
        <f t="shared" si="7"/>
        <v>0</v>
      </c>
      <c r="AR33" s="19">
        <f t="shared" si="7"/>
        <v>0</v>
      </c>
      <c r="AS33" s="19">
        <f t="shared" si="7"/>
        <v>0</v>
      </c>
      <c r="AT33" s="20">
        <f t="shared" si="7"/>
        <v>0</v>
      </c>
      <c r="AU33" s="18">
        <f t="shared" si="7"/>
        <v>0</v>
      </c>
      <c r="AV33" s="19">
        <f t="shared" si="7"/>
        <v>0</v>
      </c>
      <c r="AW33" s="19">
        <f t="shared" si="7"/>
        <v>0</v>
      </c>
      <c r="AX33" s="20">
        <f t="shared" si="7"/>
        <v>0</v>
      </c>
    </row>
    <row r="34" spans="1:50" ht="11.25" customHeight="1" x14ac:dyDescent="0.25">
      <c r="A34" s="2"/>
      <c r="B34" s="2"/>
      <c r="C34" s="18"/>
      <c r="D34" s="19"/>
      <c r="E34" s="19"/>
      <c r="F34" s="19"/>
      <c r="G34" s="18"/>
      <c r="H34" s="19"/>
      <c r="I34" s="19"/>
      <c r="J34" s="19"/>
      <c r="K34" s="18"/>
      <c r="L34" s="19"/>
      <c r="M34" s="19"/>
      <c r="N34" s="19"/>
      <c r="O34" s="18"/>
      <c r="P34" s="19"/>
      <c r="Q34" s="19"/>
      <c r="R34" s="19"/>
      <c r="S34" s="18"/>
      <c r="T34" s="19"/>
      <c r="U34" s="19"/>
      <c r="V34" s="19"/>
      <c r="W34" s="18"/>
      <c r="X34" s="19"/>
      <c r="Y34" s="19"/>
      <c r="Z34" s="19"/>
      <c r="AA34" s="18"/>
      <c r="AB34" s="19"/>
      <c r="AC34" s="19"/>
      <c r="AD34" s="19"/>
      <c r="AE34" s="18"/>
      <c r="AF34" s="19"/>
      <c r="AG34" s="19"/>
      <c r="AH34" s="19"/>
      <c r="AI34" s="18"/>
      <c r="AJ34" s="19"/>
      <c r="AK34" s="19"/>
      <c r="AL34" s="20"/>
      <c r="AM34" s="18"/>
      <c r="AN34" s="19"/>
      <c r="AO34" s="19"/>
      <c r="AP34" s="20"/>
      <c r="AQ34" s="18"/>
      <c r="AR34" s="19"/>
      <c r="AS34" s="19"/>
      <c r="AT34" s="20"/>
      <c r="AU34" s="18"/>
      <c r="AV34" s="19"/>
      <c r="AW34" s="19"/>
      <c r="AX34" s="20"/>
    </row>
    <row r="35" spans="1:50" ht="11.25" customHeight="1" x14ac:dyDescent="0.2">
      <c r="A35" s="2" t="s">
        <v>29</v>
      </c>
      <c r="B35" s="2"/>
      <c r="C35" s="214">
        <v>0</v>
      </c>
      <c r="D35" s="215">
        <v>0</v>
      </c>
      <c r="E35" s="215">
        <v>0</v>
      </c>
      <c r="F35" s="215">
        <v>0</v>
      </c>
      <c r="G35" s="214">
        <v>0</v>
      </c>
      <c r="H35" s="215">
        <v>0</v>
      </c>
      <c r="I35" s="215">
        <v>0</v>
      </c>
      <c r="J35" s="215">
        <v>0</v>
      </c>
      <c r="K35" s="214">
        <v>0</v>
      </c>
      <c r="L35" s="215">
        <v>0</v>
      </c>
      <c r="M35" s="215">
        <v>0</v>
      </c>
      <c r="N35" s="215">
        <v>0</v>
      </c>
      <c r="O35" s="214">
        <v>0</v>
      </c>
      <c r="P35" s="215">
        <v>0</v>
      </c>
      <c r="Q35" s="215">
        <v>0</v>
      </c>
      <c r="R35" s="215">
        <v>0</v>
      </c>
      <c r="S35" s="214">
        <v>0</v>
      </c>
      <c r="T35" s="215">
        <v>0</v>
      </c>
      <c r="U35" s="215">
        <v>0</v>
      </c>
      <c r="V35" s="215">
        <v>0</v>
      </c>
      <c r="W35" s="214">
        <v>0</v>
      </c>
      <c r="X35" s="215">
        <v>0</v>
      </c>
      <c r="Y35" s="215">
        <v>0</v>
      </c>
      <c r="Z35" s="215">
        <v>0</v>
      </c>
      <c r="AA35" s="214">
        <v>0</v>
      </c>
      <c r="AB35" s="215">
        <v>0</v>
      </c>
      <c r="AC35" s="215">
        <v>0</v>
      </c>
      <c r="AD35" s="215">
        <v>0</v>
      </c>
      <c r="AE35" s="214">
        <v>0</v>
      </c>
      <c r="AF35" s="215">
        <v>0</v>
      </c>
      <c r="AG35" s="215">
        <v>0</v>
      </c>
      <c r="AH35" s="215">
        <v>0</v>
      </c>
      <c r="AI35" s="214">
        <v>0</v>
      </c>
      <c r="AJ35" s="215">
        <v>0</v>
      </c>
      <c r="AK35" s="215">
        <v>0</v>
      </c>
      <c r="AL35" s="215">
        <v>0</v>
      </c>
      <c r="AM35" s="214">
        <v>0</v>
      </c>
      <c r="AN35" s="215">
        <v>0</v>
      </c>
      <c r="AO35" s="215">
        <v>0</v>
      </c>
      <c r="AP35" s="215">
        <v>0</v>
      </c>
      <c r="AQ35" s="214">
        <v>0</v>
      </c>
      <c r="AR35" s="215">
        <v>0</v>
      </c>
      <c r="AS35" s="215">
        <v>0</v>
      </c>
      <c r="AT35" s="215">
        <v>0</v>
      </c>
      <c r="AU35" s="214">
        <v>0</v>
      </c>
      <c r="AV35" s="215">
        <v>0</v>
      </c>
      <c r="AW35" s="215">
        <v>0</v>
      </c>
      <c r="AX35" s="216">
        <v>0</v>
      </c>
    </row>
    <row r="36" spans="1:50" ht="11.25" customHeight="1" x14ac:dyDescent="0.2">
      <c r="A36" s="2"/>
      <c r="B36" s="2"/>
      <c r="C36" s="21"/>
      <c r="D36" s="45"/>
      <c r="E36" s="45"/>
      <c r="F36" s="45"/>
      <c r="G36" s="21"/>
      <c r="H36" s="45"/>
      <c r="I36" s="45"/>
      <c r="J36" s="45"/>
      <c r="K36" s="21"/>
      <c r="L36" s="45"/>
      <c r="M36" s="45"/>
      <c r="N36" s="45"/>
      <c r="O36" s="21"/>
      <c r="P36" s="45"/>
      <c r="Q36" s="45"/>
      <c r="R36" s="45"/>
      <c r="S36" s="21"/>
      <c r="T36" s="45"/>
      <c r="U36" s="45"/>
      <c r="V36" s="45"/>
      <c r="W36" s="21"/>
      <c r="X36" s="45"/>
      <c r="Y36" s="45"/>
      <c r="Z36" s="45"/>
      <c r="AA36" s="21"/>
      <c r="AB36" s="45"/>
      <c r="AC36" s="45"/>
      <c r="AD36" s="45"/>
      <c r="AE36" s="21"/>
      <c r="AF36" s="45"/>
      <c r="AG36" s="45"/>
      <c r="AH36" s="45"/>
      <c r="AI36" s="21"/>
      <c r="AJ36" s="45"/>
      <c r="AK36" s="45"/>
      <c r="AL36" s="46"/>
      <c r="AM36" s="21"/>
      <c r="AN36" s="45"/>
      <c r="AO36" s="45"/>
      <c r="AP36" s="46"/>
      <c r="AQ36" s="21"/>
      <c r="AR36" s="45"/>
      <c r="AS36" s="45"/>
      <c r="AT36" s="46"/>
      <c r="AU36" s="21"/>
      <c r="AV36" s="45"/>
      <c r="AW36" s="45"/>
      <c r="AX36" s="46"/>
    </row>
    <row r="37" spans="1:50" ht="11.25" customHeight="1" x14ac:dyDescent="0.2">
      <c r="A37" s="85" t="s">
        <v>133</v>
      </c>
      <c r="B37" s="2"/>
      <c r="C37" s="214">
        <v>0</v>
      </c>
      <c r="D37" s="215">
        <v>0</v>
      </c>
      <c r="E37" s="215">
        <v>0</v>
      </c>
      <c r="F37" s="215">
        <v>0</v>
      </c>
      <c r="G37" s="214">
        <v>0</v>
      </c>
      <c r="H37" s="215">
        <v>0</v>
      </c>
      <c r="I37" s="215">
        <v>0</v>
      </c>
      <c r="J37" s="215">
        <v>0</v>
      </c>
      <c r="K37" s="214">
        <v>0</v>
      </c>
      <c r="L37" s="215">
        <v>0</v>
      </c>
      <c r="M37" s="215">
        <v>0</v>
      </c>
      <c r="N37" s="215">
        <v>0</v>
      </c>
      <c r="O37" s="214">
        <v>0</v>
      </c>
      <c r="P37" s="215">
        <v>0</v>
      </c>
      <c r="Q37" s="215">
        <v>0</v>
      </c>
      <c r="R37" s="215">
        <v>0</v>
      </c>
      <c r="S37" s="214">
        <v>0</v>
      </c>
      <c r="T37" s="215">
        <v>0</v>
      </c>
      <c r="U37" s="215">
        <v>0</v>
      </c>
      <c r="V37" s="215">
        <v>0</v>
      </c>
      <c r="W37" s="214">
        <v>0</v>
      </c>
      <c r="X37" s="215">
        <v>0</v>
      </c>
      <c r="Y37" s="215">
        <v>0</v>
      </c>
      <c r="Z37" s="215">
        <v>0</v>
      </c>
      <c r="AA37" s="214">
        <v>0</v>
      </c>
      <c r="AB37" s="215">
        <v>0</v>
      </c>
      <c r="AC37" s="215">
        <v>0</v>
      </c>
      <c r="AD37" s="215">
        <v>0</v>
      </c>
      <c r="AE37" s="214">
        <v>0</v>
      </c>
      <c r="AF37" s="215">
        <v>0</v>
      </c>
      <c r="AG37" s="215">
        <v>0</v>
      </c>
      <c r="AH37" s="215">
        <v>0</v>
      </c>
      <c r="AI37" s="214">
        <v>0</v>
      </c>
      <c r="AJ37" s="215">
        <v>0</v>
      </c>
      <c r="AK37" s="215">
        <v>0</v>
      </c>
      <c r="AL37" s="215">
        <v>0</v>
      </c>
      <c r="AM37" s="214">
        <v>0</v>
      </c>
      <c r="AN37" s="215">
        <v>0</v>
      </c>
      <c r="AO37" s="215">
        <v>0</v>
      </c>
      <c r="AP37" s="215">
        <v>0</v>
      </c>
      <c r="AQ37" s="214">
        <v>0</v>
      </c>
      <c r="AR37" s="215">
        <v>0</v>
      </c>
      <c r="AS37" s="215">
        <v>0</v>
      </c>
      <c r="AT37" s="215">
        <v>0</v>
      </c>
      <c r="AU37" s="214">
        <v>0</v>
      </c>
      <c r="AV37" s="215">
        <v>0</v>
      </c>
      <c r="AW37" s="215">
        <v>0</v>
      </c>
      <c r="AX37" s="216">
        <v>0</v>
      </c>
    </row>
    <row r="38" spans="1:50" ht="11.25" customHeight="1" x14ac:dyDescent="0.2">
      <c r="A38" s="85" t="s">
        <v>134</v>
      </c>
      <c r="B38" s="2"/>
      <c r="C38" s="214">
        <v>0</v>
      </c>
      <c r="D38" s="215">
        <v>0</v>
      </c>
      <c r="E38" s="215">
        <v>0</v>
      </c>
      <c r="F38" s="215">
        <v>0</v>
      </c>
      <c r="G38" s="214">
        <v>0</v>
      </c>
      <c r="H38" s="215">
        <v>0</v>
      </c>
      <c r="I38" s="215">
        <v>0</v>
      </c>
      <c r="J38" s="215">
        <v>0</v>
      </c>
      <c r="K38" s="214">
        <v>0</v>
      </c>
      <c r="L38" s="215">
        <v>0</v>
      </c>
      <c r="M38" s="215">
        <v>0</v>
      </c>
      <c r="N38" s="215">
        <v>0</v>
      </c>
      <c r="O38" s="214">
        <v>0</v>
      </c>
      <c r="P38" s="215">
        <v>0</v>
      </c>
      <c r="Q38" s="215">
        <v>0</v>
      </c>
      <c r="R38" s="215">
        <v>0</v>
      </c>
      <c r="S38" s="214">
        <v>0</v>
      </c>
      <c r="T38" s="215">
        <v>0</v>
      </c>
      <c r="U38" s="215">
        <v>0</v>
      </c>
      <c r="V38" s="215">
        <v>0</v>
      </c>
      <c r="W38" s="214">
        <v>0</v>
      </c>
      <c r="X38" s="215">
        <v>0</v>
      </c>
      <c r="Y38" s="215">
        <v>0</v>
      </c>
      <c r="Z38" s="215">
        <v>0</v>
      </c>
      <c r="AA38" s="214">
        <v>0</v>
      </c>
      <c r="AB38" s="215">
        <v>0</v>
      </c>
      <c r="AC38" s="215">
        <v>0</v>
      </c>
      <c r="AD38" s="215">
        <v>0</v>
      </c>
      <c r="AE38" s="214">
        <v>0</v>
      </c>
      <c r="AF38" s="215">
        <v>0</v>
      </c>
      <c r="AG38" s="215">
        <v>0</v>
      </c>
      <c r="AH38" s="215">
        <v>0</v>
      </c>
      <c r="AI38" s="214">
        <v>0</v>
      </c>
      <c r="AJ38" s="215">
        <v>0</v>
      </c>
      <c r="AK38" s="215">
        <v>0</v>
      </c>
      <c r="AL38" s="215">
        <v>0</v>
      </c>
      <c r="AM38" s="214">
        <v>0</v>
      </c>
      <c r="AN38" s="215">
        <v>0</v>
      </c>
      <c r="AO38" s="215">
        <v>0</v>
      </c>
      <c r="AP38" s="215">
        <v>0</v>
      </c>
      <c r="AQ38" s="214">
        <v>0</v>
      </c>
      <c r="AR38" s="215">
        <v>0</v>
      </c>
      <c r="AS38" s="215">
        <v>0</v>
      </c>
      <c r="AT38" s="215">
        <v>0</v>
      </c>
      <c r="AU38" s="214">
        <v>0</v>
      </c>
      <c r="AV38" s="215">
        <v>0</v>
      </c>
      <c r="AW38" s="215">
        <v>0</v>
      </c>
      <c r="AX38" s="216">
        <v>0</v>
      </c>
    </row>
    <row r="39" spans="1:50" ht="11.25" customHeight="1" x14ac:dyDescent="0.2">
      <c r="A39" s="85"/>
      <c r="B39" s="2"/>
      <c r="C39" s="21"/>
      <c r="D39" s="45"/>
      <c r="E39" s="45"/>
      <c r="F39" s="45"/>
      <c r="G39" s="21"/>
      <c r="H39" s="45"/>
      <c r="I39" s="45"/>
      <c r="J39" s="45"/>
      <c r="K39" s="21"/>
      <c r="L39" s="45"/>
      <c r="M39" s="45"/>
      <c r="N39" s="45"/>
      <c r="O39" s="21"/>
      <c r="P39" s="45"/>
      <c r="Q39" s="45"/>
      <c r="R39" s="45"/>
      <c r="S39" s="21"/>
      <c r="T39" s="45"/>
      <c r="U39" s="45"/>
      <c r="V39" s="45"/>
      <c r="W39" s="21"/>
      <c r="X39" s="45"/>
      <c r="Y39" s="45"/>
      <c r="Z39" s="45"/>
      <c r="AA39" s="21"/>
      <c r="AB39" s="45"/>
      <c r="AC39" s="45"/>
      <c r="AD39" s="45"/>
      <c r="AE39" s="21"/>
      <c r="AF39" s="45"/>
      <c r="AG39" s="45"/>
      <c r="AH39" s="45"/>
      <c r="AI39" s="21"/>
      <c r="AJ39" s="45"/>
      <c r="AK39" s="45"/>
      <c r="AL39" s="46"/>
      <c r="AM39" s="21"/>
      <c r="AN39" s="45"/>
      <c r="AO39" s="45"/>
      <c r="AP39" s="46"/>
      <c r="AQ39" s="21"/>
      <c r="AR39" s="45"/>
      <c r="AS39" s="45"/>
      <c r="AT39" s="46"/>
      <c r="AU39" s="21"/>
      <c r="AV39" s="45"/>
      <c r="AW39" s="45"/>
      <c r="AX39" s="46"/>
    </row>
    <row r="40" spans="1:50" ht="11.25" customHeight="1" x14ac:dyDescent="0.25">
      <c r="A40" s="85" t="s">
        <v>114</v>
      </c>
      <c r="B40" s="2"/>
      <c r="C40" s="23">
        <f t="shared" ref="C40:J40" si="8">C35+C37+C38-C41</f>
        <v>0</v>
      </c>
      <c r="D40" s="43">
        <f t="shared" si="8"/>
        <v>0</v>
      </c>
      <c r="E40" s="43">
        <f t="shared" si="8"/>
        <v>0</v>
      </c>
      <c r="F40" s="43">
        <f t="shared" si="8"/>
        <v>0</v>
      </c>
      <c r="G40" s="23">
        <f t="shared" si="8"/>
        <v>0</v>
      </c>
      <c r="H40" s="43">
        <f t="shared" si="8"/>
        <v>0</v>
      </c>
      <c r="I40" s="43">
        <f t="shared" si="8"/>
        <v>0</v>
      </c>
      <c r="J40" s="43">
        <f t="shared" si="8"/>
        <v>0</v>
      </c>
      <c r="K40" s="23">
        <f>K35+K37+K38-K41</f>
        <v>0</v>
      </c>
      <c r="L40" s="43">
        <f t="shared" ref="L40:AX40" si="9">L35+L37+L38-L41</f>
        <v>0</v>
      </c>
      <c r="M40" s="43">
        <f t="shared" si="9"/>
        <v>0</v>
      </c>
      <c r="N40" s="43">
        <f t="shared" si="9"/>
        <v>0</v>
      </c>
      <c r="O40" s="23">
        <f t="shared" si="9"/>
        <v>0</v>
      </c>
      <c r="P40" s="43">
        <f t="shared" si="9"/>
        <v>0</v>
      </c>
      <c r="Q40" s="43">
        <f t="shared" si="9"/>
        <v>0</v>
      </c>
      <c r="R40" s="43">
        <f t="shared" si="9"/>
        <v>0</v>
      </c>
      <c r="S40" s="23">
        <f t="shared" si="9"/>
        <v>0</v>
      </c>
      <c r="T40" s="43">
        <f t="shared" si="9"/>
        <v>0</v>
      </c>
      <c r="U40" s="43">
        <f t="shared" si="9"/>
        <v>0</v>
      </c>
      <c r="V40" s="43">
        <f t="shared" si="9"/>
        <v>0</v>
      </c>
      <c r="W40" s="23">
        <f t="shared" si="9"/>
        <v>0</v>
      </c>
      <c r="X40" s="43">
        <f t="shared" si="9"/>
        <v>0</v>
      </c>
      <c r="Y40" s="43">
        <f t="shared" si="9"/>
        <v>0</v>
      </c>
      <c r="Z40" s="43">
        <f t="shared" si="9"/>
        <v>0</v>
      </c>
      <c r="AA40" s="23">
        <f t="shared" si="9"/>
        <v>0</v>
      </c>
      <c r="AB40" s="43">
        <f t="shared" si="9"/>
        <v>0</v>
      </c>
      <c r="AC40" s="43">
        <f t="shared" si="9"/>
        <v>0</v>
      </c>
      <c r="AD40" s="43">
        <f t="shared" si="9"/>
        <v>0</v>
      </c>
      <c r="AE40" s="23">
        <f t="shared" si="9"/>
        <v>0</v>
      </c>
      <c r="AF40" s="43">
        <f t="shared" si="9"/>
        <v>0</v>
      </c>
      <c r="AG40" s="43">
        <f t="shared" si="9"/>
        <v>0</v>
      </c>
      <c r="AH40" s="43">
        <f t="shared" si="9"/>
        <v>0</v>
      </c>
      <c r="AI40" s="23">
        <f t="shared" si="9"/>
        <v>0</v>
      </c>
      <c r="AJ40" s="43">
        <f t="shared" si="9"/>
        <v>0</v>
      </c>
      <c r="AK40" s="43">
        <f t="shared" si="9"/>
        <v>0</v>
      </c>
      <c r="AL40" s="44">
        <f t="shared" si="9"/>
        <v>0</v>
      </c>
      <c r="AM40" s="23">
        <f t="shared" si="9"/>
        <v>0</v>
      </c>
      <c r="AN40" s="43">
        <f t="shared" si="9"/>
        <v>0</v>
      </c>
      <c r="AO40" s="43">
        <f t="shared" si="9"/>
        <v>0</v>
      </c>
      <c r="AP40" s="44">
        <f t="shared" si="9"/>
        <v>0</v>
      </c>
      <c r="AQ40" s="23">
        <f t="shared" si="9"/>
        <v>0</v>
      </c>
      <c r="AR40" s="43">
        <f t="shared" si="9"/>
        <v>0</v>
      </c>
      <c r="AS40" s="43">
        <f t="shared" si="9"/>
        <v>0</v>
      </c>
      <c r="AT40" s="44">
        <f t="shared" si="9"/>
        <v>0</v>
      </c>
      <c r="AU40" s="23">
        <f t="shared" si="9"/>
        <v>0</v>
      </c>
      <c r="AV40" s="43">
        <f t="shared" si="9"/>
        <v>0</v>
      </c>
      <c r="AW40" s="43">
        <f t="shared" si="9"/>
        <v>0</v>
      </c>
      <c r="AX40" s="44">
        <f t="shared" si="9"/>
        <v>0</v>
      </c>
    </row>
    <row r="41" spans="1:50" ht="11.25" customHeight="1" x14ac:dyDescent="0.2">
      <c r="A41" s="6" t="s">
        <v>2</v>
      </c>
      <c r="B41" s="6"/>
      <c r="C41" s="220">
        <v>0</v>
      </c>
      <c r="D41" s="221">
        <v>0</v>
      </c>
      <c r="E41" s="221">
        <v>0</v>
      </c>
      <c r="F41" s="221">
        <v>0</v>
      </c>
      <c r="G41" s="220">
        <v>0</v>
      </c>
      <c r="H41" s="221">
        <v>0</v>
      </c>
      <c r="I41" s="221">
        <v>0</v>
      </c>
      <c r="J41" s="221">
        <v>0</v>
      </c>
      <c r="K41" s="220">
        <v>0</v>
      </c>
      <c r="L41" s="221">
        <v>0</v>
      </c>
      <c r="M41" s="221">
        <v>0</v>
      </c>
      <c r="N41" s="221">
        <v>0</v>
      </c>
      <c r="O41" s="220">
        <v>0</v>
      </c>
      <c r="P41" s="221">
        <v>0</v>
      </c>
      <c r="Q41" s="221">
        <v>0</v>
      </c>
      <c r="R41" s="221">
        <v>0</v>
      </c>
      <c r="S41" s="220">
        <v>0</v>
      </c>
      <c r="T41" s="221">
        <v>0</v>
      </c>
      <c r="U41" s="221">
        <v>0</v>
      </c>
      <c r="V41" s="221">
        <v>0</v>
      </c>
      <c r="W41" s="220">
        <v>0</v>
      </c>
      <c r="X41" s="221">
        <v>0</v>
      </c>
      <c r="Y41" s="221">
        <v>0</v>
      </c>
      <c r="Z41" s="221">
        <v>0</v>
      </c>
      <c r="AA41" s="220">
        <v>0</v>
      </c>
      <c r="AB41" s="221">
        <v>0</v>
      </c>
      <c r="AC41" s="221">
        <v>0</v>
      </c>
      <c r="AD41" s="221">
        <v>0</v>
      </c>
      <c r="AE41" s="220">
        <v>0</v>
      </c>
      <c r="AF41" s="221">
        <v>0</v>
      </c>
      <c r="AG41" s="221">
        <v>0</v>
      </c>
      <c r="AH41" s="221">
        <v>0</v>
      </c>
      <c r="AI41" s="220">
        <v>0</v>
      </c>
      <c r="AJ41" s="221">
        <v>0</v>
      </c>
      <c r="AK41" s="221">
        <v>0</v>
      </c>
      <c r="AL41" s="221">
        <v>0</v>
      </c>
      <c r="AM41" s="220">
        <v>0</v>
      </c>
      <c r="AN41" s="221">
        <v>0</v>
      </c>
      <c r="AO41" s="221">
        <v>0</v>
      </c>
      <c r="AP41" s="221">
        <v>0</v>
      </c>
      <c r="AQ41" s="220">
        <v>0</v>
      </c>
      <c r="AR41" s="221">
        <v>0</v>
      </c>
      <c r="AS41" s="221">
        <v>0</v>
      </c>
      <c r="AT41" s="221">
        <v>0</v>
      </c>
      <c r="AU41" s="220">
        <v>0</v>
      </c>
      <c r="AV41" s="221">
        <v>0</v>
      </c>
      <c r="AW41" s="221">
        <v>0</v>
      </c>
      <c r="AX41" s="222">
        <v>0</v>
      </c>
    </row>
    <row r="42" spans="1:50" ht="11.25" customHeight="1" x14ac:dyDescent="0.2">
      <c r="A42" s="2"/>
      <c r="B42" s="2"/>
      <c r="C42" s="21"/>
      <c r="D42" s="45"/>
      <c r="E42" s="45"/>
      <c r="F42" s="45"/>
      <c r="G42" s="21"/>
      <c r="H42" s="45"/>
      <c r="I42" s="45"/>
      <c r="J42" s="45"/>
      <c r="K42" s="21"/>
      <c r="L42" s="45"/>
      <c r="M42" s="45"/>
      <c r="N42" s="45"/>
      <c r="O42" s="21"/>
      <c r="P42" s="45"/>
      <c r="Q42" s="45"/>
      <c r="R42" s="45"/>
      <c r="S42" s="21"/>
      <c r="T42" s="45"/>
      <c r="U42" s="45"/>
      <c r="V42" s="45"/>
      <c r="W42" s="21"/>
      <c r="X42" s="45"/>
      <c r="Y42" s="45"/>
      <c r="Z42" s="45"/>
      <c r="AA42" s="21"/>
      <c r="AB42" s="45"/>
      <c r="AC42" s="45"/>
      <c r="AD42" s="45"/>
      <c r="AE42" s="21"/>
      <c r="AF42" s="45"/>
      <c r="AG42" s="45"/>
      <c r="AH42" s="45"/>
      <c r="AI42" s="21"/>
      <c r="AJ42" s="45"/>
      <c r="AK42" s="45"/>
      <c r="AL42" s="46"/>
      <c r="AM42" s="21"/>
      <c r="AN42" s="45"/>
      <c r="AO42" s="45"/>
      <c r="AP42" s="46"/>
      <c r="AQ42" s="21"/>
      <c r="AR42" s="45"/>
      <c r="AS42" s="45"/>
      <c r="AT42" s="46"/>
      <c r="AU42" s="21"/>
      <c r="AV42" s="45"/>
      <c r="AW42" s="45"/>
      <c r="AX42" s="46"/>
    </row>
    <row r="43" spans="1:50" ht="11.25" customHeight="1" x14ac:dyDescent="0.2">
      <c r="A43" s="85" t="s">
        <v>130</v>
      </c>
      <c r="B43" s="2"/>
      <c r="C43" s="214">
        <v>0</v>
      </c>
      <c r="D43" s="215">
        <v>0</v>
      </c>
      <c r="E43" s="215">
        <v>0</v>
      </c>
      <c r="F43" s="215">
        <v>0</v>
      </c>
      <c r="G43" s="214">
        <v>0</v>
      </c>
      <c r="H43" s="215">
        <v>0</v>
      </c>
      <c r="I43" s="215">
        <v>0</v>
      </c>
      <c r="J43" s="215">
        <v>0</v>
      </c>
      <c r="K43" s="214">
        <v>0</v>
      </c>
      <c r="L43" s="215">
        <v>0</v>
      </c>
      <c r="M43" s="215">
        <v>0</v>
      </c>
      <c r="N43" s="215">
        <v>0</v>
      </c>
      <c r="O43" s="214">
        <v>0</v>
      </c>
      <c r="P43" s="215">
        <v>0</v>
      </c>
      <c r="Q43" s="215">
        <v>0</v>
      </c>
      <c r="R43" s="215">
        <v>0</v>
      </c>
      <c r="S43" s="214">
        <v>0</v>
      </c>
      <c r="T43" s="215">
        <v>0</v>
      </c>
      <c r="U43" s="215">
        <v>0</v>
      </c>
      <c r="V43" s="215">
        <v>0</v>
      </c>
      <c r="W43" s="214">
        <v>0</v>
      </c>
      <c r="X43" s="411">
        <v>0</v>
      </c>
      <c r="Y43" s="411">
        <v>0</v>
      </c>
      <c r="Z43" s="215">
        <v>0</v>
      </c>
      <c r="AA43" s="214">
        <v>0</v>
      </c>
      <c r="AB43" s="215">
        <v>0</v>
      </c>
      <c r="AC43" s="215">
        <v>0</v>
      </c>
      <c r="AD43" s="215">
        <v>0</v>
      </c>
      <c r="AE43" s="214">
        <v>0</v>
      </c>
      <c r="AF43" s="215">
        <v>0</v>
      </c>
      <c r="AG43" s="215">
        <v>0</v>
      </c>
      <c r="AH43" s="215">
        <v>0</v>
      </c>
      <c r="AI43" s="214">
        <v>0</v>
      </c>
      <c r="AJ43" s="215">
        <v>0</v>
      </c>
      <c r="AK43" s="215">
        <v>0</v>
      </c>
      <c r="AL43" s="216">
        <v>0</v>
      </c>
      <c r="AM43" s="214">
        <v>0</v>
      </c>
      <c r="AN43" s="215">
        <v>0</v>
      </c>
      <c r="AO43" s="215">
        <v>0</v>
      </c>
      <c r="AP43" s="216">
        <v>0</v>
      </c>
      <c r="AQ43" s="214">
        <v>0</v>
      </c>
      <c r="AR43" s="215">
        <v>0</v>
      </c>
      <c r="AS43" s="215">
        <v>0</v>
      </c>
      <c r="AT43" s="216">
        <v>0</v>
      </c>
      <c r="AU43" s="214">
        <v>0</v>
      </c>
      <c r="AV43" s="215">
        <v>0</v>
      </c>
      <c r="AW43" s="215">
        <v>0</v>
      </c>
      <c r="AX43" s="216">
        <v>0</v>
      </c>
    </row>
    <row r="44" spans="1:50" ht="11.25" customHeight="1" x14ac:dyDescent="0.2">
      <c r="A44" s="2" t="s">
        <v>1</v>
      </c>
      <c r="B44" s="2"/>
      <c r="C44" s="214">
        <v>0</v>
      </c>
      <c r="D44" s="215">
        <v>0</v>
      </c>
      <c r="E44" s="215">
        <v>0</v>
      </c>
      <c r="F44" s="215">
        <v>0</v>
      </c>
      <c r="G44" s="214">
        <v>0</v>
      </c>
      <c r="H44" s="215">
        <v>0</v>
      </c>
      <c r="I44" s="215">
        <v>0</v>
      </c>
      <c r="J44" s="215">
        <v>0</v>
      </c>
      <c r="K44" s="214">
        <v>0</v>
      </c>
      <c r="L44" s="215">
        <v>0</v>
      </c>
      <c r="M44" s="215">
        <v>0</v>
      </c>
      <c r="N44" s="215">
        <v>0</v>
      </c>
      <c r="O44" s="214">
        <v>0</v>
      </c>
      <c r="P44" s="215">
        <v>0</v>
      </c>
      <c r="Q44" s="215">
        <v>0</v>
      </c>
      <c r="R44" s="215">
        <v>0</v>
      </c>
      <c r="S44" s="214">
        <v>0</v>
      </c>
      <c r="T44" s="215">
        <v>0</v>
      </c>
      <c r="U44" s="215">
        <v>0</v>
      </c>
      <c r="V44" s="215">
        <v>0</v>
      </c>
      <c r="W44" s="214">
        <v>0</v>
      </c>
      <c r="X44" s="215">
        <v>0</v>
      </c>
      <c r="Y44" s="215">
        <v>0</v>
      </c>
      <c r="Z44" s="215">
        <v>0</v>
      </c>
      <c r="AA44" s="214">
        <v>0</v>
      </c>
      <c r="AB44" s="215">
        <v>0</v>
      </c>
      <c r="AC44" s="215">
        <v>0</v>
      </c>
      <c r="AD44" s="215">
        <v>0</v>
      </c>
      <c r="AE44" s="214">
        <v>0</v>
      </c>
      <c r="AF44" s="215">
        <v>0</v>
      </c>
      <c r="AG44" s="215">
        <v>0</v>
      </c>
      <c r="AH44" s="215">
        <v>0</v>
      </c>
      <c r="AI44" s="214">
        <v>0</v>
      </c>
      <c r="AJ44" s="215">
        <v>0</v>
      </c>
      <c r="AK44" s="215">
        <v>0</v>
      </c>
      <c r="AL44" s="216">
        <v>0</v>
      </c>
      <c r="AM44" s="214">
        <v>0</v>
      </c>
      <c r="AN44" s="215">
        <v>0</v>
      </c>
      <c r="AO44" s="215">
        <v>0</v>
      </c>
      <c r="AP44" s="216">
        <v>0</v>
      </c>
      <c r="AQ44" s="214">
        <v>0</v>
      </c>
      <c r="AR44" s="215">
        <v>0</v>
      </c>
      <c r="AS44" s="215">
        <v>0</v>
      </c>
      <c r="AT44" s="216">
        <v>0</v>
      </c>
      <c r="AU44" s="214">
        <v>0</v>
      </c>
      <c r="AV44" s="215">
        <v>0</v>
      </c>
      <c r="AW44" s="215">
        <v>0</v>
      </c>
      <c r="AX44" s="216">
        <v>0</v>
      </c>
    </row>
    <row r="45" spans="1:50" ht="11.25" customHeight="1" x14ac:dyDescent="0.2">
      <c r="A45" s="2"/>
      <c r="B45" s="2"/>
      <c r="C45" s="13"/>
      <c r="D45" s="17"/>
      <c r="E45" s="17"/>
      <c r="F45" s="17"/>
      <c r="G45" s="13"/>
      <c r="H45" s="17"/>
      <c r="I45" s="17"/>
      <c r="J45" s="17"/>
      <c r="K45" s="13"/>
      <c r="L45" s="17"/>
      <c r="M45" s="17"/>
      <c r="N45" s="17"/>
      <c r="O45" s="13"/>
      <c r="P45" s="17"/>
      <c r="Q45" s="17"/>
      <c r="R45" s="17"/>
      <c r="S45" s="13"/>
      <c r="T45" s="17"/>
      <c r="U45" s="17"/>
      <c r="V45" s="17"/>
      <c r="W45" s="13"/>
      <c r="X45" s="17"/>
      <c r="Y45" s="17"/>
      <c r="Z45" s="17"/>
      <c r="AA45" s="13"/>
      <c r="AB45" s="17"/>
      <c r="AC45" s="17"/>
      <c r="AD45" s="17"/>
      <c r="AE45" s="13"/>
      <c r="AF45" s="17"/>
      <c r="AG45" s="17"/>
      <c r="AH45" s="17"/>
      <c r="AI45" s="13"/>
      <c r="AJ45" s="17"/>
      <c r="AK45" s="17"/>
      <c r="AL45" s="28"/>
      <c r="AM45" s="13"/>
      <c r="AN45" s="17"/>
      <c r="AO45" s="17"/>
      <c r="AP45" s="28"/>
      <c r="AQ45" s="13"/>
      <c r="AR45" s="17"/>
      <c r="AS45" s="17"/>
      <c r="AT45" s="28"/>
      <c r="AU45" s="13"/>
      <c r="AV45" s="17"/>
      <c r="AW45" s="17"/>
      <c r="AX45" s="28"/>
    </row>
    <row r="46" spans="1:50" ht="11.25" customHeight="1" x14ac:dyDescent="0.2">
      <c r="A46" s="2" t="s">
        <v>31</v>
      </c>
      <c r="B46" s="2"/>
      <c r="C46" s="26">
        <f t="shared" ref="C46:AX46" si="10">IFERROR(C41/C43,0)</f>
        <v>0</v>
      </c>
      <c r="D46" s="51">
        <f t="shared" si="10"/>
        <v>0</v>
      </c>
      <c r="E46" s="51">
        <f t="shared" si="10"/>
        <v>0</v>
      </c>
      <c r="F46" s="51">
        <f t="shared" si="10"/>
        <v>0</v>
      </c>
      <c r="G46" s="26">
        <f t="shared" si="10"/>
        <v>0</v>
      </c>
      <c r="H46" s="51">
        <f t="shared" si="10"/>
        <v>0</v>
      </c>
      <c r="I46" s="51">
        <f t="shared" si="10"/>
        <v>0</v>
      </c>
      <c r="J46" s="51">
        <f t="shared" si="10"/>
        <v>0</v>
      </c>
      <c r="K46" s="26">
        <f t="shared" si="10"/>
        <v>0</v>
      </c>
      <c r="L46" s="51">
        <f t="shared" si="10"/>
        <v>0</v>
      </c>
      <c r="M46" s="51">
        <f t="shared" si="10"/>
        <v>0</v>
      </c>
      <c r="N46" s="51">
        <f t="shared" si="10"/>
        <v>0</v>
      </c>
      <c r="O46" s="26">
        <f t="shared" si="10"/>
        <v>0</v>
      </c>
      <c r="P46" s="51">
        <f t="shared" si="10"/>
        <v>0</v>
      </c>
      <c r="Q46" s="51">
        <f t="shared" si="10"/>
        <v>0</v>
      </c>
      <c r="R46" s="51">
        <f t="shared" si="10"/>
        <v>0</v>
      </c>
      <c r="S46" s="26">
        <f t="shared" si="10"/>
        <v>0</v>
      </c>
      <c r="T46" s="51">
        <f t="shared" si="10"/>
        <v>0</v>
      </c>
      <c r="U46" s="51">
        <f t="shared" si="10"/>
        <v>0</v>
      </c>
      <c r="V46" s="51">
        <f t="shared" si="10"/>
        <v>0</v>
      </c>
      <c r="W46" s="26">
        <f t="shared" si="10"/>
        <v>0</v>
      </c>
      <c r="X46" s="51">
        <f t="shared" si="10"/>
        <v>0</v>
      </c>
      <c r="Y46" s="51">
        <f t="shared" si="10"/>
        <v>0</v>
      </c>
      <c r="Z46" s="51">
        <f t="shared" si="10"/>
        <v>0</v>
      </c>
      <c r="AA46" s="26">
        <f t="shared" si="10"/>
        <v>0</v>
      </c>
      <c r="AB46" s="51">
        <f t="shared" si="10"/>
        <v>0</v>
      </c>
      <c r="AC46" s="51">
        <f t="shared" si="10"/>
        <v>0</v>
      </c>
      <c r="AD46" s="51">
        <f t="shared" si="10"/>
        <v>0</v>
      </c>
      <c r="AE46" s="26">
        <f t="shared" si="10"/>
        <v>0</v>
      </c>
      <c r="AF46" s="51">
        <f t="shared" si="10"/>
        <v>0</v>
      </c>
      <c r="AG46" s="51">
        <f t="shared" si="10"/>
        <v>0</v>
      </c>
      <c r="AH46" s="51">
        <f t="shared" si="10"/>
        <v>0</v>
      </c>
      <c r="AI46" s="26">
        <f t="shared" si="10"/>
        <v>0</v>
      </c>
      <c r="AJ46" s="51">
        <f t="shared" si="10"/>
        <v>0</v>
      </c>
      <c r="AK46" s="51">
        <f t="shared" si="10"/>
        <v>0</v>
      </c>
      <c r="AL46" s="52">
        <f t="shared" si="10"/>
        <v>0</v>
      </c>
      <c r="AM46" s="26">
        <f t="shared" si="10"/>
        <v>0</v>
      </c>
      <c r="AN46" s="51">
        <f t="shared" si="10"/>
        <v>0</v>
      </c>
      <c r="AO46" s="51">
        <f t="shared" si="10"/>
        <v>0</v>
      </c>
      <c r="AP46" s="52">
        <f t="shared" si="10"/>
        <v>0</v>
      </c>
      <c r="AQ46" s="26">
        <f t="shared" si="10"/>
        <v>0</v>
      </c>
      <c r="AR46" s="51">
        <f t="shared" si="10"/>
        <v>0</v>
      </c>
      <c r="AS46" s="51">
        <f t="shared" si="10"/>
        <v>0</v>
      </c>
      <c r="AT46" s="52">
        <f t="shared" si="10"/>
        <v>0</v>
      </c>
      <c r="AU46" s="26">
        <f t="shared" si="10"/>
        <v>0</v>
      </c>
      <c r="AV46" s="51">
        <f t="shared" si="10"/>
        <v>0</v>
      </c>
      <c r="AW46" s="51">
        <f t="shared" si="10"/>
        <v>0</v>
      </c>
      <c r="AX46" s="52">
        <f t="shared" si="10"/>
        <v>0</v>
      </c>
    </row>
    <row r="47" spans="1:50" ht="11.25" customHeight="1" x14ac:dyDescent="0.2">
      <c r="A47" s="2" t="s">
        <v>32</v>
      </c>
      <c r="B47" s="2"/>
      <c r="C47" s="26">
        <f t="shared" ref="C47:AX47" si="11">IFERROR(C41/C44,0)</f>
        <v>0</v>
      </c>
      <c r="D47" s="51">
        <f t="shared" si="11"/>
        <v>0</v>
      </c>
      <c r="E47" s="51">
        <f t="shared" si="11"/>
        <v>0</v>
      </c>
      <c r="F47" s="51">
        <f t="shared" si="11"/>
        <v>0</v>
      </c>
      <c r="G47" s="26">
        <f t="shared" si="11"/>
        <v>0</v>
      </c>
      <c r="H47" s="51">
        <f t="shared" si="11"/>
        <v>0</v>
      </c>
      <c r="I47" s="51">
        <f t="shared" si="11"/>
        <v>0</v>
      </c>
      <c r="J47" s="51">
        <f t="shared" si="11"/>
        <v>0</v>
      </c>
      <c r="K47" s="26">
        <f t="shared" si="11"/>
        <v>0</v>
      </c>
      <c r="L47" s="51">
        <f t="shared" si="11"/>
        <v>0</v>
      </c>
      <c r="M47" s="51">
        <f t="shared" si="11"/>
        <v>0</v>
      </c>
      <c r="N47" s="51">
        <f t="shared" si="11"/>
        <v>0</v>
      </c>
      <c r="O47" s="26">
        <f t="shared" si="11"/>
        <v>0</v>
      </c>
      <c r="P47" s="51">
        <f t="shared" si="11"/>
        <v>0</v>
      </c>
      <c r="Q47" s="51">
        <f t="shared" si="11"/>
        <v>0</v>
      </c>
      <c r="R47" s="51">
        <f t="shared" si="11"/>
        <v>0</v>
      </c>
      <c r="S47" s="26">
        <f t="shared" si="11"/>
        <v>0</v>
      </c>
      <c r="T47" s="51">
        <f t="shared" si="11"/>
        <v>0</v>
      </c>
      <c r="U47" s="51">
        <f t="shared" si="11"/>
        <v>0</v>
      </c>
      <c r="V47" s="51">
        <f t="shared" si="11"/>
        <v>0</v>
      </c>
      <c r="W47" s="26">
        <f t="shared" si="11"/>
        <v>0</v>
      </c>
      <c r="X47" s="51">
        <f t="shared" si="11"/>
        <v>0</v>
      </c>
      <c r="Y47" s="51">
        <f t="shared" si="11"/>
        <v>0</v>
      </c>
      <c r="Z47" s="51">
        <f t="shared" si="11"/>
        <v>0</v>
      </c>
      <c r="AA47" s="26">
        <f t="shared" si="11"/>
        <v>0</v>
      </c>
      <c r="AB47" s="51">
        <f t="shared" si="11"/>
        <v>0</v>
      </c>
      <c r="AC47" s="51">
        <f t="shared" si="11"/>
        <v>0</v>
      </c>
      <c r="AD47" s="51">
        <f t="shared" si="11"/>
        <v>0</v>
      </c>
      <c r="AE47" s="26">
        <f t="shared" si="11"/>
        <v>0</v>
      </c>
      <c r="AF47" s="51">
        <f t="shared" si="11"/>
        <v>0</v>
      </c>
      <c r="AG47" s="51">
        <f t="shared" si="11"/>
        <v>0</v>
      </c>
      <c r="AH47" s="51">
        <f t="shared" si="11"/>
        <v>0</v>
      </c>
      <c r="AI47" s="26">
        <f t="shared" si="11"/>
        <v>0</v>
      </c>
      <c r="AJ47" s="51">
        <f t="shared" si="11"/>
        <v>0</v>
      </c>
      <c r="AK47" s="51">
        <f t="shared" si="11"/>
        <v>0</v>
      </c>
      <c r="AL47" s="52">
        <f t="shared" si="11"/>
        <v>0</v>
      </c>
      <c r="AM47" s="26">
        <f t="shared" si="11"/>
        <v>0</v>
      </c>
      <c r="AN47" s="51">
        <f t="shared" si="11"/>
        <v>0</v>
      </c>
      <c r="AO47" s="51">
        <f t="shared" si="11"/>
        <v>0</v>
      </c>
      <c r="AP47" s="52">
        <f t="shared" si="11"/>
        <v>0</v>
      </c>
      <c r="AQ47" s="26">
        <f t="shared" si="11"/>
        <v>0</v>
      </c>
      <c r="AR47" s="51">
        <f t="shared" si="11"/>
        <v>0</v>
      </c>
      <c r="AS47" s="51">
        <f t="shared" si="11"/>
        <v>0</v>
      </c>
      <c r="AT47" s="52">
        <f t="shared" si="11"/>
        <v>0</v>
      </c>
      <c r="AU47" s="26">
        <f t="shared" si="11"/>
        <v>0</v>
      </c>
      <c r="AV47" s="51">
        <f t="shared" si="11"/>
        <v>0</v>
      </c>
      <c r="AW47" s="51">
        <f t="shared" si="11"/>
        <v>0</v>
      </c>
      <c r="AX47" s="52">
        <f t="shared" si="11"/>
        <v>0</v>
      </c>
    </row>
    <row r="48" spans="1:50" ht="11.25" customHeight="1" x14ac:dyDescent="0.2">
      <c r="A48" s="2"/>
      <c r="B48" s="2"/>
      <c r="C48" s="26"/>
      <c r="D48" s="51"/>
      <c r="E48" s="51"/>
      <c r="F48" s="51"/>
      <c r="G48" s="26"/>
      <c r="H48" s="51"/>
      <c r="I48" s="51"/>
      <c r="J48" s="51"/>
      <c r="K48" s="26"/>
      <c r="L48" s="51"/>
      <c r="M48" s="51"/>
      <c r="N48" s="51"/>
      <c r="O48" s="26"/>
      <c r="P48" s="51"/>
      <c r="Q48" s="51"/>
      <c r="R48" s="51"/>
      <c r="S48" s="26"/>
      <c r="T48" s="51"/>
      <c r="U48" s="51"/>
      <c r="V48" s="51"/>
      <c r="W48" s="26"/>
      <c r="X48" s="51"/>
      <c r="Y48" s="51"/>
      <c r="Z48" s="51"/>
      <c r="AA48" s="26"/>
      <c r="AB48" s="51"/>
      <c r="AC48" s="51"/>
      <c r="AD48" s="51"/>
      <c r="AE48" s="26"/>
      <c r="AF48" s="51"/>
      <c r="AG48" s="51"/>
      <c r="AH48" s="51"/>
      <c r="AI48" s="26"/>
      <c r="AJ48" s="51"/>
      <c r="AK48" s="51"/>
      <c r="AL48" s="52"/>
      <c r="AM48" s="26"/>
      <c r="AN48" s="51"/>
      <c r="AO48" s="51"/>
      <c r="AP48" s="52"/>
      <c r="AQ48" s="26"/>
      <c r="AR48" s="51"/>
      <c r="AS48" s="51"/>
      <c r="AT48" s="52"/>
      <c r="AU48" s="26"/>
      <c r="AV48" s="51"/>
      <c r="AW48" s="51"/>
      <c r="AX48" s="52"/>
    </row>
    <row r="49" spans="1:51" ht="11.25" customHeight="1" x14ac:dyDescent="0.2">
      <c r="A49" s="85" t="s">
        <v>117</v>
      </c>
      <c r="B49" s="2"/>
      <c r="C49" s="214">
        <v>0</v>
      </c>
      <c r="D49" s="215">
        <v>0</v>
      </c>
      <c r="E49" s="215">
        <v>0</v>
      </c>
      <c r="F49" s="215">
        <v>0</v>
      </c>
      <c r="G49" s="214">
        <v>0</v>
      </c>
      <c r="H49" s="215">
        <v>0</v>
      </c>
      <c r="I49" s="215">
        <v>0</v>
      </c>
      <c r="J49" s="215">
        <v>0</v>
      </c>
      <c r="K49" s="214">
        <v>0</v>
      </c>
      <c r="L49" s="215">
        <v>0</v>
      </c>
      <c r="M49" s="215">
        <v>0</v>
      </c>
      <c r="N49" s="215">
        <v>0</v>
      </c>
      <c r="O49" s="214">
        <v>0</v>
      </c>
      <c r="P49" s="215">
        <v>0</v>
      </c>
      <c r="Q49" s="215">
        <v>0</v>
      </c>
      <c r="R49" s="215">
        <v>0</v>
      </c>
      <c r="S49" s="214">
        <v>0</v>
      </c>
      <c r="T49" s="215">
        <v>0</v>
      </c>
      <c r="U49" s="215">
        <v>0</v>
      </c>
      <c r="V49" s="215">
        <v>0</v>
      </c>
      <c r="W49" s="214">
        <v>0</v>
      </c>
      <c r="X49" s="215">
        <v>0</v>
      </c>
      <c r="Y49" s="215">
        <v>0</v>
      </c>
      <c r="Z49" s="215">
        <v>0</v>
      </c>
      <c r="AA49" s="214">
        <v>0</v>
      </c>
      <c r="AB49" s="215">
        <v>0</v>
      </c>
      <c r="AC49" s="215">
        <v>0</v>
      </c>
      <c r="AD49" s="215">
        <v>0</v>
      </c>
      <c r="AE49" s="214">
        <v>0</v>
      </c>
      <c r="AF49" s="215">
        <v>0</v>
      </c>
      <c r="AG49" s="215">
        <v>0</v>
      </c>
      <c r="AH49" s="215">
        <v>0</v>
      </c>
      <c r="AI49" s="214">
        <v>0</v>
      </c>
      <c r="AJ49" s="215">
        <v>0</v>
      </c>
      <c r="AK49" s="215">
        <v>0</v>
      </c>
      <c r="AL49" s="216">
        <v>0</v>
      </c>
      <c r="AM49" s="214">
        <v>0</v>
      </c>
      <c r="AN49" s="215">
        <v>0</v>
      </c>
      <c r="AO49" s="215">
        <v>0</v>
      </c>
      <c r="AP49" s="216">
        <v>0</v>
      </c>
      <c r="AQ49" s="214">
        <v>0</v>
      </c>
      <c r="AR49" s="215">
        <v>0</v>
      </c>
      <c r="AS49" s="215">
        <v>0</v>
      </c>
      <c r="AT49" s="216">
        <v>0</v>
      </c>
      <c r="AU49" s="214">
        <v>0</v>
      </c>
      <c r="AV49" s="215">
        <v>0</v>
      </c>
      <c r="AW49" s="215">
        <v>0</v>
      </c>
      <c r="AX49" s="216">
        <v>0</v>
      </c>
    </row>
    <row r="50" spans="1:51" ht="11.25" customHeight="1" x14ac:dyDescent="0.2">
      <c r="A50" s="85" t="s">
        <v>118</v>
      </c>
      <c r="B50" s="2"/>
      <c r="C50" s="223">
        <v>0</v>
      </c>
      <c r="D50" s="224">
        <v>0</v>
      </c>
      <c r="E50" s="224">
        <v>0</v>
      </c>
      <c r="F50" s="224">
        <v>0</v>
      </c>
      <c r="G50" s="223">
        <v>0</v>
      </c>
      <c r="H50" s="224">
        <v>0</v>
      </c>
      <c r="I50" s="224">
        <v>0</v>
      </c>
      <c r="J50" s="224">
        <v>0</v>
      </c>
      <c r="K50" s="223">
        <v>0</v>
      </c>
      <c r="L50" s="224">
        <v>0</v>
      </c>
      <c r="M50" s="224">
        <v>0</v>
      </c>
      <c r="N50" s="224">
        <v>0</v>
      </c>
      <c r="O50" s="223">
        <v>0</v>
      </c>
      <c r="P50" s="224">
        <v>0</v>
      </c>
      <c r="Q50" s="224">
        <v>0</v>
      </c>
      <c r="R50" s="224">
        <v>0</v>
      </c>
      <c r="S50" s="223">
        <v>0</v>
      </c>
      <c r="T50" s="224">
        <v>0</v>
      </c>
      <c r="U50" s="224">
        <v>0</v>
      </c>
      <c r="V50" s="224">
        <v>0</v>
      </c>
      <c r="W50" s="223">
        <v>0</v>
      </c>
      <c r="X50" s="224">
        <v>0</v>
      </c>
      <c r="Y50" s="224">
        <v>0</v>
      </c>
      <c r="Z50" s="224">
        <v>0</v>
      </c>
      <c r="AA50" s="223">
        <v>0</v>
      </c>
      <c r="AB50" s="224">
        <v>0</v>
      </c>
      <c r="AC50" s="224">
        <v>0</v>
      </c>
      <c r="AD50" s="224">
        <v>0</v>
      </c>
      <c r="AE50" s="223">
        <v>0</v>
      </c>
      <c r="AF50" s="224">
        <v>0</v>
      </c>
      <c r="AG50" s="224">
        <v>0</v>
      </c>
      <c r="AH50" s="224">
        <v>0</v>
      </c>
      <c r="AI50" s="223">
        <v>0</v>
      </c>
      <c r="AJ50" s="224">
        <v>0</v>
      </c>
      <c r="AK50" s="224">
        <v>0</v>
      </c>
      <c r="AL50" s="225">
        <v>0</v>
      </c>
      <c r="AM50" s="223">
        <v>0</v>
      </c>
      <c r="AN50" s="224">
        <v>0</v>
      </c>
      <c r="AO50" s="224">
        <v>0</v>
      </c>
      <c r="AP50" s="225">
        <v>0</v>
      </c>
      <c r="AQ50" s="223">
        <v>0</v>
      </c>
      <c r="AR50" s="224">
        <v>0</v>
      </c>
      <c r="AS50" s="224">
        <v>0</v>
      </c>
      <c r="AT50" s="225">
        <v>0</v>
      </c>
      <c r="AU50" s="223">
        <v>0</v>
      </c>
      <c r="AV50" s="224">
        <v>0</v>
      </c>
      <c r="AW50" s="224">
        <v>0</v>
      </c>
      <c r="AX50" s="225">
        <v>0</v>
      </c>
    </row>
    <row r="51" spans="1:51" ht="11.25" customHeight="1" x14ac:dyDescent="0.2">
      <c r="A51" s="85" t="s">
        <v>119</v>
      </c>
      <c r="B51" s="2"/>
      <c r="C51" s="214">
        <v>0</v>
      </c>
      <c r="D51" s="215">
        <v>0</v>
      </c>
      <c r="E51" s="215">
        <v>0</v>
      </c>
      <c r="F51" s="215">
        <v>0</v>
      </c>
      <c r="G51" s="214">
        <v>0</v>
      </c>
      <c r="H51" s="215">
        <v>0</v>
      </c>
      <c r="I51" s="215">
        <v>0</v>
      </c>
      <c r="J51" s="215">
        <v>0</v>
      </c>
      <c r="K51" s="214">
        <v>0</v>
      </c>
      <c r="L51" s="215">
        <v>0</v>
      </c>
      <c r="M51" s="215">
        <v>0</v>
      </c>
      <c r="N51" s="215">
        <v>0</v>
      </c>
      <c r="O51" s="214">
        <v>0</v>
      </c>
      <c r="P51" s="215">
        <v>0</v>
      </c>
      <c r="Q51" s="215">
        <v>0</v>
      </c>
      <c r="R51" s="215">
        <v>0</v>
      </c>
      <c r="S51" s="214">
        <v>0</v>
      </c>
      <c r="T51" s="215">
        <v>0</v>
      </c>
      <c r="U51" s="215">
        <v>0</v>
      </c>
      <c r="V51" s="215">
        <v>0</v>
      </c>
      <c r="W51" s="214">
        <v>0</v>
      </c>
      <c r="X51" s="215">
        <v>0</v>
      </c>
      <c r="Y51" s="215">
        <v>0</v>
      </c>
      <c r="Z51" s="215">
        <v>0</v>
      </c>
      <c r="AA51" s="214">
        <v>0</v>
      </c>
      <c r="AB51" s="215">
        <v>0</v>
      </c>
      <c r="AC51" s="215">
        <v>0</v>
      </c>
      <c r="AD51" s="215">
        <v>0</v>
      </c>
      <c r="AE51" s="214">
        <v>0</v>
      </c>
      <c r="AF51" s="215">
        <v>0</v>
      </c>
      <c r="AG51" s="215">
        <v>0</v>
      </c>
      <c r="AH51" s="215">
        <v>0</v>
      </c>
      <c r="AI51" s="214">
        <v>0</v>
      </c>
      <c r="AJ51" s="215">
        <v>0</v>
      </c>
      <c r="AK51" s="215">
        <v>0</v>
      </c>
      <c r="AL51" s="216">
        <v>0</v>
      </c>
      <c r="AM51" s="214">
        <v>0</v>
      </c>
      <c r="AN51" s="215">
        <v>0</v>
      </c>
      <c r="AO51" s="215">
        <v>0</v>
      </c>
      <c r="AP51" s="216">
        <v>0</v>
      </c>
      <c r="AQ51" s="214">
        <v>0</v>
      </c>
      <c r="AR51" s="215">
        <v>0</v>
      </c>
      <c r="AS51" s="215">
        <v>0</v>
      </c>
      <c r="AT51" s="216">
        <v>0</v>
      </c>
      <c r="AU51" s="214">
        <v>0</v>
      </c>
      <c r="AV51" s="215">
        <v>0</v>
      </c>
      <c r="AW51" s="215">
        <v>0</v>
      </c>
      <c r="AX51" s="216">
        <v>0</v>
      </c>
    </row>
    <row r="52" spans="1:51" ht="11.25" customHeight="1" x14ac:dyDescent="0.2">
      <c r="A52" s="85" t="s">
        <v>118</v>
      </c>
      <c r="B52" s="2"/>
      <c r="C52" s="223">
        <v>0</v>
      </c>
      <c r="D52" s="224">
        <v>0</v>
      </c>
      <c r="E52" s="224">
        <v>0</v>
      </c>
      <c r="F52" s="224">
        <v>0</v>
      </c>
      <c r="G52" s="223">
        <v>0</v>
      </c>
      <c r="H52" s="224">
        <v>0</v>
      </c>
      <c r="I52" s="224">
        <v>0</v>
      </c>
      <c r="J52" s="224">
        <v>0</v>
      </c>
      <c r="K52" s="223">
        <v>0</v>
      </c>
      <c r="L52" s="224">
        <v>0</v>
      </c>
      <c r="M52" s="224">
        <v>0</v>
      </c>
      <c r="N52" s="224">
        <v>0</v>
      </c>
      <c r="O52" s="223">
        <v>0</v>
      </c>
      <c r="P52" s="224">
        <v>0</v>
      </c>
      <c r="Q52" s="224">
        <v>0</v>
      </c>
      <c r="R52" s="224">
        <v>0</v>
      </c>
      <c r="S52" s="223">
        <v>0</v>
      </c>
      <c r="T52" s="224">
        <v>0</v>
      </c>
      <c r="U52" s="224">
        <v>0</v>
      </c>
      <c r="V52" s="224">
        <v>0</v>
      </c>
      <c r="W52" s="223">
        <v>0</v>
      </c>
      <c r="X52" s="224">
        <v>0</v>
      </c>
      <c r="Y52" s="224">
        <v>0</v>
      </c>
      <c r="Z52" s="224">
        <v>0</v>
      </c>
      <c r="AA52" s="223">
        <v>0</v>
      </c>
      <c r="AB52" s="224">
        <v>0</v>
      </c>
      <c r="AC52" s="224">
        <v>0</v>
      </c>
      <c r="AD52" s="224">
        <v>0</v>
      </c>
      <c r="AE52" s="223">
        <v>0</v>
      </c>
      <c r="AF52" s="224">
        <v>0</v>
      </c>
      <c r="AG52" s="224">
        <v>0</v>
      </c>
      <c r="AH52" s="224">
        <v>0</v>
      </c>
      <c r="AI52" s="223">
        <v>0</v>
      </c>
      <c r="AJ52" s="224">
        <v>0</v>
      </c>
      <c r="AK52" s="224">
        <v>0</v>
      </c>
      <c r="AL52" s="225">
        <v>0</v>
      </c>
      <c r="AM52" s="223">
        <v>0</v>
      </c>
      <c r="AN52" s="224">
        <v>0</v>
      </c>
      <c r="AO52" s="224">
        <v>0</v>
      </c>
      <c r="AP52" s="225">
        <v>0</v>
      </c>
      <c r="AQ52" s="223">
        <v>0</v>
      </c>
      <c r="AR52" s="224">
        <v>0</v>
      </c>
      <c r="AS52" s="224">
        <v>0</v>
      </c>
      <c r="AT52" s="225">
        <v>0</v>
      </c>
      <c r="AU52" s="223">
        <v>0</v>
      </c>
      <c r="AV52" s="224">
        <v>0</v>
      </c>
      <c r="AW52" s="224">
        <v>0</v>
      </c>
      <c r="AX52" s="225">
        <v>0</v>
      </c>
    </row>
    <row r="53" spans="1:51" ht="11.25" customHeight="1" x14ac:dyDescent="0.2">
      <c r="A53" s="2"/>
      <c r="B53" s="2"/>
      <c r="C53" s="13"/>
      <c r="D53" s="17"/>
      <c r="E53" s="17"/>
      <c r="F53" s="29"/>
      <c r="G53" s="13"/>
      <c r="H53" s="17"/>
      <c r="I53" s="17"/>
      <c r="J53" s="29"/>
      <c r="K53" s="13"/>
      <c r="L53" s="17"/>
      <c r="M53" s="17"/>
      <c r="N53" s="29"/>
      <c r="O53" s="13"/>
      <c r="P53" s="17"/>
      <c r="Q53" s="17"/>
      <c r="R53" s="29"/>
      <c r="S53" s="13"/>
      <c r="T53" s="17"/>
      <c r="U53" s="17"/>
      <c r="V53" s="29"/>
      <c r="W53" s="13"/>
      <c r="X53" s="17"/>
      <c r="Y53" s="17"/>
      <c r="Z53" s="29"/>
      <c r="AA53" s="13"/>
      <c r="AB53" s="17"/>
      <c r="AC53" s="17"/>
      <c r="AD53" s="29"/>
      <c r="AE53" s="13"/>
      <c r="AF53" s="17"/>
      <c r="AG53" s="17"/>
      <c r="AH53" s="29"/>
      <c r="AI53" s="13"/>
      <c r="AJ53" s="17"/>
      <c r="AK53" s="17"/>
      <c r="AL53" s="30"/>
      <c r="AM53" s="13"/>
      <c r="AN53" s="17"/>
      <c r="AO53" s="17"/>
      <c r="AP53" s="30"/>
      <c r="AQ53" s="13"/>
      <c r="AR53" s="17"/>
      <c r="AS53" s="17"/>
      <c r="AT53" s="30"/>
      <c r="AU53" s="13"/>
      <c r="AV53" s="17"/>
      <c r="AW53" s="17"/>
      <c r="AX53" s="30"/>
    </row>
    <row r="54" spans="1:51" ht="11.25" customHeight="1" x14ac:dyDescent="0.2">
      <c r="A54" s="6" t="s">
        <v>11</v>
      </c>
      <c r="B54" s="2"/>
      <c r="C54" s="13"/>
      <c r="D54" s="17"/>
      <c r="E54" s="17"/>
      <c r="F54" s="29"/>
      <c r="G54" s="13"/>
      <c r="H54" s="17"/>
      <c r="I54" s="17"/>
      <c r="J54" s="29"/>
      <c r="K54" s="13"/>
      <c r="L54" s="17"/>
      <c r="M54" s="17"/>
      <c r="N54" s="29"/>
      <c r="O54" s="13"/>
      <c r="P54" s="17"/>
      <c r="Q54" s="17"/>
      <c r="R54" s="29"/>
      <c r="S54" s="13"/>
      <c r="T54" s="17"/>
      <c r="U54" s="17"/>
      <c r="V54" s="29"/>
      <c r="W54" s="13"/>
      <c r="X54" s="17"/>
      <c r="Y54" s="17"/>
      <c r="Z54" s="29"/>
      <c r="AA54" s="13"/>
      <c r="AB54" s="17"/>
      <c r="AC54" s="17"/>
      <c r="AD54" s="29"/>
      <c r="AE54" s="13"/>
      <c r="AF54" s="17"/>
      <c r="AG54" s="17"/>
      <c r="AH54" s="29"/>
      <c r="AI54" s="13"/>
      <c r="AJ54" s="17"/>
      <c r="AK54" s="17"/>
      <c r="AL54" s="30"/>
      <c r="AM54" s="13"/>
      <c r="AN54" s="17"/>
      <c r="AO54" s="17"/>
      <c r="AP54" s="30"/>
      <c r="AQ54" s="13"/>
      <c r="AR54" s="17"/>
      <c r="AS54" s="17"/>
      <c r="AT54" s="30"/>
      <c r="AU54" s="13"/>
      <c r="AV54" s="17"/>
      <c r="AW54" s="17"/>
      <c r="AX54" s="30"/>
    </row>
    <row r="55" spans="1:51" ht="11.25" customHeight="1" x14ac:dyDescent="0.2">
      <c r="A55" s="85" t="s">
        <v>94</v>
      </c>
      <c r="B55" s="2"/>
      <c r="C55" s="13"/>
      <c r="D55" s="17"/>
      <c r="E55" s="17"/>
      <c r="F55" s="29"/>
      <c r="G55" s="13"/>
      <c r="H55" s="17"/>
      <c r="I55" s="17"/>
      <c r="J55" s="29"/>
      <c r="K55" s="13"/>
      <c r="L55" s="17"/>
      <c r="M55" s="17"/>
      <c r="N55" s="29"/>
      <c r="O55" s="13"/>
      <c r="P55" s="17"/>
      <c r="Q55" s="17"/>
      <c r="R55" s="29"/>
      <c r="S55" s="13"/>
      <c r="T55" s="17"/>
      <c r="U55" s="17"/>
      <c r="V55" s="29"/>
      <c r="W55" s="13"/>
      <c r="X55" s="17"/>
      <c r="Y55" s="17"/>
      <c r="Z55" s="29"/>
      <c r="AA55" s="13"/>
      <c r="AB55" s="17"/>
      <c r="AC55" s="17"/>
      <c r="AD55" s="29"/>
      <c r="AE55" s="13"/>
      <c r="AF55" s="17"/>
      <c r="AG55" s="17"/>
      <c r="AH55" s="29"/>
      <c r="AI55" s="13"/>
      <c r="AJ55" s="17"/>
      <c r="AK55" s="17"/>
      <c r="AL55" s="30"/>
      <c r="AM55" s="13"/>
      <c r="AN55" s="17"/>
      <c r="AO55" s="17"/>
      <c r="AP55" s="30"/>
      <c r="AQ55" s="13"/>
      <c r="AR55" s="17"/>
      <c r="AS55" s="17"/>
      <c r="AT55" s="30"/>
      <c r="AU55" s="13"/>
      <c r="AV55" s="17"/>
      <c r="AW55" s="17"/>
      <c r="AX55" s="30"/>
    </row>
    <row r="56" spans="1:51" ht="11.25" customHeight="1" x14ac:dyDescent="0.2">
      <c r="A56" s="85" t="s">
        <v>123</v>
      </c>
      <c r="B56" s="2"/>
      <c r="C56" s="214">
        <v>0</v>
      </c>
      <c r="D56" s="215">
        <v>0</v>
      </c>
      <c r="E56" s="215">
        <v>0</v>
      </c>
      <c r="F56" s="215">
        <v>0</v>
      </c>
      <c r="G56" s="214">
        <v>0</v>
      </c>
      <c r="H56" s="215">
        <v>0</v>
      </c>
      <c r="I56" s="215">
        <v>0</v>
      </c>
      <c r="J56" s="215">
        <v>0</v>
      </c>
      <c r="K56" s="214">
        <v>0</v>
      </c>
      <c r="L56" s="215">
        <v>0</v>
      </c>
      <c r="M56" s="215">
        <v>0</v>
      </c>
      <c r="N56" s="215">
        <v>0</v>
      </c>
      <c r="O56" s="214">
        <v>0</v>
      </c>
      <c r="P56" s="215">
        <v>0</v>
      </c>
      <c r="Q56" s="215">
        <v>0</v>
      </c>
      <c r="R56" s="215">
        <v>0</v>
      </c>
      <c r="S56" s="214">
        <v>0</v>
      </c>
      <c r="T56" s="215">
        <v>0</v>
      </c>
      <c r="U56" s="215">
        <v>0</v>
      </c>
      <c r="V56" s="215">
        <v>0</v>
      </c>
      <c r="W56" s="214">
        <v>0</v>
      </c>
      <c r="X56" s="215">
        <v>0</v>
      </c>
      <c r="Y56" s="215">
        <v>0</v>
      </c>
      <c r="Z56" s="215">
        <v>0</v>
      </c>
      <c r="AA56" s="214">
        <v>0</v>
      </c>
      <c r="AB56" s="215">
        <v>0</v>
      </c>
      <c r="AC56" s="215">
        <v>0</v>
      </c>
      <c r="AD56" s="215">
        <v>0</v>
      </c>
      <c r="AE56" s="214">
        <v>0</v>
      </c>
      <c r="AF56" s="215">
        <v>0</v>
      </c>
      <c r="AG56" s="215">
        <v>0</v>
      </c>
      <c r="AH56" s="215">
        <v>0</v>
      </c>
      <c r="AI56" s="214">
        <v>0</v>
      </c>
      <c r="AJ56" s="215">
        <v>0</v>
      </c>
      <c r="AK56" s="215">
        <v>0</v>
      </c>
      <c r="AL56" s="215">
        <v>0</v>
      </c>
      <c r="AM56" s="214">
        <v>0</v>
      </c>
      <c r="AN56" s="215">
        <v>0</v>
      </c>
      <c r="AO56" s="215">
        <v>0</v>
      </c>
      <c r="AP56" s="216">
        <v>0</v>
      </c>
      <c r="AQ56" s="214">
        <v>0</v>
      </c>
      <c r="AR56" s="215">
        <v>0</v>
      </c>
      <c r="AS56" s="215">
        <v>0</v>
      </c>
      <c r="AT56" s="216">
        <v>0</v>
      </c>
      <c r="AU56" s="214">
        <v>0</v>
      </c>
      <c r="AV56" s="215">
        <v>0</v>
      </c>
      <c r="AW56" s="215">
        <v>0</v>
      </c>
      <c r="AX56" s="216">
        <v>0</v>
      </c>
    </row>
    <row r="57" spans="1:51" ht="11.25" customHeight="1" x14ac:dyDescent="0.2">
      <c r="A57" s="85" t="s">
        <v>124</v>
      </c>
      <c r="B57" s="2"/>
      <c r="C57" s="214">
        <v>0</v>
      </c>
      <c r="D57" s="215">
        <v>0</v>
      </c>
      <c r="E57" s="215">
        <v>0</v>
      </c>
      <c r="F57" s="215">
        <v>0</v>
      </c>
      <c r="G57" s="214">
        <v>0</v>
      </c>
      <c r="H57" s="215">
        <v>0</v>
      </c>
      <c r="I57" s="215">
        <v>0</v>
      </c>
      <c r="J57" s="215">
        <v>0</v>
      </c>
      <c r="K57" s="214">
        <v>0</v>
      </c>
      <c r="L57" s="215">
        <v>0</v>
      </c>
      <c r="M57" s="215">
        <v>0</v>
      </c>
      <c r="N57" s="215">
        <v>0</v>
      </c>
      <c r="O57" s="214">
        <v>0</v>
      </c>
      <c r="P57" s="215">
        <v>0</v>
      </c>
      <c r="Q57" s="215">
        <v>0</v>
      </c>
      <c r="R57" s="215">
        <v>0</v>
      </c>
      <c r="S57" s="214">
        <v>0</v>
      </c>
      <c r="T57" s="215">
        <v>0</v>
      </c>
      <c r="U57" s="215">
        <v>0</v>
      </c>
      <c r="V57" s="215">
        <v>0</v>
      </c>
      <c r="W57" s="214">
        <v>0</v>
      </c>
      <c r="X57" s="215">
        <v>0</v>
      </c>
      <c r="Y57" s="215">
        <v>0</v>
      </c>
      <c r="Z57" s="215">
        <v>0</v>
      </c>
      <c r="AA57" s="214">
        <v>0</v>
      </c>
      <c r="AB57" s="215">
        <v>0</v>
      </c>
      <c r="AC57" s="215">
        <v>0</v>
      </c>
      <c r="AD57" s="215">
        <v>0</v>
      </c>
      <c r="AE57" s="214">
        <v>0</v>
      </c>
      <c r="AF57" s="215">
        <v>0</v>
      </c>
      <c r="AG57" s="215">
        <v>0</v>
      </c>
      <c r="AH57" s="215">
        <v>0</v>
      </c>
      <c r="AI57" s="214">
        <v>0</v>
      </c>
      <c r="AJ57" s="215">
        <v>0</v>
      </c>
      <c r="AK57" s="215">
        <v>0</v>
      </c>
      <c r="AL57" s="215">
        <v>0</v>
      </c>
      <c r="AM57" s="214">
        <v>0</v>
      </c>
      <c r="AN57" s="215">
        <v>0</v>
      </c>
      <c r="AO57" s="215">
        <v>0</v>
      </c>
      <c r="AP57" s="216">
        <v>0</v>
      </c>
      <c r="AQ57" s="214">
        <v>0</v>
      </c>
      <c r="AR57" s="215">
        <v>0</v>
      </c>
      <c r="AS57" s="215">
        <v>0</v>
      </c>
      <c r="AT57" s="216">
        <v>0</v>
      </c>
      <c r="AU57" s="214">
        <v>0</v>
      </c>
      <c r="AV57" s="215">
        <v>0</v>
      </c>
      <c r="AW57" s="215">
        <v>0</v>
      </c>
      <c r="AX57" s="216">
        <v>0</v>
      </c>
    </row>
    <row r="58" spans="1:51" ht="11.25" customHeight="1" x14ac:dyDescent="0.2">
      <c r="A58" s="2" t="s">
        <v>33</v>
      </c>
      <c r="B58" s="3"/>
      <c r="C58" s="214">
        <v>0</v>
      </c>
      <c r="D58" s="215">
        <v>0</v>
      </c>
      <c r="E58" s="215">
        <v>0</v>
      </c>
      <c r="F58" s="215">
        <v>0</v>
      </c>
      <c r="G58" s="214">
        <v>0</v>
      </c>
      <c r="H58" s="215">
        <v>0</v>
      </c>
      <c r="I58" s="215">
        <v>0</v>
      </c>
      <c r="J58" s="215">
        <v>0</v>
      </c>
      <c r="K58" s="214">
        <v>0</v>
      </c>
      <c r="L58" s="215">
        <v>0</v>
      </c>
      <c r="M58" s="215">
        <v>0</v>
      </c>
      <c r="N58" s="215">
        <v>0</v>
      </c>
      <c r="O58" s="214">
        <v>0</v>
      </c>
      <c r="P58" s="215">
        <v>0</v>
      </c>
      <c r="Q58" s="215">
        <v>0</v>
      </c>
      <c r="R58" s="215">
        <v>0</v>
      </c>
      <c r="S58" s="214">
        <v>0</v>
      </c>
      <c r="T58" s="215">
        <v>0</v>
      </c>
      <c r="U58" s="215">
        <v>0</v>
      </c>
      <c r="V58" s="215">
        <v>0</v>
      </c>
      <c r="W58" s="214">
        <v>0</v>
      </c>
      <c r="X58" s="215">
        <v>0</v>
      </c>
      <c r="Y58" s="215">
        <v>0</v>
      </c>
      <c r="Z58" s="215">
        <v>0</v>
      </c>
      <c r="AA58" s="214">
        <v>0</v>
      </c>
      <c r="AB58" s="215">
        <v>0</v>
      </c>
      <c r="AC58" s="215">
        <v>0</v>
      </c>
      <c r="AD58" s="215">
        <v>0</v>
      </c>
      <c r="AE58" s="214">
        <v>0</v>
      </c>
      <c r="AF58" s="215">
        <v>0</v>
      </c>
      <c r="AG58" s="215">
        <v>0</v>
      </c>
      <c r="AH58" s="215">
        <v>0</v>
      </c>
      <c r="AI58" s="214">
        <v>0</v>
      </c>
      <c r="AJ58" s="215">
        <v>0</v>
      </c>
      <c r="AK58" s="215">
        <v>0</v>
      </c>
      <c r="AL58" s="215">
        <v>0</v>
      </c>
      <c r="AM58" s="214">
        <v>0</v>
      </c>
      <c r="AN58" s="215">
        <v>0</v>
      </c>
      <c r="AO58" s="215">
        <v>0</v>
      </c>
      <c r="AP58" s="216">
        <v>0</v>
      </c>
      <c r="AQ58" s="214">
        <v>0</v>
      </c>
      <c r="AR58" s="215">
        <v>0</v>
      </c>
      <c r="AS58" s="215">
        <v>0</v>
      </c>
      <c r="AT58" s="216">
        <v>0</v>
      </c>
      <c r="AU58" s="214">
        <v>0</v>
      </c>
      <c r="AV58" s="215">
        <v>0</v>
      </c>
      <c r="AW58" s="215">
        <v>0</v>
      </c>
      <c r="AX58" s="216">
        <v>0</v>
      </c>
    </row>
    <row r="59" spans="1:51" ht="11.25" customHeight="1" x14ac:dyDescent="0.2">
      <c r="A59" s="85" t="s">
        <v>102</v>
      </c>
      <c r="B59" s="3"/>
      <c r="C59" s="214">
        <v>0</v>
      </c>
      <c r="D59" s="215">
        <v>0</v>
      </c>
      <c r="E59" s="215">
        <v>0</v>
      </c>
      <c r="F59" s="215">
        <v>0</v>
      </c>
      <c r="G59" s="214">
        <v>0</v>
      </c>
      <c r="H59" s="215">
        <v>0</v>
      </c>
      <c r="I59" s="215">
        <v>0</v>
      </c>
      <c r="J59" s="215">
        <v>0</v>
      </c>
      <c r="K59" s="214">
        <v>0</v>
      </c>
      <c r="L59" s="215">
        <v>0</v>
      </c>
      <c r="M59" s="215">
        <v>0</v>
      </c>
      <c r="N59" s="215">
        <v>0</v>
      </c>
      <c r="O59" s="214">
        <v>0</v>
      </c>
      <c r="P59" s="215">
        <v>0</v>
      </c>
      <c r="Q59" s="215">
        <v>0</v>
      </c>
      <c r="R59" s="215">
        <v>0</v>
      </c>
      <c r="S59" s="214">
        <v>0</v>
      </c>
      <c r="T59" s="215">
        <v>0</v>
      </c>
      <c r="U59" s="215">
        <v>0</v>
      </c>
      <c r="V59" s="215">
        <v>0</v>
      </c>
      <c r="W59" s="214">
        <v>0</v>
      </c>
      <c r="X59" s="215">
        <v>0</v>
      </c>
      <c r="Y59" s="215">
        <v>0</v>
      </c>
      <c r="Z59" s="215">
        <v>0</v>
      </c>
      <c r="AA59" s="214">
        <v>0</v>
      </c>
      <c r="AB59" s="215">
        <v>0</v>
      </c>
      <c r="AC59" s="215">
        <v>0</v>
      </c>
      <c r="AD59" s="215">
        <v>0</v>
      </c>
      <c r="AE59" s="214">
        <v>0</v>
      </c>
      <c r="AF59" s="215">
        <v>0</v>
      </c>
      <c r="AG59" s="215">
        <v>0</v>
      </c>
      <c r="AH59" s="215">
        <v>0</v>
      </c>
      <c r="AI59" s="214">
        <v>0</v>
      </c>
      <c r="AJ59" s="215">
        <v>0</v>
      </c>
      <c r="AK59" s="215">
        <v>0</v>
      </c>
      <c r="AL59" s="215">
        <v>0</v>
      </c>
      <c r="AM59" s="214">
        <v>0</v>
      </c>
      <c r="AN59" s="215">
        <v>0</v>
      </c>
      <c r="AO59" s="215">
        <v>0</v>
      </c>
      <c r="AP59" s="216">
        <v>0</v>
      </c>
      <c r="AQ59" s="214">
        <v>0</v>
      </c>
      <c r="AR59" s="215">
        <v>0</v>
      </c>
      <c r="AS59" s="215">
        <v>0</v>
      </c>
      <c r="AT59" s="216">
        <v>0</v>
      </c>
      <c r="AU59" s="214">
        <v>0</v>
      </c>
      <c r="AV59" s="215">
        <v>0</v>
      </c>
      <c r="AW59" s="215">
        <v>0</v>
      </c>
      <c r="AX59" s="216">
        <v>0</v>
      </c>
    </row>
    <row r="60" spans="1:51" ht="11.25" customHeight="1" x14ac:dyDescent="0.2">
      <c r="A60" s="85" t="s">
        <v>204</v>
      </c>
      <c r="B60" s="2"/>
      <c r="C60" s="13">
        <v>0</v>
      </c>
      <c r="D60" s="17"/>
      <c r="E60" s="17"/>
      <c r="F60" s="543"/>
      <c r="G60" s="13"/>
      <c r="H60" s="17"/>
      <c r="I60" s="17"/>
      <c r="J60" s="17"/>
      <c r="K60" s="13"/>
      <c r="L60" s="17"/>
      <c r="M60" s="17"/>
      <c r="N60" s="17"/>
      <c r="O60" s="13"/>
      <c r="P60" s="17"/>
      <c r="Q60" s="17"/>
      <c r="R60" s="17"/>
      <c r="S60" s="13"/>
      <c r="T60" s="17"/>
      <c r="U60" s="17"/>
      <c r="V60" s="17"/>
      <c r="W60" s="13"/>
      <c r="X60" s="17"/>
      <c r="Y60" s="17"/>
      <c r="Z60" s="17"/>
      <c r="AA60" s="13"/>
      <c r="AB60" s="17"/>
      <c r="AC60" s="17"/>
      <c r="AD60" s="17">
        <v>0</v>
      </c>
      <c r="AE60" s="13"/>
      <c r="AF60" s="17"/>
      <c r="AG60" s="17"/>
      <c r="AH60" s="17">
        <v>0</v>
      </c>
      <c r="AI60" s="13"/>
      <c r="AJ60" s="17"/>
      <c r="AK60" s="17"/>
      <c r="AL60" s="17">
        <v>0</v>
      </c>
      <c r="AM60" s="13"/>
      <c r="AN60" s="17"/>
      <c r="AO60" s="17"/>
      <c r="AP60" s="17">
        <v>0</v>
      </c>
      <c r="AQ60" s="13"/>
      <c r="AR60" s="17"/>
      <c r="AS60" s="17"/>
      <c r="AT60" s="17">
        <v>0</v>
      </c>
      <c r="AU60" s="13"/>
      <c r="AV60" s="17"/>
      <c r="AW60" s="17"/>
      <c r="AX60" s="17">
        <v>0</v>
      </c>
      <c r="AY60" s="542"/>
    </row>
    <row r="61" spans="1:51" ht="11.25" customHeight="1" x14ac:dyDescent="0.2">
      <c r="A61" s="85" t="s">
        <v>123</v>
      </c>
      <c r="B61" s="2"/>
      <c r="C61" s="214">
        <v>0</v>
      </c>
      <c r="D61" s="215">
        <v>0</v>
      </c>
      <c r="E61" s="215">
        <v>0</v>
      </c>
      <c r="F61" s="215">
        <v>0</v>
      </c>
      <c r="G61" s="214">
        <v>0</v>
      </c>
      <c r="H61" s="215">
        <v>0</v>
      </c>
      <c r="I61" s="215">
        <v>0</v>
      </c>
      <c r="J61" s="215">
        <v>0</v>
      </c>
      <c r="K61" s="214">
        <v>0</v>
      </c>
      <c r="L61" s="215">
        <v>0</v>
      </c>
      <c r="M61" s="215">
        <v>0</v>
      </c>
      <c r="N61" s="215">
        <v>0</v>
      </c>
      <c r="O61" s="214">
        <v>0</v>
      </c>
      <c r="P61" s="215">
        <v>0</v>
      </c>
      <c r="Q61" s="215">
        <v>0</v>
      </c>
      <c r="R61" s="215">
        <v>0</v>
      </c>
      <c r="S61" s="214">
        <v>0</v>
      </c>
      <c r="T61" s="215">
        <v>0</v>
      </c>
      <c r="U61" s="215">
        <v>0</v>
      </c>
      <c r="V61" s="215">
        <v>0</v>
      </c>
      <c r="W61" s="214">
        <v>0</v>
      </c>
      <c r="X61" s="215">
        <v>0</v>
      </c>
      <c r="Y61" s="215">
        <v>0</v>
      </c>
      <c r="Z61" s="215">
        <v>0</v>
      </c>
      <c r="AA61" s="214">
        <v>0</v>
      </c>
      <c r="AB61" s="215">
        <v>0</v>
      </c>
      <c r="AC61" s="215">
        <v>0</v>
      </c>
      <c r="AD61" s="215">
        <v>0</v>
      </c>
      <c r="AE61" s="214">
        <v>0</v>
      </c>
      <c r="AF61" s="215">
        <v>0</v>
      </c>
      <c r="AG61" s="215">
        <v>0</v>
      </c>
      <c r="AH61" s="215">
        <v>0</v>
      </c>
      <c r="AI61" s="214">
        <v>0</v>
      </c>
      <c r="AJ61" s="215">
        <v>0</v>
      </c>
      <c r="AK61" s="215">
        <v>0</v>
      </c>
      <c r="AL61" s="215">
        <v>0</v>
      </c>
      <c r="AM61" s="214">
        <v>0</v>
      </c>
      <c r="AN61" s="215">
        <v>0</v>
      </c>
      <c r="AO61" s="215">
        <v>0</v>
      </c>
      <c r="AP61" s="215">
        <v>0</v>
      </c>
      <c r="AQ61" s="214">
        <v>0</v>
      </c>
      <c r="AR61" s="215">
        <v>0</v>
      </c>
      <c r="AS61" s="215">
        <v>0</v>
      </c>
      <c r="AT61" s="215">
        <v>0</v>
      </c>
      <c r="AU61" s="214">
        <v>0</v>
      </c>
      <c r="AV61" s="215">
        <v>0</v>
      </c>
      <c r="AW61" s="215">
        <v>0</v>
      </c>
      <c r="AX61" s="215">
        <v>0</v>
      </c>
      <c r="AY61" s="542"/>
    </row>
    <row r="62" spans="1:51" ht="11.25" customHeight="1" x14ac:dyDescent="0.2">
      <c r="A62" s="85" t="s">
        <v>124</v>
      </c>
      <c r="B62" s="2"/>
      <c r="C62" s="214">
        <v>0</v>
      </c>
      <c r="D62" s="215">
        <v>0</v>
      </c>
      <c r="E62" s="215">
        <v>0</v>
      </c>
      <c r="F62" s="215">
        <v>0</v>
      </c>
      <c r="G62" s="214">
        <v>0</v>
      </c>
      <c r="H62" s="215">
        <v>0</v>
      </c>
      <c r="I62" s="215">
        <v>0</v>
      </c>
      <c r="J62" s="215">
        <v>0</v>
      </c>
      <c r="K62" s="214">
        <v>0</v>
      </c>
      <c r="L62" s="215">
        <v>0</v>
      </c>
      <c r="M62" s="215">
        <v>0</v>
      </c>
      <c r="N62" s="215">
        <v>0</v>
      </c>
      <c r="O62" s="214">
        <v>0</v>
      </c>
      <c r="P62" s="215">
        <v>0</v>
      </c>
      <c r="Q62" s="215">
        <v>0</v>
      </c>
      <c r="R62" s="215">
        <v>0</v>
      </c>
      <c r="S62" s="214">
        <v>0</v>
      </c>
      <c r="T62" s="215">
        <v>0</v>
      </c>
      <c r="U62" s="215">
        <v>0</v>
      </c>
      <c r="V62" s="215">
        <v>0</v>
      </c>
      <c r="W62" s="214">
        <v>0</v>
      </c>
      <c r="X62" s="215">
        <v>0</v>
      </c>
      <c r="Y62" s="215">
        <v>0</v>
      </c>
      <c r="Z62" s="215">
        <v>0</v>
      </c>
      <c r="AA62" s="214">
        <v>0</v>
      </c>
      <c r="AB62" s="215">
        <v>0</v>
      </c>
      <c r="AC62" s="215">
        <v>0</v>
      </c>
      <c r="AD62" s="215">
        <v>0</v>
      </c>
      <c r="AE62" s="214">
        <v>0</v>
      </c>
      <c r="AF62" s="215">
        <v>0</v>
      </c>
      <c r="AG62" s="215">
        <v>0</v>
      </c>
      <c r="AH62" s="215">
        <v>0</v>
      </c>
      <c r="AI62" s="214">
        <v>0</v>
      </c>
      <c r="AJ62" s="215">
        <v>0</v>
      </c>
      <c r="AK62" s="215">
        <v>0</v>
      </c>
      <c r="AL62" s="215">
        <v>0</v>
      </c>
      <c r="AM62" s="214">
        <v>0</v>
      </c>
      <c r="AN62" s="215">
        <v>0</v>
      </c>
      <c r="AO62" s="215">
        <v>0</v>
      </c>
      <c r="AP62" s="215">
        <v>0</v>
      </c>
      <c r="AQ62" s="214">
        <v>0</v>
      </c>
      <c r="AR62" s="215">
        <v>0</v>
      </c>
      <c r="AS62" s="215">
        <v>0</v>
      </c>
      <c r="AT62" s="215">
        <v>0</v>
      </c>
      <c r="AU62" s="214">
        <v>0</v>
      </c>
      <c r="AV62" s="215">
        <v>0</v>
      </c>
      <c r="AW62" s="215">
        <v>0</v>
      </c>
      <c r="AX62" s="215">
        <v>0</v>
      </c>
      <c r="AY62" s="542"/>
    </row>
    <row r="63" spans="1:51" ht="11.25" customHeight="1" x14ac:dyDescent="0.2">
      <c r="A63" s="2" t="s">
        <v>33</v>
      </c>
      <c r="B63" s="3"/>
      <c r="C63" s="214">
        <v>0</v>
      </c>
      <c r="D63" s="215">
        <v>0</v>
      </c>
      <c r="E63" s="215">
        <v>0</v>
      </c>
      <c r="F63" s="215">
        <v>0</v>
      </c>
      <c r="G63" s="214">
        <v>0</v>
      </c>
      <c r="H63" s="215">
        <v>0</v>
      </c>
      <c r="I63" s="215">
        <v>0</v>
      </c>
      <c r="J63" s="215">
        <v>0</v>
      </c>
      <c r="K63" s="214">
        <v>0</v>
      </c>
      <c r="L63" s="215">
        <v>0</v>
      </c>
      <c r="M63" s="215">
        <v>0</v>
      </c>
      <c r="N63" s="215">
        <v>0</v>
      </c>
      <c r="O63" s="214">
        <v>0</v>
      </c>
      <c r="P63" s="215">
        <v>0</v>
      </c>
      <c r="Q63" s="215">
        <v>0</v>
      </c>
      <c r="R63" s="215">
        <v>0</v>
      </c>
      <c r="S63" s="214">
        <v>0</v>
      </c>
      <c r="T63" s="215">
        <v>0</v>
      </c>
      <c r="U63" s="215">
        <v>0</v>
      </c>
      <c r="V63" s="215">
        <v>0</v>
      </c>
      <c r="W63" s="214">
        <v>0</v>
      </c>
      <c r="X63" s="215">
        <v>0</v>
      </c>
      <c r="Y63" s="215">
        <v>0</v>
      </c>
      <c r="Z63" s="215">
        <v>0</v>
      </c>
      <c r="AA63" s="214">
        <v>0</v>
      </c>
      <c r="AB63" s="215">
        <v>0</v>
      </c>
      <c r="AC63" s="215">
        <v>0</v>
      </c>
      <c r="AD63" s="215">
        <v>0</v>
      </c>
      <c r="AE63" s="214">
        <v>0</v>
      </c>
      <c r="AF63" s="215">
        <v>0</v>
      </c>
      <c r="AG63" s="215">
        <v>0</v>
      </c>
      <c r="AH63" s="215">
        <v>0</v>
      </c>
      <c r="AI63" s="214">
        <v>0</v>
      </c>
      <c r="AJ63" s="215">
        <v>0</v>
      </c>
      <c r="AK63" s="215">
        <v>0</v>
      </c>
      <c r="AL63" s="215">
        <v>0</v>
      </c>
      <c r="AM63" s="214">
        <v>0</v>
      </c>
      <c r="AN63" s="215">
        <v>0</v>
      </c>
      <c r="AO63" s="215">
        <v>0</v>
      </c>
      <c r="AP63" s="215">
        <v>0</v>
      </c>
      <c r="AQ63" s="214">
        <v>0</v>
      </c>
      <c r="AR63" s="215">
        <v>0</v>
      </c>
      <c r="AS63" s="215">
        <v>0</v>
      </c>
      <c r="AT63" s="215">
        <v>0</v>
      </c>
      <c r="AU63" s="214">
        <v>0</v>
      </c>
      <c r="AV63" s="215">
        <v>0</v>
      </c>
      <c r="AW63" s="215">
        <v>0</v>
      </c>
      <c r="AX63" s="215">
        <v>0</v>
      </c>
      <c r="AY63" s="542"/>
    </row>
    <row r="64" spans="1:51" ht="11.25" customHeight="1" x14ac:dyDescent="0.2">
      <c r="A64" s="85" t="s">
        <v>102</v>
      </c>
      <c r="B64" s="3"/>
      <c r="C64" s="214">
        <v>0</v>
      </c>
      <c r="D64" s="215">
        <v>0</v>
      </c>
      <c r="E64" s="215">
        <v>0</v>
      </c>
      <c r="F64" s="215">
        <v>0</v>
      </c>
      <c r="G64" s="214">
        <v>0</v>
      </c>
      <c r="H64" s="215">
        <v>0</v>
      </c>
      <c r="I64" s="215">
        <v>0</v>
      </c>
      <c r="J64" s="215">
        <v>0</v>
      </c>
      <c r="K64" s="214">
        <v>0</v>
      </c>
      <c r="L64" s="215">
        <v>0</v>
      </c>
      <c r="M64" s="215">
        <v>0</v>
      </c>
      <c r="N64" s="215">
        <v>0</v>
      </c>
      <c r="O64" s="214">
        <v>0</v>
      </c>
      <c r="P64" s="215">
        <v>0</v>
      </c>
      <c r="Q64" s="215">
        <v>0</v>
      </c>
      <c r="R64" s="215">
        <v>0</v>
      </c>
      <c r="S64" s="214">
        <v>0</v>
      </c>
      <c r="T64" s="215">
        <v>0</v>
      </c>
      <c r="U64" s="215">
        <v>0</v>
      </c>
      <c r="V64" s="215">
        <v>0</v>
      </c>
      <c r="W64" s="214">
        <v>0</v>
      </c>
      <c r="X64" s="215">
        <v>0</v>
      </c>
      <c r="Y64" s="215">
        <v>0</v>
      </c>
      <c r="Z64" s="215">
        <v>0</v>
      </c>
      <c r="AA64" s="214">
        <v>0</v>
      </c>
      <c r="AB64" s="215">
        <v>0</v>
      </c>
      <c r="AC64" s="215">
        <v>0</v>
      </c>
      <c r="AD64" s="215">
        <v>0</v>
      </c>
      <c r="AE64" s="214">
        <v>0</v>
      </c>
      <c r="AF64" s="215">
        <v>0</v>
      </c>
      <c r="AG64" s="215">
        <v>0</v>
      </c>
      <c r="AH64" s="215">
        <v>0</v>
      </c>
      <c r="AI64" s="214">
        <v>0</v>
      </c>
      <c r="AJ64" s="215">
        <v>0</v>
      </c>
      <c r="AK64" s="215">
        <v>0</v>
      </c>
      <c r="AL64" s="215">
        <v>0</v>
      </c>
      <c r="AM64" s="214">
        <v>0</v>
      </c>
      <c r="AN64" s="215">
        <v>0</v>
      </c>
      <c r="AO64" s="215">
        <v>0</v>
      </c>
      <c r="AP64" s="215">
        <v>0</v>
      </c>
      <c r="AQ64" s="214">
        <v>0</v>
      </c>
      <c r="AR64" s="215">
        <v>0</v>
      </c>
      <c r="AS64" s="215">
        <v>0</v>
      </c>
      <c r="AT64" s="215">
        <v>0</v>
      </c>
      <c r="AU64" s="214">
        <v>0</v>
      </c>
      <c r="AV64" s="215">
        <v>0</v>
      </c>
      <c r="AW64" s="215">
        <v>0</v>
      </c>
      <c r="AX64" s="215">
        <v>0</v>
      </c>
      <c r="AY64" s="542"/>
    </row>
    <row r="65" spans="1:51" ht="11.25" customHeight="1" x14ac:dyDescent="0.2">
      <c r="A65" s="85" t="s">
        <v>47</v>
      </c>
      <c r="B65" s="2"/>
      <c r="C65" s="13"/>
      <c r="D65" s="17"/>
      <c r="E65" s="17"/>
      <c r="F65" s="17"/>
      <c r="G65" s="13"/>
      <c r="H65" s="17"/>
      <c r="I65" s="17"/>
      <c r="J65" s="17"/>
      <c r="K65" s="13"/>
      <c r="L65" s="17"/>
      <c r="M65" s="17"/>
      <c r="N65" s="17"/>
      <c r="O65" s="13"/>
      <c r="P65" s="17"/>
      <c r="Q65" s="17"/>
      <c r="R65" s="17"/>
      <c r="S65" s="13"/>
      <c r="T65" s="17"/>
      <c r="U65" s="17"/>
      <c r="V65" s="17"/>
      <c r="W65" s="13"/>
      <c r="X65" s="17"/>
      <c r="Y65" s="17"/>
      <c r="Z65" s="17"/>
      <c r="AA65" s="13"/>
      <c r="AB65" s="17"/>
      <c r="AC65" s="17"/>
      <c r="AD65" s="17"/>
      <c r="AE65" s="13"/>
      <c r="AF65" s="17"/>
      <c r="AG65" s="17"/>
      <c r="AH65" s="17"/>
      <c r="AI65" s="13"/>
      <c r="AJ65" s="17"/>
      <c r="AK65" s="17"/>
      <c r="AL65" s="17"/>
      <c r="AM65" s="13"/>
      <c r="AN65" s="17"/>
      <c r="AO65" s="17"/>
      <c r="AP65" s="17"/>
      <c r="AQ65" s="13"/>
      <c r="AR65" s="17"/>
      <c r="AS65" s="17"/>
      <c r="AT65" s="17"/>
      <c r="AU65" s="13"/>
      <c r="AV65" s="17"/>
      <c r="AW65" s="17"/>
      <c r="AX65" s="17"/>
      <c r="AY65" s="542"/>
    </row>
    <row r="66" spans="1:51" ht="11.25" customHeight="1" x14ac:dyDescent="0.2">
      <c r="A66" s="85" t="s">
        <v>123</v>
      </c>
      <c r="B66" s="2"/>
      <c r="C66" s="214">
        <v>0</v>
      </c>
      <c r="D66" s="215">
        <v>0</v>
      </c>
      <c r="E66" s="215">
        <v>0</v>
      </c>
      <c r="F66" s="215">
        <v>0</v>
      </c>
      <c r="G66" s="214">
        <v>0</v>
      </c>
      <c r="H66" s="215">
        <v>0</v>
      </c>
      <c r="I66" s="215">
        <v>0</v>
      </c>
      <c r="J66" s="215">
        <v>0</v>
      </c>
      <c r="K66" s="214">
        <v>0</v>
      </c>
      <c r="L66" s="215">
        <v>0</v>
      </c>
      <c r="M66" s="215">
        <v>0</v>
      </c>
      <c r="N66" s="215">
        <v>0</v>
      </c>
      <c r="O66" s="214">
        <v>0</v>
      </c>
      <c r="P66" s="215">
        <v>0</v>
      </c>
      <c r="Q66" s="215">
        <v>0</v>
      </c>
      <c r="R66" s="215">
        <v>0</v>
      </c>
      <c r="S66" s="214">
        <v>0</v>
      </c>
      <c r="T66" s="215">
        <v>0</v>
      </c>
      <c r="U66" s="215">
        <v>0</v>
      </c>
      <c r="V66" s="215">
        <v>0</v>
      </c>
      <c r="W66" s="214">
        <v>0</v>
      </c>
      <c r="X66" s="215">
        <v>0</v>
      </c>
      <c r="Y66" s="215">
        <v>0</v>
      </c>
      <c r="Z66" s="215">
        <v>0</v>
      </c>
      <c r="AA66" s="214">
        <v>0</v>
      </c>
      <c r="AB66" s="215">
        <v>0</v>
      </c>
      <c r="AC66" s="215">
        <v>0</v>
      </c>
      <c r="AD66" s="215">
        <v>0</v>
      </c>
      <c r="AE66" s="214">
        <v>0</v>
      </c>
      <c r="AF66" s="215">
        <v>0</v>
      </c>
      <c r="AG66" s="215">
        <v>0</v>
      </c>
      <c r="AH66" s="215">
        <v>0</v>
      </c>
      <c r="AI66" s="214">
        <v>0</v>
      </c>
      <c r="AJ66" s="215">
        <v>0</v>
      </c>
      <c r="AK66" s="215">
        <v>0</v>
      </c>
      <c r="AL66" s="215">
        <v>0</v>
      </c>
      <c r="AM66" s="214">
        <v>0</v>
      </c>
      <c r="AN66" s="215">
        <v>0</v>
      </c>
      <c r="AO66" s="215">
        <v>0</v>
      </c>
      <c r="AP66" s="216">
        <v>0</v>
      </c>
      <c r="AQ66" s="214">
        <v>0</v>
      </c>
      <c r="AR66" s="215">
        <v>0</v>
      </c>
      <c r="AS66" s="215">
        <v>0</v>
      </c>
      <c r="AT66" s="216">
        <v>0</v>
      </c>
      <c r="AU66" s="214">
        <v>0</v>
      </c>
      <c r="AV66" s="215">
        <v>0</v>
      </c>
      <c r="AW66" s="215">
        <v>0</v>
      </c>
      <c r="AX66" s="216">
        <v>0</v>
      </c>
    </row>
    <row r="67" spans="1:51" ht="11.25" customHeight="1" x14ac:dyDescent="0.2">
      <c r="A67" s="85" t="s">
        <v>124</v>
      </c>
      <c r="B67" s="2"/>
      <c r="C67" s="214">
        <v>0</v>
      </c>
      <c r="D67" s="215">
        <v>0</v>
      </c>
      <c r="E67" s="215">
        <v>0</v>
      </c>
      <c r="F67" s="215">
        <v>0</v>
      </c>
      <c r="G67" s="214">
        <v>0</v>
      </c>
      <c r="H67" s="215">
        <v>0</v>
      </c>
      <c r="I67" s="215">
        <v>0</v>
      </c>
      <c r="J67" s="215">
        <v>0</v>
      </c>
      <c r="K67" s="214">
        <v>0</v>
      </c>
      <c r="L67" s="215">
        <v>0</v>
      </c>
      <c r="M67" s="215">
        <v>0</v>
      </c>
      <c r="N67" s="215">
        <v>0</v>
      </c>
      <c r="O67" s="214">
        <v>0</v>
      </c>
      <c r="P67" s="215">
        <v>0</v>
      </c>
      <c r="Q67" s="215">
        <v>0</v>
      </c>
      <c r="R67" s="215">
        <v>0</v>
      </c>
      <c r="S67" s="214">
        <v>0</v>
      </c>
      <c r="T67" s="215">
        <v>0</v>
      </c>
      <c r="U67" s="215">
        <v>0</v>
      </c>
      <c r="V67" s="215">
        <v>0</v>
      </c>
      <c r="W67" s="214">
        <v>0</v>
      </c>
      <c r="X67" s="215">
        <v>0</v>
      </c>
      <c r="Y67" s="215">
        <v>0</v>
      </c>
      <c r="Z67" s="215">
        <v>0</v>
      </c>
      <c r="AA67" s="214">
        <v>0</v>
      </c>
      <c r="AB67" s="215">
        <v>0</v>
      </c>
      <c r="AC67" s="215">
        <v>0</v>
      </c>
      <c r="AD67" s="215">
        <v>0</v>
      </c>
      <c r="AE67" s="214">
        <v>0</v>
      </c>
      <c r="AF67" s="215">
        <v>0</v>
      </c>
      <c r="AG67" s="215">
        <v>0</v>
      </c>
      <c r="AH67" s="215">
        <v>0</v>
      </c>
      <c r="AI67" s="214">
        <v>0</v>
      </c>
      <c r="AJ67" s="215">
        <v>0</v>
      </c>
      <c r="AK67" s="215">
        <v>0</v>
      </c>
      <c r="AL67" s="215">
        <v>0</v>
      </c>
      <c r="AM67" s="214">
        <v>0</v>
      </c>
      <c r="AN67" s="215">
        <v>0</v>
      </c>
      <c r="AO67" s="215">
        <v>0</v>
      </c>
      <c r="AP67" s="216">
        <v>0</v>
      </c>
      <c r="AQ67" s="214">
        <v>0</v>
      </c>
      <c r="AR67" s="215">
        <v>0</v>
      </c>
      <c r="AS67" s="215">
        <v>0</v>
      </c>
      <c r="AT67" s="216">
        <v>0</v>
      </c>
      <c r="AU67" s="214">
        <v>0</v>
      </c>
      <c r="AV67" s="215">
        <v>0</v>
      </c>
      <c r="AW67" s="215">
        <v>0</v>
      </c>
      <c r="AX67" s="216">
        <v>0</v>
      </c>
    </row>
    <row r="68" spans="1:51" ht="11.25" customHeight="1" x14ac:dyDescent="0.2">
      <c r="A68" s="2" t="s">
        <v>33</v>
      </c>
      <c r="B68" s="3"/>
      <c r="C68" s="214">
        <v>0</v>
      </c>
      <c r="D68" s="215">
        <v>0</v>
      </c>
      <c r="E68" s="215">
        <v>0</v>
      </c>
      <c r="F68" s="215">
        <v>0</v>
      </c>
      <c r="G68" s="214">
        <v>0</v>
      </c>
      <c r="H68" s="215">
        <v>0</v>
      </c>
      <c r="I68" s="215">
        <v>0</v>
      </c>
      <c r="J68" s="215">
        <v>0</v>
      </c>
      <c r="K68" s="214">
        <v>0</v>
      </c>
      <c r="L68" s="215">
        <v>0</v>
      </c>
      <c r="M68" s="215">
        <v>0</v>
      </c>
      <c r="N68" s="215">
        <v>0</v>
      </c>
      <c r="O68" s="214">
        <v>0</v>
      </c>
      <c r="P68" s="215">
        <v>0</v>
      </c>
      <c r="Q68" s="215">
        <v>0</v>
      </c>
      <c r="R68" s="215">
        <v>0</v>
      </c>
      <c r="S68" s="214">
        <v>0</v>
      </c>
      <c r="T68" s="215">
        <v>0</v>
      </c>
      <c r="U68" s="215">
        <v>0</v>
      </c>
      <c r="V68" s="215">
        <v>0</v>
      </c>
      <c r="W68" s="214">
        <v>0</v>
      </c>
      <c r="X68" s="215">
        <v>0</v>
      </c>
      <c r="Y68" s="215">
        <v>0</v>
      </c>
      <c r="Z68" s="215">
        <v>0</v>
      </c>
      <c r="AA68" s="214">
        <v>0</v>
      </c>
      <c r="AB68" s="215">
        <v>0</v>
      </c>
      <c r="AC68" s="215">
        <v>0</v>
      </c>
      <c r="AD68" s="215">
        <v>0</v>
      </c>
      <c r="AE68" s="214">
        <v>0</v>
      </c>
      <c r="AF68" s="215">
        <v>0</v>
      </c>
      <c r="AG68" s="215">
        <v>0</v>
      </c>
      <c r="AH68" s="215">
        <v>0</v>
      </c>
      <c r="AI68" s="214">
        <v>0</v>
      </c>
      <c r="AJ68" s="215">
        <v>0</v>
      </c>
      <c r="AK68" s="215">
        <v>0</v>
      </c>
      <c r="AL68" s="215">
        <v>0</v>
      </c>
      <c r="AM68" s="214">
        <v>0</v>
      </c>
      <c r="AN68" s="215">
        <v>0</v>
      </c>
      <c r="AO68" s="215">
        <v>0</v>
      </c>
      <c r="AP68" s="216">
        <v>0</v>
      </c>
      <c r="AQ68" s="214">
        <v>0</v>
      </c>
      <c r="AR68" s="215">
        <v>0</v>
      </c>
      <c r="AS68" s="215">
        <v>0</v>
      </c>
      <c r="AT68" s="216">
        <v>0</v>
      </c>
      <c r="AU68" s="214">
        <v>0</v>
      </c>
      <c r="AV68" s="215">
        <v>0</v>
      </c>
      <c r="AW68" s="215">
        <v>0</v>
      </c>
      <c r="AX68" s="216">
        <v>0</v>
      </c>
    </row>
    <row r="69" spans="1:51" ht="11.25" customHeight="1" x14ac:dyDescent="0.2">
      <c r="A69" s="85" t="s">
        <v>102</v>
      </c>
      <c r="B69" s="3"/>
      <c r="C69" s="214">
        <v>0</v>
      </c>
      <c r="D69" s="215">
        <v>0</v>
      </c>
      <c r="E69" s="215">
        <v>0</v>
      </c>
      <c r="F69" s="215">
        <v>0</v>
      </c>
      <c r="G69" s="214">
        <v>0</v>
      </c>
      <c r="H69" s="215">
        <v>0</v>
      </c>
      <c r="I69" s="215">
        <v>0</v>
      </c>
      <c r="J69" s="215">
        <v>0</v>
      </c>
      <c r="K69" s="214">
        <v>0</v>
      </c>
      <c r="L69" s="215">
        <v>0</v>
      </c>
      <c r="M69" s="215">
        <v>0</v>
      </c>
      <c r="N69" s="215">
        <v>0</v>
      </c>
      <c r="O69" s="214">
        <v>0</v>
      </c>
      <c r="P69" s="215">
        <v>0</v>
      </c>
      <c r="Q69" s="215">
        <v>0</v>
      </c>
      <c r="R69" s="215">
        <v>0</v>
      </c>
      <c r="S69" s="214">
        <v>0</v>
      </c>
      <c r="T69" s="215">
        <v>0</v>
      </c>
      <c r="U69" s="215">
        <v>0</v>
      </c>
      <c r="V69" s="215">
        <v>0</v>
      </c>
      <c r="W69" s="214">
        <v>0</v>
      </c>
      <c r="X69" s="215">
        <v>0</v>
      </c>
      <c r="Y69" s="215">
        <v>0</v>
      </c>
      <c r="Z69" s="215">
        <v>0</v>
      </c>
      <c r="AA69" s="214">
        <v>0</v>
      </c>
      <c r="AB69" s="215">
        <v>0</v>
      </c>
      <c r="AC69" s="215">
        <v>0</v>
      </c>
      <c r="AD69" s="215">
        <v>0</v>
      </c>
      <c r="AE69" s="214">
        <v>0</v>
      </c>
      <c r="AF69" s="215">
        <v>0</v>
      </c>
      <c r="AG69" s="215">
        <v>0</v>
      </c>
      <c r="AH69" s="215">
        <v>0</v>
      </c>
      <c r="AI69" s="214">
        <v>0</v>
      </c>
      <c r="AJ69" s="215">
        <v>0</v>
      </c>
      <c r="AK69" s="215">
        <v>0</v>
      </c>
      <c r="AL69" s="215">
        <v>0</v>
      </c>
      <c r="AM69" s="214">
        <v>0</v>
      </c>
      <c r="AN69" s="215">
        <v>0</v>
      </c>
      <c r="AO69" s="215">
        <v>0</v>
      </c>
      <c r="AP69" s="216">
        <v>0</v>
      </c>
      <c r="AQ69" s="214">
        <v>0</v>
      </c>
      <c r="AR69" s="215">
        <v>0</v>
      </c>
      <c r="AS69" s="215">
        <v>0</v>
      </c>
      <c r="AT69" s="216">
        <v>0</v>
      </c>
      <c r="AU69" s="214">
        <v>0</v>
      </c>
      <c r="AV69" s="215">
        <v>0</v>
      </c>
      <c r="AW69" s="215">
        <v>0</v>
      </c>
      <c r="AX69" s="216">
        <v>0</v>
      </c>
    </row>
    <row r="70" spans="1:51" ht="3" customHeight="1" x14ac:dyDescent="0.2">
      <c r="A70" s="2"/>
      <c r="B70" s="3"/>
      <c r="C70" s="21"/>
      <c r="D70" s="45"/>
      <c r="E70" s="45"/>
      <c r="F70" s="45"/>
      <c r="G70" s="21"/>
      <c r="H70" s="45"/>
      <c r="I70" s="45"/>
      <c r="J70" s="45"/>
      <c r="K70" s="21"/>
      <c r="L70" s="45"/>
      <c r="M70" s="45"/>
      <c r="N70" s="45"/>
      <c r="O70" s="21"/>
      <c r="P70" s="45"/>
      <c r="Q70" s="45"/>
      <c r="R70" s="45"/>
      <c r="S70" s="21"/>
      <c r="T70" s="45"/>
      <c r="U70" s="45"/>
      <c r="V70" s="45"/>
      <c r="W70" s="21"/>
      <c r="X70" s="45"/>
      <c r="Y70" s="45"/>
      <c r="Z70" s="45"/>
      <c r="AA70" s="21"/>
      <c r="AB70" s="45"/>
      <c r="AC70" s="45"/>
      <c r="AD70" s="46"/>
      <c r="AE70" s="21"/>
      <c r="AF70" s="45"/>
      <c r="AG70" s="45"/>
      <c r="AH70" s="46"/>
      <c r="AI70" s="21"/>
      <c r="AJ70" s="45"/>
      <c r="AK70" s="45"/>
      <c r="AL70" s="46"/>
      <c r="AM70" s="21"/>
      <c r="AN70" s="45"/>
      <c r="AO70" s="45"/>
      <c r="AP70" s="46"/>
      <c r="AQ70" s="21"/>
      <c r="AR70" s="45"/>
      <c r="AS70" s="45"/>
      <c r="AT70" s="46"/>
      <c r="AU70" s="21"/>
      <c r="AV70" s="45"/>
      <c r="AW70" s="45"/>
      <c r="AX70" s="46"/>
    </row>
    <row r="71" spans="1:51" ht="11.25" customHeight="1" x14ac:dyDescent="0.25">
      <c r="A71" s="85" t="s">
        <v>30</v>
      </c>
      <c r="B71" s="4"/>
      <c r="C71" s="217">
        <v>0</v>
      </c>
      <c r="D71" s="218">
        <v>0</v>
      </c>
      <c r="E71" s="218">
        <v>0</v>
      </c>
      <c r="F71" s="218">
        <v>0</v>
      </c>
      <c r="G71" s="217">
        <v>0</v>
      </c>
      <c r="H71" s="218">
        <v>0</v>
      </c>
      <c r="I71" s="218">
        <v>0</v>
      </c>
      <c r="J71" s="218">
        <v>0</v>
      </c>
      <c r="K71" s="217">
        <v>0</v>
      </c>
      <c r="L71" s="218">
        <v>0</v>
      </c>
      <c r="M71" s="218">
        <v>0</v>
      </c>
      <c r="N71" s="218">
        <v>0</v>
      </c>
      <c r="O71" s="217">
        <v>0</v>
      </c>
      <c r="P71" s="218">
        <v>0</v>
      </c>
      <c r="Q71" s="218">
        <v>0</v>
      </c>
      <c r="R71" s="218">
        <v>0</v>
      </c>
      <c r="S71" s="217">
        <v>0</v>
      </c>
      <c r="T71" s="218">
        <v>0</v>
      </c>
      <c r="U71" s="218">
        <v>0</v>
      </c>
      <c r="V71" s="218">
        <v>0</v>
      </c>
      <c r="W71" s="217">
        <v>0</v>
      </c>
      <c r="X71" s="218">
        <v>0</v>
      </c>
      <c r="Y71" s="218">
        <v>0</v>
      </c>
      <c r="Z71" s="218">
        <v>0</v>
      </c>
      <c r="AA71" s="226">
        <v>0</v>
      </c>
      <c r="AB71" s="227">
        <v>0</v>
      </c>
      <c r="AC71" s="227">
        <v>0</v>
      </c>
      <c r="AD71" s="228">
        <v>0</v>
      </c>
      <c r="AE71" s="226">
        <v>0</v>
      </c>
      <c r="AF71" s="227">
        <v>0</v>
      </c>
      <c r="AG71" s="227">
        <v>0</v>
      </c>
      <c r="AH71" s="227">
        <v>0</v>
      </c>
      <c r="AI71" s="217">
        <v>0</v>
      </c>
      <c r="AJ71" s="218">
        <v>0</v>
      </c>
      <c r="AK71" s="218">
        <v>0</v>
      </c>
      <c r="AL71" s="219">
        <v>0</v>
      </c>
      <c r="AM71" s="217">
        <v>0</v>
      </c>
      <c r="AN71" s="218">
        <v>0</v>
      </c>
      <c r="AO71" s="218">
        <v>0</v>
      </c>
      <c r="AP71" s="219">
        <v>0</v>
      </c>
      <c r="AQ71" s="217">
        <v>0</v>
      </c>
      <c r="AR71" s="218">
        <v>0</v>
      </c>
      <c r="AS71" s="218">
        <v>0</v>
      </c>
      <c r="AT71" s="219">
        <v>0</v>
      </c>
      <c r="AU71" s="217">
        <v>0</v>
      </c>
      <c r="AV71" s="218">
        <v>0</v>
      </c>
      <c r="AW71" s="218">
        <v>0</v>
      </c>
      <c r="AX71" s="219">
        <v>0</v>
      </c>
    </row>
    <row r="72" spans="1:51" ht="11.25" customHeight="1" x14ac:dyDescent="0.2">
      <c r="A72" s="2" t="s">
        <v>34</v>
      </c>
      <c r="B72" s="3"/>
      <c r="C72" s="21">
        <f t="shared" ref="C72:AX72" si="12">SUM(C56:C71)</f>
        <v>0</v>
      </c>
      <c r="D72" s="45">
        <f t="shared" si="12"/>
        <v>0</v>
      </c>
      <c r="E72" s="45">
        <f t="shared" si="12"/>
        <v>0</v>
      </c>
      <c r="F72" s="45">
        <f t="shared" si="12"/>
        <v>0</v>
      </c>
      <c r="G72" s="21">
        <f t="shared" si="12"/>
        <v>0</v>
      </c>
      <c r="H72" s="45">
        <f t="shared" si="12"/>
        <v>0</v>
      </c>
      <c r="I72" s="45">
        <f t="shared" si="12"/>
        <v>0</v>
      </c>
      <c r="J72" s="45">
        <f t="shared" si="12"/>
        <v>0</v>
      </c>
      <c r="K72" s="21">
        <f t="shared" si="12"/>
        <v>0</v>
      </c>
      <c r="L72" s="45">
        <f t="shared" si="12"/>
        <v>0</v>
      </c>
      <c r="M72" s="45">
        <f t="shared" si="12"/>
        <v>0</v>
      </c>
      <c r="N72" s="45">
        <f t="shared" si="12"/>
        <v>0</v>
      </c>
      <c r="O72" s="21">
        <f t="shared" si="12"/>
        <v>0</v>
      </c>
      <c r="P72" s="45">
        <f t="shared" si="12"/>
        <v>0</v>
      </c>
      <c r="Q72" s="45">
        <f t="shared" si="12"/>
        <v>0</v>
      </c>
      <c r="R72" s="45">
        <f t="shared" si="12"/>
        <v>0</v>
      </c>
      <c r="S72" s="21">
        <f t="shared" si="12"/>
        <v>0</v>
      </c>
      <c r="T72" s="45">
        <f t="shared" si="12"/>
        <v>0</v>
      </c>
      <c r="U72" s="45">
        <f t="shared" si="12"/>
        <v>0</v>
      </c>
      <c r="V72" s="45">
        <f t="shared" si="12"/>
        <v>0</v>
      </c>
      <c r="W72" s="21">
        <f t="shared" si="12"/>
        <v>0</v>
      </c>
      <c r="X72" s="45">
        <f t="shared" si="12"/>
        <v>0</v>
      </c>
      <c r="Y72" s="45">
        <f t="shared" si="12"/>
        <v>0</v>
      </c>
      <c r="Z72" s="45">
        <f t="shared" si="12"/>
        <v>0</v>
      </c>
      <c r="AA72" s="21">
        <f t="shared" si="12"/>
        <v>0</v>
      </c>
      <c r="AB72" s="45">
        <f t="shared" si="12"/>
        <v>0</v>
      </c>
      <c r="AC72" s="45">
        <f t="shared" si="12"/>
        <v>0</v>
      </c>
      <c r="AD72" s="46">
        <f t="shared" si="12"/>
        <v>0</v>
      </c>
      <c r="AE72" s="21">
        <f t="shared" si="12"/>
        <v>0</v>
      </c>
      <c r="AF72" s="45">
        <f t="shared" si="12"/>
        <v>0</v>
      </c>
      <c r="AG72" s="45">
        <f t="shared" si="12"/>
        <v>0</v>
      </c>
      <c r="AH72" s="46">
        <f t="shared" si="12"/>
        <v>0</v>
      </c>
      <c r="AI72" s="21">
        <f t="shared" si="12"/>
        <v>0</v>
      </c>
      <c r="AJ72" s="45">
        <f t="shared" si="12"/>
        <v>0</v>
      </c>
      <c r="AK72" s="45">
        <f t="shared" si="12"/>
        <v>0</v>
      </c>
      <c r="AL72" s="46">
        <f t="shared" si="12"/>
        <v>0</v>
      </c>
      <c r="AM72" s="21">
        <f t="shared" si="12"/>
        <v>0</v>
      </c>
      <c r="AN72" s="45">
        <f t="shared" si="12"/>
        <v>0</v>
      </c>
      <c r="AO72" s="45">
        <f t="shared" si="12"/>
        <v>0</v>
      </c>
      <c r="AP72" s="46">
        <f t="shared" si="12"/>
        <v>0</v>
      </c>
      <c r="AQ72" s="21">
        <f t="shared" si="12"/>
        <v>0</v>
      </c>
      <c r="AR72" s="45">
        <f t="shared" si="12"/>
        <v>0</v>
      </c>
      <c r="AS72" s="45">
        <f t="shared" si="12"/>
        <v>0</v>
      </c>
      <c r="AT72" s="46">
        <f t="shared" si="12"/>
        <v>0</v>
      </c>
      <c r="AU72" s="21">
        <f t="shared" si="12"/>
        <v>0</v>
      </c>
      <c r="AV72" s="45">
        <f t="shared" si="12"/>
        <v>0</v>
      </c>
      <c r="AW72" s="45">
        <f t="shared" si="12"/>
        <v>0</v>
      </c>
      <c r="AX72" s="46">
        <f t="shared" si="12"/>
        <v>0</v>
      </c>
    </row>
    <row r="73" spans="1:51" ht="11.25" customHeight="1" x14ac:dyDescent="0.2">
      <c r="A73" s="2"/>
      <c r="B73" s="3"/>
      <c r="C73" s="21"/>
      <c r="D73" s="45"/>
      <c r="E73" s="45"/>
      <c r="F73" s="45"/>
      <c r="G73" s="21"/>
      <c r="H73" s="45"/>
      <c r="I73" s="45"/>
      <c r="J73" s="45"/>
      <c r="K73" s="21"/>
      <c r="L73" s="45"/>
      <c r="M73" s="45"/>
      <c r="N73" s="45"/>
      <c r="O73" s="21"/>
      <c r="P73" s="45"/>
      <c r="Q73" s="45"/>
      <c r="R73" s="45"/>
      <c r="S73" s="21"/>
      <c r="T73" s="45"/>
      <c r="U73" s="45"/>
      <c r="V73" s="45"/>
      <c r="W73" s="21"/>
      <c r="X73" s="45"/>
      <c r="Y73" s="45"/>
      <c r="Z73" s="45"/>
      <c r="AA73" s="21"/>
      <c r="AB73" s="45"/>
      <c r="AC73" s="45"/>
      <c r="AD73" s="46"/>
      <c r="AE73" s="21"/>
      <c r="AF73" s="45"/>
      <c r="AG73" s="45"/>
      <c r="AH73" s="46"/>
      <c r="AI73" s="21"/>
      <c r="AJ73" s="45"/>
      <c r="AK73" s="45"/>
      <c r="AL73" s="46"/>
      <c r="AM73" s="21"/>
      <c r="AN73" s="45"/>
      <c r="AO73" s="45"/>
      <c r="AP73" s="46"/>
      <c r="AQ73" s="21"/>
      <c r="AR73" s="45"/>
      <c r="AS73" s="45"/>
      <c r="AT73" s="46"/>
      <c r="AU73" s="21"/>
      <c r="AV73" s="45"/>
      <c r="AW73" s="45"/>
      <c r="AX73" s="46"/>
    </row>
    <row r="74" spans="1:51" ht="11.25" customHeight="1" x14ac:dyDescent="0.2">
      <c r="A74" s="6" t="s">
        <v>46</v>
      </c>
      <c r="B74" s="2"/>
      <c r="C74" s="24">
        <f t="shared" ref="C74:AX74" si="13">C35+C72</f>
        <v>0</v>
      </c>
      <c r="D74" s="49">
        <f t="shared" si="13"/>
        <v>0</v>
      </c>
      <c r="E74" s="49">
        <f t="shared" si="13"/>
        <v>0</v>
      </c>
      <c r="F74" s="49">
        <f t="shared" si="13"/>
        <v>0</v>
      </c>
      <c r="G74" s="24">
        <f t="shared" si="13"/>
        <v>0</v>
      </c>
      <c r="H74" s="49">
        <f t="shared" si="13"/>
        <v>0</v>
      </c>
      <c r="I74" s="49">
        <f t="shared" si="13"/>
        <v>0</v>
      </c>
      <c r="J74" s="49">
        <f t="shared" si="13"/>
        <v>0</v>
      </c>
      <c r="K74" s="24">
        <f t="shared" si="13"/>
        <v>0</v>
      </c>
      <c r="L74" s="49">
        <f t="shared" si="13"/>
        <v>0</v>
      </c>
      <c r="M74" s="49">
        <f t="shared" si="13"/>
        <v>0</v>
      </c>
      <c r="N74" s="49">
        <f t="shared" si="13"/>
        <v>0</v>
      </c>
      <c r="O74" s="24">
        <f t="shared" si="13"/>
        <v>0</v>
      </c>
      <c r="P74" s="49">
        <f t="shared" si="13"/>
        <v>0</v>
      </c>
      <c r="Q74" s="49">
        <f t="shared" si="13"/>
        <v>0</v>
      </c>
      <c r="R74" s="49">
        <f t="shared" si="13"/>
        <v>0</v>
      </c>
      <c r="S74" s="24">
        <f t="shared" si="13"/>
        <v>0</v>
      </c>
      <c r="T74" s="49">
        <f t="shared" si="13"/>
        <v>0</v>
      </c>
      <c r="U74" s="49">
        <f t="shared" si="13"/>
        <v>0</v>
      </c>
      <c r="V74" s="49">
        <f t="shared" si="13"/>
        <v>0</v>
      </c>
      <c r="W74" s="24">
        <f t="shared" si="13"/>
        <v>0</v>
      </c>
      <c r="X74" s="49">
        <f t="shared" si="13"/>
        <v>0</v>
      </c>
      <c r="Y74" s="49">
        <f t="shared" si="13"/>
        <v>0</v>
      </c>
      <c r="Z74" s="49">
        <f t="shared" si="13"/>
        <v>0</v>
      </c>
      <c r="AA74" s="24">
        <f t="shared" si="13"/>
        <v>0</v>
      </c>
      <c r="AB74" s="49">
        <f t="shared" si="13"/>
        <v>0</v>
      </c>
      <c r="AC74" s="49">
        <f t="shared" si="13"/>
        <v>0</v>
      </c>
      <c r="AD74" s="50">
        <f t="shared" si="13"/>
        <v>0</v>
      </c>
      <c r="AE74" s="24">
        <f t="shared" si="13"/>
        <v>0</v>
      </c>
      <c r="AF74" s="49">
        <f t="shared" si="13"/>
        <v>0</v>
      </c>
      <c r="AG74" s="49">
        <f t="shared" si="13"/>
        <v>0</v>
      </c>
      <c r="AH74" s="49">
        <f t="shared" si="13"/>
        <v>0</v>
      </c>
      <c r="AI74" s="24">
        <f t="shared" si="13"/>
        <v>0</v>
      </c>
      <c r="AJ74" s="49">
        <f t="shared" si="13"/>
        <v>0</v>
      </c>
      <c r="AK74" s="49">
        <f t="shared" si="13"/>
        <v>0</v>
      </c>
      <c r="AL74" s="50">
        <f t="shared" si="13"/>
        <v>0</v>
      </c>
      <c r="AM74" s="24">
        <f t="shared" si="13"/>
        <v>0</v>
      </c>
      <c r="AN74" s="49">
        <f t="shared" si="13"/>
        <v>0</v>
      </c>
      <c r="AO74" s="49">
        <f t="shared" si="13"/>
        <v>0</v>
      </c>
      <c r="AP74" s="50">
        <f t="shared" si="13"/>
        <v>0</v>
      </c>
      <c r="AQ74" s="24">
        <f t="shared" si="13"/>
        <v>0</v>
      </c>
      <c r="AR74" s="49">
        <f t="shared" si="13"/>
        <v>0</v>
      </c>
      <c r="AS74" s="49">
        <f t="shared" si="13"/>
        <v>0</v>
      </c>
      <c r="AT74" s="50">
        <f t="shared" si="13"/>
        <v>0</v>
      </c>
      <c r="AU74" s="24">
        <f t="shared" si="13"/>
        <v>0</v>
      </c>
      <c r="AV74" s="49">
        <f t="shared" si="13"/>
        <v>0</v>
      </c>
      <c r="AW74" s="49">
        <f t="shared" si="13"/>
        <v>0</v>
      </c>
      <c r="AX74" s="50">
        <f t="shared" si="13"/>
        <v>0</v>
      </c>
    </row>
    <row r="75" spans="1:51" ht="11.25" customHeight="1" x14ac:dyDescent="0.2">
      <c r="B75" s="2"/>
      <c r="C75" s="13"/>
      <c r="D75" s="17"/>
      <c r="E75" s="17"/>
      <c r="F75" s="29"/>
      <c r="G75" s="13"/>
      <c r="H75" s="17"/>
      <c r="I75" s="17"/>
      <c r="J75" s="29"/>
      <c r="K75" s="13"/>
      <c r="L75" s="17"/>
      <c r="M75" s="17"/>
      <c r="N75" s="29"/>
      <c r="O75" s="13"/>
      <c r="P75" s="17"/>
      <c r="Q75" s="17"/>
      <c r="R75" s="29"/>
      <c r="S75" s="13"/>
      <c r="T75" s="17"/>
      <c r="U75" s="17"/>
      <c r="V75" s="29"/>
      <c r="W75" s="13"/>
      <c r="X75" s="17"/>
      <c r="Y75" s="17"/>
      <c r="Z75" s="29"/>
      <c r="AA75" s="13"/>
      <c r="AB75" s="17"/>
      <c r="AC75" s="17"/>
      <c r="AD75" s="30"/>
      <c r="AE75" s="13"/>
      <c r="AF75" s="17"/>
      <c r="AG75" s="17"/>
      <c r="AH75" s="30"/>
      <c r="AI75" s="13"/>
      <c r="AJ75" s="17"/>
      <c r="AK75" s="17"/>
      <c r="AL75" s="30"/>
      <c r="AM75" s="13"/>
      <c r="AN75" s="17"/>
      <c r="AO75" s="17"/>
      <c r="AP75" s="30"/>
      <c r="AQ75" s="13"/>
      <c r="AR75" s="17"/>
      <c r="AS75" s="17"/>
      <c r="AT75" s="30"/>
      <c r="AU75" s="13"/>
      <c r="AV75" s="17"/>
      <c r="AW75" s="17"/>
      <c r="AX75" s="30"/>
    </row>
    <row r="76" spans="1:51" ht="11.25" customHeight="1" x14ac:dyDescent="0.2">
      <c r="A76" s="6" t="s">
        <v>16</v>
      </c>
      <c r="B76" s="3"/>
      <c r="C76" s="21"/>
      <c r="D76" s="45"/>
      <c r="E76" s="45"/>
      <c r="F76" s="45"/>
      <c r="G76" s="21"/>
      <c r="H76" s="45"/>
      <c r="I76" s="45"/>
      <c r="J76" s="45"/>
      <c r="K76" s="21"/>
      <c r="L76" s="45"/>
      <c r="M76" s="45"/>
      <c r="N76" s="45"/>
      <c r="O76" s="21"/>
      <c r="P76" s="45"/>
      <c r="Q76" s="45"/>
      <c r="R76" s="45"/>
      <c r="S76" s="21"/>
      <c r="T76" s="45"/>
      <c r="U76" s="45"/>
      <c r="V76" s="45"/>
      <c r="W76" s="21"/>
      <c r="X76" s="45"/>
      <c r="Y76" s="45"/>
      <c r="Z76" s="45"/>
      <c r="AA76" s="21"/>
      <c r="AB76" s="45"/>
      <c r="AC76" s="45"/>
      <c r="AD76" s="46"/>
      <c r="AE76" s="21"/>
      <c r="AF76" s="45"/>
      <c r="AG76" s="45"/>
      <c r="AH76" s="46"/>
      <c r="AI76" s="21"/>
      <c r="AJ76" s="45"/>
      <c r="AK76" s="45"/>
      <c r="AL76" s="46"/>
      <c r="AM76" s="21"/>
      <c r="AN76" s="45"/>
      <c r="AO76" s="45"/>
      <c r="AP76" s="46"/>
      <c r="AQ76" s="21"/>
      <c r="AR76" s="45"/>
      <c r="AS76" s="45"/>
      <c r="AT76" s="46"/>
      <c r="AU76" s="21"/>
      <c r="AV76" s="45"/>
      <c r="AW76" s="45"/>
      <c r="AX76" s="46"/>
    </row>
    <row r="77" spans="1:51" ht="11.25" customHeight="1" x14ac:dyDescent="0.2">
      <c r="A77" s="6" t="s">
        <v>50</v>
      </c>
      <c r="B77" s="2"/>
      <c r="C77" s="21"/>
      <c r="D77" s="45"/>
      <c r="E77" s="45"/>
      <c r="F77" s="45"/>
      <c r="G77" s="21"/>
      <c r="H77" s="45"/>
      <c r="I77" s="45"/>
      <c r="J77" s="45"/>
      <c r="K77" s="21"/>
      <c r="L77" s="45"/>
      <c r="M77" s="45"/>
      <c r="N77" s="45"/>
      <c r="O77" s="21"/>
      <c r="P77" s="45"/>
      <c r="Q77" s="45"/>
      <c r="R77" s="45"/>
      <c r="S77" s="21"/>
      <c r="T77" s="45"/>
      <c r="U77" s="45"/>
      <c r="V77" s="45"/>
      <c r="W77" s="21"/>
      <c r="X77" s="45"/>
      <c r="Y77" s="45"/>
      <c r="Z77" s="45"/>
      <c r="AA77" s="21"/>
      <c r="AB77" s="45"/>
      <c r="AC77" s="45"/>
      <c r="AD77" s="45"/>
      <c r="AE77" s="91"/>
      <c r="AF77" s="90"/>
      <c r="AG77" s="90"/>
      <c r="AH77" s="90"/>
      <c r="AI77" s="91"/>
      <c r="AJ77" s="90"/>
      <c r="AK77" s="45"/>
      <c r="AL77" s="46"/>
      <c r="AM77" s="21"/>
      <c r="AN77" s="45"/>
      <c r="AO77" s="45"/>
      <c r="AP77" s="46"/>
      <c r="AQ77" s="21"/>
      <c r="AR77" s="45"/>
      <c r="AS77" s="45"/>
      <c r="AT77" s="46"/>
      <c r="AU77" s="21"/>
      <c r="AV77" s="45"/>
      <c r="AW77" s="45"/>
      <c r="AX77" s="46"/>
    </row>
    <row r="78" spans="1:51" ht="11.25" customHeight="1" x14ac:dyDescent="0.2">
      <c r="A78" s="85" t="s">
        <v>51</v>
      </c>
      <c r="B78" s="2"/>
      <c r="C78" s="21">
        <f t="shared" ref="C78:AX78" si="14">C41</f>
        <v>0</v>
      </c>
      <c r="D78" s="45">
        <f t="shared" si="14"/>
        <v>0</v>
      </c>
      <c r="E78" s="45">
        <f t="shared" si="14"/>
        <v>0</v>
      </c>
      <c r="F78" s="45">
        <f t="shared" si="14"/>
        <v>0</v>
      </c>
      <c r="G78" s="21">
        <f t="shared" si="14"/>
        <v>0</v>
      </c>
      <c r="H78" s="45">
        <f t="shared" si="14"/>
        <v>0</v>
      </c>
      <c r="I78" s="45">
        <f t="shared" si="14"/>
        <v>0</v>
      </c>
      <c r="J78" s="45">
        <f t="shared" si="14"/>
        <v>0</v>
      </c>
      <c r="K78" s="21">
        <f t="shared" si="14"/>
        <v>0</v>
      </c>
      <c r="L78" s="45">
        <f t="shared" si="14"/>
        <v>0</v>
      </c>
      <c r="M78" s="45">
        <f t="shared" si="14"/>
        <v>0</v>
      </c>
      <c r="N78" s="45">
        <f t="shared" si="14"/>
        <v>0</v>
      </c>
      <c r="O78" s="21">
        <f t="shared" si="14"/>
        <v>0</v>
      </c>
      <c r="P78" s="45">
        <f t="shared" si="14"/>
        <v>0</v>
      </c>
      <c r="Q78" s="45">
        <f t="shared" si="14"/>
        <v>0</v>
      </c>
      <c r="R78" s="45">
        <f t="shared" si="14"/>
        <v>0</v>
      </c>
      <c r="S78" s="21">
        <f t="shared" si="14"/>
        <v>0</v>
      </c>
      <c r="T78" s="45">
        <f t="shared" si="14"/>
        <v>0</v>
      </c>
      <c r="U78" s="45">
        <f t="shared" si="14"/>
        <v>0</v>
      </c>
      <c r="V78" s="45">
        <f t="shared" si="14"/>
        <v>0</v>
      </c>
      <c r="W78" s="21">
        <f t="shared" si="14"/>
        <v>0</v>
      </c>
      <c r="X78" s="45">
        <f t="shared" si="14"/>
        <v>0</v>
      </c>
      <c r="Y78" s="45">
        <f t="shared" si="14"/>
        <v>0</v>
      </c>
      <c r="Z78" s="45">
        <f t="shared" si="14"/>
        <v>0</v>
      </c>
      <c r="AA78" s="21">
        <f t="shared" si="14"/>
        <v>0</v>
      </c>
      <c r="AB78" s="45">
        <f t="shared" si="14"/>
        <v>0</v>
      </c>
      <c r="AC78" s="45">
        <f t="shared" si="14"/>
        <v>0</v>
      </c>
      <c r="AD78" s="46">
        <f t="shared" si="14"/>
        <v>0</v>
      </c>
      <c r="AE78" s="21">
        <f t="shared" si="14"/>
        <v>0</v>
      </c>
      <c r="AF78" s="45">
        <f t="shared" si="14"/>
        <v>0</v>
      </c>
      <c r="AG78" s="45">
        <f t="shared" si="14"/>
        <v>0</v>
      </c>
      <c r="AH78" s="45">
        <f t="shared" si="14"/>
        <v>0</v>
      </c>
      <c r="AI78" s="21">
        <f t="shared" si="14"/>
        <v>0</v>
      </c>
      <c r="AJ78" s="86">
        <f t="shared" si="14"/>
        <v>0</v>
      </c>
      <c r="AK78" s="86">
        <f t="shared" si="14"/>
        <v>0</v>
      </c>
      <c r="AL78" s="46">
        <f t="shared" si="14"/>
        <v>0</v>
      </c>
      <c r="AM78" s="21">
        <f t="shared" si="14"/>
        <v>0</v>
      </c>
      <c r="AN78" s="45">
        <f t="shared" si="14"/>
        <v>0</v>
      </c>
      <c r="AO78" s="45">
        <f t="shared" si="14"/>
        <v>0</v>
      </c>
      <c r="AP78" s="46">
        <f t="shared" si="14"/>
        <v>0</v>
      </c>
      <c r="AQ78" s="21">
        <f t="shared" si="14"/>
        <v>0</v>
      </c>
      <c r="AR78" s="45">
        <f t="shared" si="14"/>
        <v>0</v>
      </c>
      <c r="AS78" s="45">
        <f t="shared" si="14"/>
        <v>0</v>
      </c>
      <c r="AT78" s="46">
        <f t="shared" si="14"/>
        <v>0</v>
      </c>
      <c r="AU78" s="21">
        <f t="shared" si="14"/>
        <v>0</v>
      </c>
      <c r="AV78" s="45">
        <f t="shared" si="14"/>
        <v>0</v>
      </c>
      <c r="AW78" s="45">
        <f t="shared" si="14"/>
        <v>0</v>
      </c>
      <c r="AX78" s="46">
        <f t="shared" si="14"/>
        <v>0</v>
      </c>
    </row>
    <row r="79" spans="1:51" ht="11.25" customHeight="1" x14ac:dyDescent="0.2">
      <c r="A79" s="87" t="s">
        <v>52</v>
      </c>
      <c r="B79" s="2"/>
      <c r="C79" s="284">
        <f>SUM(C60:C64)</f>
        <v>0</v>
      </c>
      <c r="D79" s="285">
        <f t="shared" ref="D79:AX79" si="15">SUM(D60:D64)</f>
        <v>0</v>
      </c>
      <c r="E79" s="285">
        <f t="shared" si="15"/>
        <v>0</v>
      </c>
      <c r="F79" s="285">
        <f t="shared" si="15"/>
        <v>0</v>
      </c>
      <c r="G79" s="532">
        <f t="shared" si="15"/>
        <v>0</v>
      </c>
      <c r="H79" s="285">
        <f t="shared" si="15"/>
        <v>0</v>
      </c>
      <c r="I79" s="285">
        <f t="shared" si="15"/>
        <v>0</v>
      </c>
      <c r="J79" s="285">
        <f t="shared" si="15"/>
        <v>0</v>
      </c>
      <c r="K79" s="284">
        <f t="shared" si="15"/>
        <v>0</v>
      </c>
      <c r="L79" s="285">
        <f t="shared" si="15"/>
        <v>0</v>
      </c>
      <c r="M79" s="285">
        <f t="shared" si="15"/>
        <v>0</v>
      </c>
      <c r="N79" s="285">
        <f t="shared" si="15"/>
        <v>0</v>
      </c>
      <c r="O79" s="284">
        <f t="shared" si="15"/>
        <v>0</v>
      </c>
      <c r="P79" s="285">
        <f t="shared" si="15"/>
        <v>0</v>
      </c>
      <c r="Q79" s="285">
        <f t="shared" si="15"/>
        <v>0</v>
      </c>
      <c r="R79" s="285">
        <f t="shared" si="15"/>
        <v>0</v>
      </c>
      <c r="S79" s="284">
        <f t="shared" si="15"/>
        <v>0</v>
      </c>
      <c r="T79" s="285">
        <f t="shared" si="15"/>
        <v>0</v>
      </c>
      <c r="U79" s="285">
        <f t="shared" si="15"/>
        <v>0</v>
      </c>
      <c r="V79" s="285">
        <f t="shared" si="15"/>
        <v>0</v>
      </c>
      <c r="W79" s="284">
        <f t="shared" si="15"/>
        <v>0</v>
      </c>
      <c r="X79" s="285">
        <f t="shared" si="15"/>
        <v>0</v>
      </c>
      <c r="Y79" s="285">
        <f t="shared" si="15"/>
        <v>0</v>
      </c>
      <c r="Z79" s="285">
        <f t="shared" si="15"/>
        <v>0</v>
      </c>
      <c r="AA79" s="284">
        <f t="shared" si="15"/>
        <v>0</v>
      </c>
      <c r="AB79" s="285">
        <f t="shared" si="15"/>
        <v>0</v>
      </c>
      <c r="AC79" s="285">
        <f t="shared" si="15"/>
        <v>0</v>
      </c>
      <c r="AD79" s="285">
        <f t="shared" si="15"/>
        <v>0</v>
      </c>
      <c r="AE79" s="284">
        <f t="shared" si="15"/>
        <v>0</v>
      </c>
      <c r="AF79" s="285">
        <f t="shared" si="15"/>
        <v>0</v>
      </c>
      <c r="AG79" s="285">
        <f t="shared" si="15"/>
        <v>0</v>
      </c>
      <c r="AH79" s="285">
        <f t="shared" si="15"/>
        <v>0</v>
      </c>
      <c r="AI79" s="284">
        <f t="shared" si="15"/>
        <v>0</v>
      </c>
      <c r="AJ79" s="285">
        <f t="shared" si="15"/>
        <v>0</v>
      </c>
      <c r="AK79" s="285">
        <f t="shared" si="15"/>
        <v>0</v>
      </c>
      <c r="AL79" s="285">
        <f t="shared" si="15"/>
        <v>0</v>
      </c>
      <c r="AM79" s="284">
        <f t="shared" si="15"/>
        <v>0</v>
      </c>
      <c r="AN79" s="285">
        <f t="shared" si="15"/>
        <v>0</v>
      </c>
      <c r="AO79" s="285">
        <f t="shared" si="15"/>
        <v>0</v>
      </c>
      <c r="AP79" s="285">
        <f t="shared" si="15"/>
        <v>0</v>
      </c>
      <c r="AQ79" s="284">
        <f t="shared" si="15"/>
        <v>0</v>
      </c>
      <c r="AR79" s="285">
        <f t="shared" si="15"/>
        <v>0</v>
      </c>
      <c r="AS79" s="285">
        <f t="shared" si="15"/>
        <v>0</v>
      </c>
      <c r="AT79" s="285">
        <f t="shared" si="15"/>
        <v>0</v>
      </c>
      <c r="AU79" s="284">
        <f t="shared" si="15"/>
        <v>0</v>
      </c>
      <c r="AV79" s="285">
        <f t="shared" si="15"/>
        <v>0</v>
      </c>
      <c r="AW79" s="285">
        <f t="shared" si="15"/>
        <v>0</v>
      </c>
      <c r="AX79" s="286">
        <f t="shared" si="15"/>
        <v>0</v>
      </c>
    </row>
    <row r="80" spans="1:51" ht="11.25" customHeight="1" x14ac:dyDescent="0.2">
      <c r="A80" s="87" t="s">
        <v>53</v>
      </c>
      <c r="B80" s="2"/>
      <c r="C80" s="284">
        <f t="shared" ref="C80:F80" si="16">SUM(C66:C69)</f>
        <v>0</v>
      </c>
      <c r="D80" s="285">
        <f t="shared" si="16"/>
        <v>0</v>
      </c>
      <c r="E80" s="285">
        <f t="shared" si="16"/>
        <v>0</v>
      </c>
      <c r="F80" s="285">
        <f t="shared" si="16"/>
        <v>0</v>
      </c>
      <c r="G80" s="532">
        <f>SUM(G66:G69)</f>
        <v>0</v>
      </c>
      <c r="H80" s="285">
        <f t="shared" ref="H80:AX80" si="17">SUM(H66:H69)</f>
        <v>0</v>
      </c>
      <c r="I80" s="285">
        <f t="shared" si="17"/>
        <v>0</v>
      </c>
      <c r="J80" s="285">
        <f t="shared" si="17"/>
        <v>0</v>
      </c>
      <c r="K80" s="284">
        <f t="shared" si="17"/>
        <v>0</v>
      </c>
      <c r="L80" s="285">
        <f t="shared" si="17"/>
        <v>0</v>
      </c>
      <c r="M80" s="285">
        <f t="shared" si="17"/>
        <v>0</v>
      </c>
      <c r="N80" s="285">
        <f t="shared" si="17"/>
        <v>0</v>
      </c>
      <c r="O80" s="284">
        <f t="shared" si="17"/>
        <v>0</v>
      </c>
      <c r="P80" s="285">
        <f t="shared" si="17"/>
        <v>0</v>
      </c>
      <c r="Q80" s="285">
        <f t="shared" si="17"/>
        <v>0</v>
      </c>
      <c r="R80" s="285">
        <f t="shared" si="17"/>
        <v>0</v>
      </c>
      <c r="S80" s="284">
        <f t="shared" si="17"/>
        <v>0</v>
      </c>
      <c r="T80" s="285">
        <f t="shared" si="17"/>
        <v>0</v>
      </c>
      <c r="U80" s="285">
        <f t="shared" si="17"/>
        <v>0</v>
      </c>
      <c r="V80" s="285">
        <f t="shared" si="17"/>
        <v>0</v>
      </c>
      <c r="W80" s="284">
        <f t="shared" si="17"/>
        <v>0</v>
      </c>
      <c r="X80" s="285">
        <f t="shared" si="17"/>
        <v>0</v>
      </c>
      <c r="Y80" s="285">
        <f t="shared" si="17"/>
        <v>0</v>
      </c>
      <c r="Z80" s="285">
        <f t="shared" si="17"/>
        <v>0</v>
      </c>
      <c r="AA80" s="284">
        <f t="shared" si="17"/>
        <v>0</v>
      </c>
      <c r="AB80" s="285">
        <f t="shared" si="17"/>
        <v>0</v>
      </c>
      <c r="AC80" s="285">
        <f t="shared" si="17"/>
        <v>0</v>
      </c>
      <c r="AD80" s="285">
        <f t="shared" si="17"/>
        <v>0</v>
      </c>
      <c r="AE80" s="284">
        <f t="shared" si="17"/>
        <v>0</v>
      </c>
      <c r="AF80" s="285">
        <f t="shared" si="17"/>
        <v>0</v>
      </c>
      <c r="AG80" s="285">
        <f t="shared" si="17"/>
        <v>0</v>
      </c>
      <c r="AH80" s="285">
        <f t="shared" si="17"/>
        <v>0</v>
      </c>
      <c r="AI80" s="284">
        <f t="shared" si="17"/>
        <v>0</v>
      </c>
      <c r="AJ80" s="285">
        <f t="shared" si="17"/>
        <v>0</v>
      </c>
      <c r="AK80" s="285">
        <f t="shared" si="17"/>
        <v>0</v>
      </c>
      <c r="AL80" s="285">
        <f t="shared" si="17"/>
        <v>0</v>
      </c>
      <c r="AM80" s="284">
        <f t="shared" si="17"/>
        <v>0</v>
      </c>
      <c r="AN80" s="285">
        <f t="shared" si="17"/>
        <v>0</v>
      </c>
      <c r="AO80" s="285">
        <f t="shared" si="17"/>
        <v>0</v>
      </c>
      <c r="AP80" s="285">
        <f t="shared" si="17"/>
        <v>0</v>
      </c>
      <c r="AQ80" s="284">
        <f t="shared" si="17"/>
        <v>0</v>
      </c>
      <c r="AR80" s="285">
        <f t="shared" si="17"/>
        <v>0</v>
      </c>
      <c r="AS80" s="285">
        <f t="shared" si="17"/>
        <v>0</v>
      </c>
      <c r="AT80" s="285">
        <f t="shared" si="17"/>
        <v>0</v>
      </c>
      <c r="AU80" s="284">
        <f t="shared" si="17"/>
        <v>0</v>
      </c>
      <c r="AV80" s="285">
        <f t="shared" si="17"/>
        <v>0</v>
      </c>
      <c r="AW80" s="285">
        <f t="shared" si="17"/>
        <v>0</v>
      </c>
      <c r="AX80" s="286">
        <f t="shared" si="17"/>
        <v>0</v>
      </c>
    </row>
    <row r="81" spans="1:50" ht="11.25" customHeight="1" x14ac:dyDescent="0.2">
      <c r="A81" s="87" t="s">
        <v>94</v>
      </c>
      <c r="B81" s="2"/>
      <c r="C81" s="284">
        <f t="shared" ref="C81:F81" si="18">SUM(C56:C59)</f>
        <v>0</v>
      </c>
      <c r="D81" s="285">
        <f t="shared" si="18"/>
        <v>0</v>
      </c>
      <c r="E81" s="285">
        <f t="shared" si="18"/>
        <v>0</v>
      </c>
      <c r="F81" s="285">
        <f t="shared" si="18"/>
        <v>0</v>
      </c>
      <c r="G81" s="532">
        <f>SUM(G56:G59)</f>
        <v>0</v>
      </c>
      <c r="H81" s="285">
        <f t="shared" ref="H81:AX81" si="19">SUM(H56:H59)</f>
        <v>0</v>
      </c>
      <c r="I81" s="285">
        <f t="shared" si="19"/>
        <v>0</v>
      </c>
      <c r="J81" s="285">
        <f t="shared" si="19"/>
        <v>0</v>
      </c>
      <c r="K81" s="284">
        <f t="shared" si="19"/>
        <v>0</v>
      </c>
      <c r="L81" s="285">
        <f t="shared" si="19"/>
        <v>0</v>
      </c>
      <c r="M81" s="285">
        <f t="shared" si="19"/>
        <v>0</v>
      </c>
      <c r="N81" s="285">
        <f t="shared" si="19"/>
        <v>0</v>
      </c>
      <c r="O81" s="284">
        <f t="shared" si="19"/>
        <v>0</v>
      </c>
      <c r="P81" s="285">
        <f t="shared" si="19"/>
        <v>0</v>
      </c>
      <c r="Q81" s="285">
        <f t="shared" si="19"/>
        <v>0</v>
      </c>
      <c r="R81" s="285">
        <f t="shared" si="19"/>
        <v>0</v>
      </c>
      <c r="S81" s="284">
        <f t="shared" si="19"/>
        <v>0</v>
      </c>
      <c r="T81" s="285">
        <f t="shared" si="19"/>
        <v>0</v>
      </c>
      <c r="U81" s="285">
        <f t="shared" si="19"/>
        <v>0</v>
      </c>
      <c r="V81" s="285">
        <f t="shared" si="19"/>
        <v>0</v>
      </c>
      <c r="W81" s="284">
        <f t="shared" si="19"/>
        <v>0</v>
      </c>
      <c r="X81" s="285">
        <f t="shared" si="19"/>
        <v>0</v>
      </c>
      <c r="Y81" s="285">
        <f t="shared" si="19"/>
        <v>0</v>
      </c>
      <c r="Z81" s="285">
        <f t="shared" si="19"/>
        <v>0</v>
      </c>
      <c r="AA81" s="284">
        <f t="shared" si="19"/>
        <v>0</v>
      </c>
      <c r="AB81" s="285">
        <f t="shared" si="19"/>
        <v>0</v>
      </c>
      <c r="AC81" s="285">
        <f t="shared" si="19"/>
        <v>0</v>
      </c>
      <c r="AD81" s="285">
        <f>SUM(AD56:AD59)</f>
        <v>0</v>
      </c>
      <c r="AE81" s="284">
        <f t="shared" si="19"/>
        <v>0</v>
      </c>
      <c r="AF81" s="285">
        <f t="shared" si="19"/>
        <v>0</v>
      </c>
      <c r="AG81" s="285">
        <f t="shared" si="19"/>
        <v>0</v>
      </c>
      <c r="AH81" s="285">
        <f t="shared" si="19"/>
        <v>0</v>
      </c>
      <c r="AI81" s="284">
        <f t="shared" si="19"/>
        <v>0</v>
      </c>
      <c r="AJ81" s="285">
        <f t="shared" si="19"/>
        <v>0</v>
      </c>
      <c r="AK81" s="285">
        <f t="shared" si="19"/>
        <v>0</v>
      </c>
      <c r="AL81" s="285">
        <f t="shared" si="19"/>
        <v>0</v>
      </c>
      <c r="AM81" s="284">
        <f t="shared" si="19"/>
        <v>0</v>
      </c>
      <c r="AN81" s="285">
        <f t="shared" si="19"/>
        <v>0</v>
      </c>
      <c r="AO81" s="285">
        <f t="shared" si="19"/>
        <v>0</v>
      </c>
      <c r="AP81" s="285">
        <f t="shared" si="19"/>
        <v>0</v>
      </c>
      <c r="AQ81" s="284">
        <f t="shared" si="19"/>
        <v>0</v>
      </c>
      <c r="AR81" s="285">
        <f t="shared" si="19"/>
        <v>0</v>
      </c>
      <c r="AS81" s="285">
        <f t="shared" si="19"/>
        <v>0</v>
      </c>
      <c r="AT81" s="285">
        <f t="shared" si="19"/>
        <v>0</v>
      </c>
      <c r="AU81" s="284">
        <f t="shared" si="19"/>
        <v>0</v>
      </c>
      <c r="AV81" s="285">
        <f t="shared" si="19"/>
        <v>0</v>
      </c>
      <c r="AW81" s="285">
        <f t="shared" si="19"/>
        <v>0</v>
      </c>
      <c r="AX81" s="286">
        <f t="shared" si="19"/>
        <v>0</v>
      </c>
    </row>
    <row r="82" spans="1:50" ht="11.25" customHeight="1" x14ac:dyDescent="0.2">
      <c r="A82" s="87" t="s">
        <v>37</v>
      </c>
      <c r="B82" s="2"/>
      <c r="C82" s="284">
        <f t="shared" ref="C82" si="20">C133-B133+C138-B138</f>
        <v>0</v>
      </c>
      <c r="D82" s="285">
        <f t="shared" ref="D82" si="21">D133-C133+D138-C138</f>
        <v>0</v>
      </c>
      <c r="E82" s="285">
        <f t="shared" ref="E82" si="22">E133-D133+E138-D138</f>
        <v>0</v>
      </c>
      <c r="F82" s="285">
        <f t="shared" ref="F82" si="23">F133-E133+F138-E138</f>
        <v>0</v>
      </c>
      <c r="G82" s="284">
        <f t="shared" ref="G82" si="24">G133-F133+G138-F138</f>
        <v>0</v>
      </c>
      <c r="H82" s="285">
        <f t="shared" ref="H82" si="25">H133-G133+H138-G138</f>
        <v>0</v>
      </c>
      <c r="I82" s="285">
        <f t="shared" ref="I82" si="26">I133-H133+I138-H138</f>
        <v>0</v>
      </c>
      <c r="J82" s="285">
        <f t="shared" ref="J82" si="27">J133-I133+J138-I138</f>
        <v>0</v>
      </c>
      <c r="K82" s="284">
        <f t="shared" ref="K82" si="28">K133-J133+K138-J138</f>
        <v>0</v>
      </c>
      <c r="L82" s="285">
        <f t="shared" ref="L82" si="29">L133-K133+L138-K138</f>
        <v>0</v>
      </c>
      <c r="M82" s="285">
        <f t="shared" ref="M82" si="30">M133-L133+M138-L138</f>
        <v>0</v>
      </c>
      <c r="N82" s="285">
        <f t="shared" ref="N82" si="31">N133-M133+N138-M138</f>
        <v>0</v>
      </c>
      <c r="O82" s="284">
        <f t="shared" ref="O82:R82" si="32">O133-N133+O138-N138</f>
        <v>0</v>
      </c>
      <c r="P82" s="285">
        <f t="shared" si="32"/>
        <v>0</v>
      </c>
      <c r="Q82" s="285">
        <f t="shared" si="32"/>
        <v>0</v>
      </c>
      <c r="R82" s="285">
        <f t="shared" si="32"/>
        <v>0</v>
      </c>
      <c r="S82" s="284">
        <f>S133-R133+S138-R138</f>
        <v>0</v>
      </c>
      <c r="T82" s="285">
        <f>T133-S133+T138-S138</f>
        <v>0</v>
      </c>
      <c r="U82" s="285">
        <f>U133-T133+U138-T138</f>
        <v>0</v>
      </c>
      <c r="V82" s="285">
        <f>V133-U133+V138-U138</f>
        <v>0</v>
      </c>
      <c r="W82" s="284">
        <f>W133-V133+W138-V138</f>
        <v>0</v>
      </c>
      <c r="X82" s="285">
        <f t="shared" ref="X82:AX82" si="33">X133-W133+X138-W138</f>
        <v>0</v>
      </c>
      <c r="Y82" s="285">
        <f t="shared" si="33"/>
        <v>0</v>
      </c>
      <c r="Z82" s="285">
        <f t="shared" si="33"/>
        <v>0</v>
      </c>
      <c r="AA82" s="284">
        <f t="shared" si="33"/>
        <v>0</v>
      </c>
      <c r="AB82" s="285">
        <f t="shared" si="33"/>
        <v>0</v>
      </c>
      <c r="AC82" s="285">
        <f t="shared" si="33"/>
        <v>0</v>
      </c>
      <c r="AD82" s="285">
        <f t="shared" si="33"/>
        <v>0</v>
      </c>
      <c r="AE82" s="284">
        <f t="shared" si="33"/>
        <v>0</v>
      </c>
      <c r="AF82" s="285">
        <f t="shared" si="33"/>
        <v>0</v>
      </c>
      <c r="AG82" s="285">
        <f t="shared" si="33"/>
        <v>0</v>
      </c>
      <c r="AH82" s="285">
        <f t="shared" si="33"/>
        <v>0</v>
      </c>
      <c r="AI82" s="284">
        <f t="shared" si="33"/>
        <v>0</v>
      </c>
      <c r="AJ82" s="285">
        <f t="shared" si="33"/>
        <v>0</v>
      </c>
      <c r="AK82" s="285">
        <f t="shared" si="33"/>
        <v>0</v>
      </c>
      <c r="AL82" s="285">
        <f t="shared" si="33"/>
        <v>0</v>
      </c>
      <c r="AM82" s="284">
        <f t="shared" si="33"/>
        <v>0</v>
      </c>
      <c r="AN82" s="285">
        <f t="shared" si="33"/>
        <v>0</v>
      </c>
      <c r="AO82" s="285">
        <f t="shared" si="33"/>
        <v>0</v>
      </c>
      <c r="AP82" s="285">
        <f t="shared" si="33"/>
        <v>0</v>
      </c>
      <c r="AQ82" s="284">
        <f t="shared" si="33"/>
        <v>0</v>
      </c>
      <c r="AR82" s="285">
        <f t="shared" si="33"/>
        <v>0</v>
      </c>
      <c r="AS82" s="285">
        <f t="shared" si="33"/>
        <v>0</v>
      </c>
      <c r="AT82" s="285">
        <f t="shared" si="33"/>
        <v>0</v>
      </c>
      <c r="AU82" s="284">
        <f t="shared" si="33"/>
        <v>0</v>
      </c>
      <c r="AV82" s="285">
        <f t="shared" si="33"/>
        <v>0</v>
      </c>
      <c r="AW82" s="285">
        <f t="shared" si="33"/>
        <v>0</v>
      </c>
      <c r="AX82" s="286">
        <f t="shared" si="33"/>
        <v>0</v>
      </c>
    </row>
    <row r="83" spans="1:50" ht="11.25" customHeight="1" x14ac:dyDescent="0.2">
      <c r="A83" s="87" t="s">
        <v>112</v>
      </c>
      <c r="B83" s="2"/>
      <c r="C83" s="214">
        <v>0</v>
      </c>
      <c r="D83" s="215">
        <v>0</v>
      </c>
      <c r="E83" s="215">
        <v>0</v>
      </c>
      <c r="F83" s="215">
        <v>0</v>
      </c>
      <c r="G83" s="214">
        <v>0</v>
      </c>
      <c r="H83" s="215">
        <v>0</v>
      </c>
      <c r="I83" s="215">
        <v>0</v>
      </c>
      <c r="J83" s="215">
        <v>0</v>
      </c>
      <c r="K83" s="214">
        <v>0</v>
      </c>
      <c r="L83" s="215">
        <v>0</v>
      </c>
      <c r="M83" s="215">
        <v>0</v>
      </c>
      <c r="N83" s="215">
        <v>0</v>
      </c>
      <c r="O83" s="214">
        <v>0</v>
      </c>
      <c r="P83" s="215">
        <v>0</v>
      </c>
      <c r="Q83" s="215">
        <v>0</v>
      </c>
      <c r="R83" s="215">
        <v>0</v>
      </c>
      <c r="S83" s="214">
        <v>0</v>
      </c>
      <c r="T83" s="215">
        <v>0</v>
      </c>
      <c r="U83" s="215">
        <v>0</v>
      </c>
      <c r="V83" s="215">
        <v>0</v>
      </c>
      <c r="W83" s="214">
        <v>0</v>
      </c>
      <c r="X83" s="215">
        <v>0</v>
      </c>
      <c r="Y83" s="215">
        <v>0</v>
      </c>
      <c r="Z83" s="215">
        <v>0</v>
      </c>
      <c r="AA83" s="214">
        <v>0</v>
      </c>
      <c r="AB83" s="215">
        <v>0</v>
      </c>
      <c r="AC83" s="215">
        <v>0</v>
      </c>
      <c r="AD83" s="215">
        <v>0</v>
      </c>
      <c r="AE83" s="214">
        <v>0</v>
      </c>
      <c r="AF83" s="215">
        <v>0</v>
      </c>
      <c r="AG83" s="215">
        <v>0</v>
      </c>
      <c r="AH83" s="215">
        <v>0</v>
      </c>
      <c r="AI83" s="214">
        <v>0</v>
      </c>
      <c r="AJ83" s="215">
        <v>0</v>
      </c>
      <c r="AK83" s="215">
        <v>0</v>
      </c>
      <c r="AL83" s="215">
        <v>0</v>
      </c>
      <c r="AM83" s="214">
        <v>0</v>
      </c>
      <c r="AN83" s="215">
        <v>0</v>
      </c>
      <c r="AO83" s="215">
        <v>0</v>
      </c>
      <c r="AP83" s="215">
        <v>0</v>
      </c>
      <c r="AQ83" s="214">
        <v>0</v>
      </c>
      <c r="AR83" s="215">
        <v>0</v>
      </c>
      <c r="AS83" s="215">
        <v>0</v>
      </c>
      <c r="AT83" s="215">
        <v>0</v>
      </c>
      <c r="AU83" s="214">
        <v>0</v>
      </c>
      <c r="AV83" s="215">
        <v>0</v>
      </c>
      <c r="AW83" s="215">
        <v>0</v>
      </c>
      <c r="AX83" s="216">
        <v>0</v>
      </c>
    </row>
    <row r="84" spans="1:50" ht="11.25" customHeight="1" x14ac:dyDescent="0.2">
      <c r="A84" s="85" t="s">
        <v>103</v>
      </c>
      <c r="B84" s="2"/>
      <c r="C84" s="214">
        <v>0</v>
      </c>
      <c r="D84" s="215">
        <v>0</v>
      </c>
      <c r="E84" s="215">
        <v>0</v>
      </c>
      <c r="F84" s="215">
        <v>0</v>
      </c>
      <c r="G84" s="214">
        <v>0</v>
      </c>
      <c r="H84" s="215">
        <v>0</v>
      </c>
      <c r="I84" s="215">
        <v>0</v>
      </c>
      <c r="J84" s="215">
        <v>0</v>
      </c>
      <c r="K84" s="214">
        <v>0</v>
      </c>
      <c r="L84" s="215">
        <v>0</v>
      </c>
      <c r="M84" s="215">
        <v>0</v>
      </c>
      <c r="N84" s="215">
        <v>0</v>
      </c>
      <c r="O84" s="214">
        <v>0</v>
      </c>
      <c r="P84" s="215">
        <v>0</v>
      </c>
      <c r="Q84" s="215">
        <v>0</v>
      </c>
      <c r="R84" s="215">
        <v>0</v>
      </c>
      <c r="S84" s="214">
        <v>0</v>
      </c>
      <c r="T84" s="215">
        <v>0</v>
      </c>
      <c r="U84" s="215">
        <v>0</v>
      </c>
      <c r="V84" s="215">
        <v>0</v>
      </c>
      <c r="W84" s="214">
        <v>0</v>
      </c>
      <c r="X84" s="215">
        <v>0</v>
      </c>
      <c r="Y84" s="215">
        <v>0</v>
      </c>
      <c r="Z84" s="215">
        <v>0</v>
      </c>
      <c r="AA84" s="214">
        <v>0</v>
      </c>
      <c r="AB84" s="215">
        <v>0</v>
      </c>
      <c r="AC84" s="215">
        <v>0</v>
      </c>
      <c r="AD84" s="215">
        <v>0</v>
      </c>
      <c r="AE84" s="214">
        <v>0</v>
      </c>
      <c r="AF84" s="215">
        <v>0</v>
      </c>
      <c r="AG84" s="215">
        <v>0</v>
      </c>
      <c r="AH84" s="215">
        <v>0</v>
      </c>
      <c r="AI84" s="214">
        <v>0</v>
      </c>
      <c r="AJ84" s="215">
        <v>0</v>
      </c>
      <c r="AK84" s="215">
        <v>0</v>
      </c>
      <c r="AL84" s="215">
        <v>0</v>
      </c>
      <c r="AM84" s="214">
        <v>0</v>
      </c>
      <c r="AN84" s="215">
        <v>0</v>
      </c>
      <c r="AO84" s="215">
        <v>0</v>
      </c>
      <c r="AP84" s="215">
        <v>0</v>
      </c>
      <c r="AQ84" s="214">
        <v>0</v>
      </c>
      <c r="AR84" s="215">
        <v>0</v>
      </c>
      <c r="AS84" s="215">
        <v>0</v>
      </c>
      <c r="AT84" s="215">
        <v>0</v>
      </c>
      <c r="AU84" s="214">
        <v>0</v>
      </c>
      <c r="AV84" s="215">
        <v>0</v>
      </c>
      <c r="AW84" s="215">
        <v>0</v>
      </c>
      <c r="AX84" s="216">
        <v>0</v>
      </c>
    </row>
    <row r="85" spans="1:50" ht="11.25" customHeight="1" x14ac:dyDescent="0.25">
      <c r="A85" s="85" t="s">
        <v>30</v>
      </c>
      <c r="B85" s="2"/>
      <c r="C85" s="18">
        <f t="shared" ref="C85:AX85" si="34">C86-SUM(C78:C84)</f>
        <v>0</v>
      </c>
      <c r="D85" s="19">
        <f t="shared" si="34"/>
        <v>0</v>
      </c>
      <c r="E85" s="19">
        <f t="shared" si="34"/>
        <v>0</v>
      </c>
      <c r="F85" s="20">
        <f t="shared" si="34"/>
        <v>0</v>
      </c>
      <c r="G85" s="18">
        <f t="shared" si="34"/>
        <v>0</v>
      </c>
      <c r="H85" s="19">
        <f t="shared" si="34"/>
        <v>0</v>
      </c>
      <c r="I85" s="19">
        <f t="shared" si="34"/>
        <v>0</v>
      </c>
      <c r="J85" s="20">
        <f t="shared" si="34"/>
        <v>0</v>
      </c>
      <c r="K85" s="18">
        <f t="shared" si="34"/>
        <v>0</v>
      </c>
      <c r="L85" s="19">
        <f t="shared" si="34"/>
        <v>0</v>
      </c>
      <c r="M85" s="19">
        <f t="shared" si="34"/>
        <v>0</v>
      </c>
      <c r="N85" s="20">
        <f t="shared" si="34"/>
        <v>0</v>
      </c>
      <c r="O85" s="18">
        <f t="shared" si="34"/>
        <v>0</v>
      </c>
      <c r="P85" s="19">
        <f t="shared" si="34"/>
        <v>0</v>
      </c>
      <c r="Q85" s="19">
        <f t="shared" si="34"/>
        <v>0</v>
      </c>
      <c r="R85" s="20">
        <f t="shared" si="34"/>
        <v>0</v>
      </c>
      <c r="S85" s="18">
        <f t="shared" si="34"/>
        <v>0</v>
      </c>
      <c r="T85" s="19">
        <f t="shared" si="34"/>
        <v>0</v>
      </c>
      <c r="U85" s="19">
        <f t="shared" si="34"/>
        <v>0</v>
      </c>
      <c r="V85" s="20">
        <f t="shared" si="34"/>
        <v>0</v>
      </c>
      <c r="W85" s="18">
        <f t="shared" si="34"/>
        <v>0</v>
      </c>
      <c r="X85" s="19">
        <f t="shared" si="34"/>
        <v>0</v>
      </c>
      <c r="Y85" s="19">
        <f t="shared" si="34"/>
        <v>0</v>
      </c>
      <c r="Z85" s="20">
        <f t="shared" si="34"/>
        <v>0</v>
      </c>
      <c r="AA85" s="18">
        <f t="shared" si="34"/>
        <v>0</v>
      </c>
      <c r="AB85" s="19">
        <f t="shared" si="34"/>
        <v>0</v>
      </c>
      <c r="AC85" s="19">
        <f t="shared" si="34"/>
        <v>0</v>
      </c>
      <c r="AD85" s="20">
        <f t="shared" si="34"/>
        <v>0</v>
      </c>
      <c r="AE85" s="18">
        <f t="shared" si="34"/>
        <v>0</v>
      </c>
      <c r="AF85" s="19">
        <f t="shared" si="34"/>
        <v>0</v>
      </c>
      <c r="AG85" s="19">
        <f t="shared" si="34"/>
        <v>0</v>
      </c>
      <c r="AH85" s="20">
        <f t="shared" si="34"/>
        <v>0</v>
      </c>
      <c r="AI85" s="18">
        <f t="shared" si="34"/>
        <v>0</v>
      </c>
      <c r="AJ85" s="19">
        <f t="shared" si="34"/>
        <v>0</v>
      </c>
      <c r="AK85" s="19">
        <f t="shared" si="34"/>
        <v>0</v>
      </c>
      <c r="AL85" s="20">
        <f t="shared" si="34"/>
        <v>0</v>
      </c>
      <c r="AM85" s="18">
        <f t="shared" si="34"/>
        <v>0</v>
      </c>
      <c r="AN85" s="19">
        <f t="shared" si="34"/>
        <v>0</v>
      </c>
      <c r="AO85" s="19">
        <f t="shared" si="34"/>
        <v>0</v>
      </c>
      <c r="AP85" s="20">
        <f t="shared" si="34"/>
        <v>0</v>
      </c>
      <c r="AQ85" s="18">
        <f t="shared" si="34"/>
        <v>0</v>
      </c>
      <c r="AR85" s="19">
        <f t="shared" si="34"/>
        <v>0</v>
      </c>
      <c r="AS85" s="19">
        <f t="shared" si="34"/>
        <v>0</v>
      </c>
      <c r="AT85" s="20">
        <f t="shared" si="34"/>
        <v>0</v>
      </c>
      <c r="AU85" s="18">
        <f t="shared" si="34"/>
        <v>0</v>
      </c>
      <c r="AV85" s="19">
        <f t="shared" si="34"/>
        <v>0</v>
      </c>
      <c r="AW85" s="19">
        <f t="shared" si="34"/>
        <v>0</v>
      </c>
      <c r="AX85" s="20">
        <f t="shared" si="34"/>
        <v>0</v>
      </c>
    </row>
    <row r="86" spans="1:50" ht="11.25" customHeight="1" x14ac:dyDescent="0.2">
      <c r="A86" s="6" t="s">
        <v>89</v>
      </c>
      <c r="B86" s="2"/>
      <c r="C86" s="229">
        <v>0</v>
      </c>
      <c r="D86" s="230">
        <v>0</v>
      </c>
      <c r="E86" s="230">
        <v>0</v>
      </c>
      <c r="F86" s="230">
        <v>0</v>
      </c>
      <c r="G86" s="229">
        <v>0</v>
      </c>
      <c r="H86" s="230">
        <v>0</v>
      </c>
      <c r="I86" s="230">
        <v>0</v>
      </c>
      <c r="J86" s="230">
        <v>0</v>
      </c>
      <c r="K86" s="229">
        <v>0</v>
      </c>
      <c r="L86" s="230">
        <v>0</v>
      </c>
      <c r="M86" s="230">
        <v>0</v>
      </c>
      <c r="N86" s="230">
        <v>0</v>
      </c>
      <c r="O86" s="229">
        <v>0</v>
      </c>
      <c r="P86" s="230">
        <v>0</v>
      </c>
      <c r="Q86" s="230">
        <v>0</v>
      </c>
      <c r="R86" s="230">
        <v>0</v>
      </c>
      <c r="S86" s="229">
        <v>0</v>
      </c>
      <c r="T86" s="230">
        <v>0</v>
      </c>
      <c r="U86" s="230">
        <v>0</v>
      </c>
      <c r="V86" s="230">
        <v>0</v>
      </c>
      <c r="W86" s="229">
        <v>0</v>
      </c>
      <c r="X86" s="230">
        <v>0</v>
      </c>
      <c r="Y86" s="230">
        <v>0</v>
      </c>
      <c r="Z86" s="230">
        <v>0</v>
      </c>
      <c r="AA86" s="229">
        <v>0</v>
      </c>
      <c r="AB86" s="230">
        <v>0</v>
      </c>
      <c r="AC86" s="230">
        <v>0</v>
      </c>
      <c r="AD86" s="231">
        <v>0</v>
      </c>
      <c r="AE86" s="229">
        <v>0</v>
      </c>
      <c r="AF86" s="230">
        <v>0</v>
      </c>
      <c r="AG86" s="230">
        <v>0</v>
      </c>
      <c r="AH86" s="230">
        <v>0</v>
      </c>
      <c r="AI86" s="229">
        <v>0</v>
      </c>
      <c r="AJ86" s="232">
        <v>0</v>
      </c>
      <c r="AK86" s="232">
        <v>0</v>
      </c>
      <c r="AL86" s="230">
        <v>0</v>
      </c>
      <c r="AM86" s="229">
        <v>0</v>
      </c>
      <c r="AN86" s="230">
        <v>0</v>
      </c>
      <c r="AO86" s="230">
        <v>0</v>
      </c>
      <c r="AP86" s="231">
        <v>0</v>
      </c>
      <c r="AQ86" s="229">
        <v>0</v>
      </c>
      <c r="AR86" s="230">
        <v>0</v>
      </c>
      <c r="AS86" s="230">
        <v>0</v>
      </c>
      <c r="AT86" s="231">
        <v>0</v>
      </c>
      <c r="AU86" s="229">
        <v>0</v>
      </c>
      <c r="AV86" s="230">
        <v>0</v>
      </c>
      <c r="AW86" s="230">
        <v>0</v>
      </c>
      <c r="AX86" s="231">
        <v>0</v>
      </c>
    </row>
    <row r="87" spans="1:50" ht="11.25" customHeight="1" x14ac:dyDescent="0.2">
      <c r="A87" s="6"/>
      <c r="B87" s="2"/>
      <c r="C87" s="21"/>
      <c r="D87" s="45"/>
      <c r="E87" s="45"/>
      <c r="F87" s="45"/>
      <c r="G87" s="21"/>
      <c r="H87" s="45"/>
      <c r="I87" s="45"/>
      <c r="J87" s="45"/>
      <c r="K87" s="21"/>
      <c r="L87" s="45"/>
      <c r="M87" s="45"/>
      <c r="N87" s="45"/>
      <c r="O87" s="21"/>
      <c r="P87" s="45"/>
      <c r="Q87" s="45"/>
      <c r="R87" s="45"/>
      <c r="S87" s="21"/>
      <c r="T87" s="45"/>
      <c r="U87" s="45"/>
      <c r="V87" s="45"/>
      <c r="W87" s="21"/>
      <c r="X87" s="45"/>
      <c r="Y87" s="45"/>
      <c r="Z87" s="45"/>
      <c r="AA87" s="21"/>
      <c r="AB87" s="45"/>
      <c r="AC87" s="45"/>
      <c r="AD87" s="46"/>
      <c r="AE87" s="21"/>
      <c r="AF87" s="45"/>
      <c r="AG87" s="45"/>
      <c r="AH87" s="45"/>
      <c r="AI87" s="21"/>
      <c r="AJ87" s="86"/>
      <c r="AK87" s="86"/>
      <c r="AL87" s="46"/>
      <c r="AM87" s="21"/>
      <c r="AN87" s="45"/>
      <c r="AO87" s="45"/>
      <c r="AP87" s="46"/>
      <c r="AQ87" s="21"/>
      <c r="AR87" s="45"/>
      <c r="AS87" s="45"/>
      <c r="AT87" s="46"/>
      <c r="AU87" s="21"/>
      <c r="AV87" s="45"/>
      <c r="AW87" s="45"/>
      <c r="AX87" s="46"/>
    </row>
    <row r="88" spans="1:50" ht="11.25" customHeight="1" x14ac:dyDescent="0.2">
      <c r="A88" s="6" t="s">
        <v>54</v>
      </c>
      <c r="B88" s="2"/>
      <c r="C88" s="21"/>
      <c r="D88" s="45"/>
      <c r="E88" s="45"/>
      <c r="F88" s="45"/>
      <c r="G88" s="21"/>
      <c r="H88" s="45"/>
      <c r="I88" s="45"/>
      <c r="J88" s="45"/>
      <c r="K88" s="21"/>
      <c r="L88" s="45"/>
      <c r="M88" s="45"/>
      <c r="N88" s="45"/>
      <c r="O88" s="21"/>
      <c r="P88" s="45"/>
      <c r="Q88" s="45"/>
      <c r="R88" s="45"/>
      <c r="S88" s="21"/>
      <c r="T88" s="45"/>
      <c r="U88" s="45"/>
      <c r="V88" s="45"/>
      <c r="W88" s="21"/>
      <c r="X88" s="45"/>
      <c r="Y88" s="45"/>
      <c r="Z88" s="45"/>
      <c r="AA88" s="21"/>
      <c r="AB88" s="45"/>
      <c r="AC88" s="45"/>
      <c r="AD88" s="46"/>
      <c r="AE88" s="21"/>
      <c r="AF88" s="45"/>
      <c r="AG88" s="45"/>
      <c r="AH88" s="45"/>
      <c r="AI88" s="21"/>
      <c r="AJ88" s="86"/>
      <c r="AK88" s="86"/>
      <c r="AL88" s="46"/>
      <c r="AM88" s="21"/>
      <c r="AN88" s="45"/>
      <c r="AO88" s="45"/>
      <c r="AP88" s="46"/>
      <c r="AQ88" s="21"/>
      <c r="AR88" s="45"/>
      <c r="AS88" s="45"/>
      <c r="AT88" s="46"/>
      <c r="AU88" s="21"/>
      <c r="AV88" s="45"/>
      <c r="AW88" s="45"/>
      <c r="AX88" s="46"/>
    </row>
    <row r="89" spans="1:50" ht="11.25" customHeight="1" x14ac:dyDescent="0.2">
      <c r="A89" s="85" t="s">
        <v>105</v>
      </c>
      <c r="B89" s="2"/>
      <c r="C89" s="214">
        <v>0</v>
      </c>
      <c r="D89" s="215">
        <v>0</v>
      </c>
      <c r="E89" s="215">
        <v>0</v>
      </c>
      <c r="F89" s="215">
        <v>0</v>
      </c>
      <c r="G89" s="214">
        <v>0</v>
      </c>
      <c r="H89" s="215">
        <v>0</v>
      </c>
      <c r="I89" s="215">
        <v>0</v>
      </c>
      <c r="J89" s="215">
        <v>0</v>
      </c>
      <c r="K89" s="214">
        <v>0</v>
      </c>
      <c r="L89" s="215">
        <v>0</v>
      </c>
      <c r="M89" s="215">
        <v>0</v>
      </c>
      <c r="N89" s="215">
        <v>0</v>
      </c>
      <c r="O89" s="214">
        <v>0</v>
      </c>
      <c r="P89" s="215">
        <v>0</v>
      </c>
      <c r="Q89" s="215">
        <v>0</v>
      </c>
      <c r="R89" s="215">
        <v>0</v>
      </c>
      <c r="S89" s="214">
        <v>0</v>
      </c>
      <c r="T89" s="215">
        <v>0</v>
      </c>
      <c r="U89" s="215">
        <v>0</v>
      </c>
      <c r="V89" s="215">
        <v>0</v>
      </c>
      <c r="W89" s="214">
        <v>0</v>
      </c>
      <c r="X89" s="215">
        <v>0</v>
      </c>
      <c r="Y89" s="215">
        <v>0</v>
      </c>
      <c r="Z89" s="215">
        <v>0</v>
      </c>
      <c r="AA89" s="214">
        <v>0</v>
      </c>
      <c r="AB89" s="215">
        <v>0</v>
      </c>
      <c r="AC89" s="215">
        <v>0</v>
      </c>
      <c r="AD89" s="215">
        <v>0</v>
      </c>
      <c r="AE89" s="214">
        <v>0</v>
      </c>
      <c r="AF89" s="215">
        <v>0</v>
      </c>
      <c r="AG89" s="215">
        <v>0</v>
      </c>
      <c r="AH89" s="215">
        <v>0</v>
      </c>
      <c r="AI89" s="214">
        <v>0</v>
      </c>
      <c r="AJ89" s="215">
        <v>0</v>
      </c>
      <c r="AK89" s="215">
        <v>0</v>
      </c>
      <c r="AL89" s="215">
        <v>0</v>
      </c>
      <c r="AM89" s="214">
        <v>0</v>
      </c>
      <c r="AN89" s="215">
        <v>0</v>
      </c>
      <c r="AO89" s="215">
        <v>0</v>
      </c>
      <c r="AP89" s="215">
        <v>0</v>
      </c>
      <c r="AQ89" s="214">
        <v>0</v>
      </c>
      <c r="AR89" s="215">
        <v>0</v>
      </c>
      <c r="AS89" s="215">
        <v>0</v>
      </c>
      <c r="AT89" s="215">
        <v>0</v>
      </c>
      <c r="AU89" s="214">
        <v>0</v>
      </c>
      <c r="AV89" s="215">
        <v>0</v>
      </c>
      <c r="AW89" s="215">
        <v>0</v>
      </c>
      <c r="AX89" s="216">
        <v>0</v>
      </c>
    </row>
    <row r="90" spans="1:50" ht="11.25" customHeight="1" x14ac:dyDescent="0.2">
      <c r="A90" s="85" t="s">
        <v>126</v>
      </c>
      <c r="B90" s="2"/>
      <c r="C90" s="214">
        <v>0</v>
      </c>
      <c r="D90" s="215">
        <v>0</v>
      </c>
      <c r="E90" s="215">
        <v>0</v>
      </c>
      <c r="F90" s="215">
        <v>0</v>
      </c>
      <c r="G90" s="214">
        <v>0</v>
      </c>
      <c r="H90" s="215">
        <v>0</v>
      </c>
      <c r="I90" s="215">
        <v>0</v>
      </c>
      <c r="J90" s="215">
        <v>0</v>
      </c>
      <c r="K90" s="214">
        <v>0</v>
      </c>
      <c r="L90" s="215">
        <v>0</v>
      </c>
      <c r="M90" s="215">
        <v>0</v>
      </c>
      <c r="N90" s="215">
        <v>0</v>
      </c>
      <c r="O90" s="214">
        <v>0</v>
      </c>
      <c r="P90" s="215">
        <v>0</v>
      </c>
      <c r="Q90" s="215">
        <v>0</v>
      </c>
      <c r="R90" s="215">
        <v>0</v>
      </c>
      <c r="S90" s="214">
        <v>0</v>
      </c>
      <c r="T90" s="215">
        <v>0</v>
      </c>
      <c r="U90" s="215">
        <v>0</v>
      </c>
      <c r="V90" s="215">
        <v>0</v>
      </c>
      <c r="W90" s="214">
        <v>0</v>
      </c>
      <c r="X90" s="215">
        <v>0</v>
      </c>
      <c r="Y90" s="215">
        <v>0</v>
      </c>
      <c r="Z90" s="215">
        <v>0</v>
      </c>
      <c r="AA90" s="214">
        <v>0</v>
      </c>
      <c r="AB90" s="215">
        <v>0</v>
      </c>
      <c r="AC90" s="215">
        <v>0</v>
      </c>
      <c r="AD90" s="215">
        <v>0</v>
      </c>
      <c r="AE90" s="214">
        <v>0</v>
      </c>
      <c r="AF90" s="215">
        <v>0</v>
      </c>
      <c r="AG90" s="215">
        <v>0</v>
      </c>
      <c r="AH90" s="215">
        <v>0</v>
      </c>
      <c r="AI90" s="214">
        <v>0</v>
      </c>
      <c r="AJ90" s="215">
        <v>0</v>
      </c>
      <c r="AK90" s="215">
        <v>0</v>
      </c>
      <c r="AL90" s="215">
        <v>0</v>
      </c>
      <c r="AM90" s="214">
        <v>0</v>
      </c>
      <c r="AN90" s="215">
        <v>0</v>
      </c>
      <c r="AO90" s="215">
        <v>0</v>
      </c>
      <c r="AP90" s="215">
        <v>0</v>
      </c>
      <c r="AQ90" s="214">
        <v>0</v>
      </c>
      <c r="AR90" s="215">
        <v>0</v>
      </c>
      <c r="AS90" s="215">
        <v>0</v>
      </c>
      <c r="AT90" s="215">
        <v>0</v>
      </c>
      <c r="AU90" s="214">
        <v>0</v>
      </c>
      <c r="AV90" s="215">
        <v>0</v>
      </c>
      <c r="AW90" s="215">
        <v>0</v>
      </c>
      <c r="AX90" s="216">
        <v>0</v>
      </c>
    </row>
    <row r="91" spans="1:50" ht="11.25" customHeight="1" x14ac:dyDescent="0.2">
      <c r="A91" s="85" t="s">
        <v>136</v>
      </c>
      <c r="B91" s="2"/>
      <c r="C91" s="214">
        <v>0</v>
      </c>
      <c r="D91" s="215">
        <v>0</v>
      </c>
      <c r="E91" s="215">
        <v>0</v>
      </c>
      <c r="F91" s="215">
        <v>0</v>
      </c>
      <c r="G91" s="214">
        <v>0</v>
      </c>
      <c r="H91" s="215">
        <v>0</v>
      </c>
      <c r="I91" s="215">
        <v>0</v>
      </c>
      <c r="J91" s="215">
        <v>0</v>
      </c>
      <c r="K91" s="214">
        <v>0</v>
      </c>
      <c r="L91" s="215">
        <v>0</v>
      </c>
      <c r="M91" s="215">
        <v>0</v>
      </c>
      <c r="N91" s="215">
        <v>0</v>
      </c>
      <c r="O91" s="214">
        <v>0</v>
      </c>
      <c r="P91" s="215">
        <v>0</v>
      </c>
      <c r="Q91" s="215">
        <v>0</v>
      </c>
      <c r="R91" s="215">
        <v>0</v>
      </c>
      <c r="S91" s="214">
        <v>0</v>
      </c>
      <c r="T91" s="215">
        <v>0</v>
      </c>
      <c r="U91" s="215">
        <v>0</v>
      </c>
      <c r="V91" s="215">
        <v>0</v>
      </c>
      <c r="W91" s="214">
        <v>0</v>
      </c>
      <c r="X91" s="215">
        <v>0</v>
      </c>
      <c r="Y91" s="215">
        <v>0</v>
      </c>
      <c r="Z91" s="215">
        <v>0</v>
      </c>
      <c r="AA91" s="214">
        <v>0</v>
      </c>
      <c r="AB91" s="215">
        <v>0</v>
      </c>
      <c r="AC91" s="215">
        <v>0</v>
      </c>
      <c r="AD91" s="215">
        <v>0</v>
      </c>
      <c r="AE91" s="214">
        <v>0</v>
      </c>
      <c r="AF91" s="215">
        <v>0</v>
      </c>
      <c r="AG91" s="215">
        <v>0</v>
      </c>
      <c r="AH91" s="215">
        <v>0</v>
      </c>
      <c r="AI91" s="214">
        <v>0</v>
      </c>
      <c r="AJ91" s="215">
        <v>0</v>
      </c>
      <c r="AK91" s="215">
        <v>0</v>
      </c>
      <c r="AL91" s="215">
        <v>0</v>
      </c>
      <c r="AM91" s="214">
        <v>0</v>
      </c>
      <c r="AN91" s="215">
        <v>0</v>
      </c>
      <c r="AO91" s="215">
        <v>0</v>
      </c>
      <c r="AP91" s="215">
        <v>0</v>
      </c>
      <c r="AQ91" s="214">
        <v>0</v>
      </c>
      <c r="AR91" s="215">
        <v>0</v>
      </c>
      <c r="AS91" s="215">
        <v>0</v>
      </c>
      <c r="AT91" s="215">
        <v>0</v>
      </c>
      <c r="AU91" s="214">
        <v>0</v>
      </c>
      <c r="AV91" s="215">
        <v>0</v>
      </c>
      <c r="AW91" s="215">
        <v>0</v>
      </c>
      <c r="AX91" s="216">
        <v>0</v>
      </c>
    </row>
    <row r="92" spans="1:50" ht="11.25" customHeight="1" x14ac:dyDescent="0.2">
      <c r="A92" s="85" t="s">
        <v>104</v>
      </c>
      <c r="B92" s="2"/>
      <c r="C92" s="214">
        <v>0</v>
      </c>
      <c r="D92" s="215">
        <v>0</v>
      </c>
      <c r="E92" s="215">
        <v>0</v>
      </c>
      <c r="F92" s="215">
        <v>0</v>
      </c>
      <c r="G92" s="214">
        <v>0</v>
      </c>
      <c r="H92" s="215">
        <v>0</v>
      </c>
      <c r="I92" s="215">
        <v>0</v>
      </c>
      <c r="J92" s="215">
        <v>0</v>
      </c>
      <c r="K92" s="214">
        <v>0</v>
      </c>
      <c r="L92" s="215">
        <v>0</v>
      </c>
      <c r="M92" s="215">
        <v>0</v>
      </c>
      <c r="N92" s="215">
        <v>0</v>
      </c>
      <c r="O92" s="214">
        <v>0</v>
      </c>
      <c r="P92" s="215">
        <v>0</v>
      </c>
      <c r="Q92" s="215">
        <v>0</v>
      </c>
      <c r="R92" s="215">
        <v>0</v>
      </c>
      <c r="S92" s="214">
        <v>0</v>
      </c>
      <c r="T92" s="215">
        <v>0</v>
      </c>
      <c r="U92" s="215">
        <v>0</v>
      </c>
      <c r="V92" s="215">
        <v>0</v>
      </c>
      <c r="W92" s="214">
        <v>0</v>
      </c>
      <c r="X92" s="215">
        <v>0</v>
      </c>
      <c r="Y92" s="215">
        <v>0</v>
      </c>
      <c r="Z92" s="215">
        <v>0</v>
      </c>
      <c r="AA92" s="214">
        <v>0</v>
      </c>
      <c r="AB92" s="215">
        <v>0</v>
      </c>
      <c r="AC92" s="215">
        <v>0</v>
      </c>
      <c r="AD92" s="215">
        <v>0</v>
      </c>
      <c r="AE92" s="214">
        <v>0</v>
      </c>
      <c r="AF92" s="215">
        <v>0</v>
      </c>
      <c r="AG92" s="215">
        <v>0</v>
      </c>
      <c r="AH92" s="215">
        <v>0</v>
      </c>
      <c r="AI92" s="214">
        <v>0</v>
      </c>
      <c r="AJ92" s="215">
        <v>0</v>
      </c>
      <c r="AK92" s="215">
        <v>0</v>
      </c>
      <c r="AL92" s="215">
        <v>0</v>
      </c>
      <c r="AM92" s="214">
        <v>0</v>
      </c>
      <c r="AN92" s="215">
        <v>0</v>
      </c>
      <c r="AO92" s="215">
        <v>0</v>
      </c>
      <c r="AP92" s="215">
        <v>0</v>
      </c>
      <c r="AQ92" s="214">
        <v>0</v>
      </c>
      <c r="AR92" s="215">
        <v>0</v>
      </c>
      <c r="AS92" s="215">
        <v>0</v>
      </c>
      <c r="AT92" s="215">
        <v>0</v>
      </c>
      <c r="AU92" s="214">
        <v>0</v>
      </c>
      <c r="AV92" s="215">
        <v>0</v>
      </c>
      <c r="AW92" s="215">
        <v>0</v>
      </c>
      <c r="AX92" s="216">
        <v>0</v>
      </c>
    </row>
    <row r="93" spans="1:50" ht="11.25" customHeight="1" x14ac:dyDescent="0.2">
      <c r="A93" s="85" t="s">
        <v>55</v>
      </c>
      <c r="B93" s="2"/>
      <c r="C93" s="214">
        <v>0</v>
      </c>
      <c r="D93" s="215">
        <v>0</v>
      </c>
      <c r="E93" s="215">
        <v>0</v>
      </c>
      <c r="F93" s="215">
        <v>0</v>
      </c>
      <c r="G93" s="214">
        <v>0</v>
      </c>
      <c r="H93" s="215">
        <v>0</v>
      </c>
      <c r="I93" s="215">
        <v>0</v>
      </c>
      <c r="J93" s="215">
        <v>0</v>
      </c>
      <c r="K93" s="214">
        <v>0</v>
      </c>
      <c r="L93" s="215">
        <v>0</v>
      </c>
      <c r="M93" s="215">
        <v>0</v>
      </c>
      <c r="N93" s="215">
        <v>0</v>
      </c>
      <c r="O93" s="214">
        <v>0</v>
      </c>
      <c r="P93" s="215">
        <v>0</v>
      </c>
      <c r="Q93" s="215">
        <v>0</v>
      </c>
      <c r="R93" s="215">
        <v>0</v>
      </c>
      <c r="S93" s="214">
        <v>0</v>
      </c>
      <c r="T93" s="215">
        <v>0</v>
      </c>
      <c r="U93" s="215">
        <v>0</v>
      </c>
      <c r="V93" s="215">
        <v>0</v>
      </c>
      <c r="W93" s="214">
        <v>0</v>
      </c>
      <c r="X93" s="215">
        <v>0</v>
      </c>
      <c r="Y93" s="215">
        <v>0</v>
      </c>
      <c r="Z93" s="215">
        <v>0</v>
      </c>
      <c r="AA93" s="214">
        <v>0</v>
      </c>
      <c r="AB93" s="215">
        <v>0</v>
      </c>
      <c r="AC93" s="215">
        <v>0</v>
      </c>
      <c r="AD93" s="215">
        <v>0</v>
      </c>
      <c r="AE93" s="214">
        <v>0</v>
      </c>
      <c r="AF93" s="215">
        <v>0</v>
      </c>
      <c r="AG93" s="215">
        <v>0</v>
      </c>
      <c r="AH93" s="215">
        <v>0</v>
      </c>
      <c r="AI93" s="214">
        <v>0</v>
      </c>
      <c r="AJ93" s="215">
        <v>0</v>
      </c>
      <c r="AK93" s="215">
        <v>0</v>
      </c>
      <c r="AL93" s="215">
        <v>0</v>
      </c>
      <c r="AM93" s="214">
        <v>0</v>
      </c>
      <c r="AN93" s="215">
        <v>0</v>
      </c>
      <c r="AO93" s="215">
        <v>0</v>
      </c>
      <c r="AP93" s="215">
        <v>0</v>
      </c>
      <c r="AQ93" s="214">
        <v>0</v>
      </c>
      <c r="AR93" s="215">
        <v>0</v>
      </c>
      <c r="AS93" s="215">
        <v>0</v>
      </c>
      <c r="AT93" s="215">
        <v>0</v>
      </c>
      <c r="AU93" s="214">
        <v>0</v>
      </c>
      <c r="AV93" s="215">
        <v>0</v>
      </c>
      <c r="AW93" s="215">
        <v>0</v>
      </c>
      <c r="AX93" s="216">
        <v>0</v>
      </c>
    </row>
    <row r="94" spans="1:50" ht="11.25" customHeight="1" x14ac:dyDescent="0.25">
      <c r="A94" s="85" t="s">
        <v>30</v>
      </c>
      <c r="B94" s="2"/>
      <c r="C94" s="18">
        <f t="shared" ref="C94:AX94" si="35">C95-SUM(C89:C93)</f>
        <v>0</v>
      </c>
      <c r="D94" s="19">
        <f t="shared" si="35"/>
        <v>0</v>
      </c>
      <c r="E94" s="19">
        <f t="shared" si="35"/>
        <v>0</v>
      </c>
      <c r="F94" s="20">
        <f t="shared" si="35"/>
        <v>0</v>
      </c>
      <c r="G94" s="18">
        <f t="shared" si="35"/>
        <v>0</v>
      </c>
      <c r="H94" s="19">
        <f t="shared" si="35"/>
        <v>0</v>
      </c>
      <c r="I94" s="19">
        <f t="shared" si="35"/>
        <v>0</v>
      </c>
      <c r="J94" s="20">
        <f t="shared" si="35"/>
        <v>0</v>
      </c>
      <c r="K94" s="18">
        <f t="shared" si="35"/>
        <v>0</v>
      </c>
      <c r="L94" s="19">
        <f t="shared" si="35"/>
        <v>0</v>
      </c>
      <c r="M94" s="19">
        <f t="shared" si="35"/>
        <v>0</v>
      </c>
      <c r="N94" s="20">
        <f t="shared" si="35"/>
        <v>0</v>
      </c>
      <c r="O94" s="18">
        <f t="shared" si="35"/>
        <v>0</v>
      </c>
      <c r="P94" s="19">
        <f t="shared" si="35"/>
        <v>0</v>
      </c>
      <c r="Q94" s="19">
        <f t="shared" si="35"/>
        <v>0</v>
      </c>
      <c r="R94" s="20">
        <f t="shared" si="35"/>
        <v>0</v>
      </c>
      <c r="S94" s="18">
        <f t="shared" si="35"/>
        <v>0</v>
      </c>
      <c r="T94" s="19">
        <f t="shared" si="35"/>
        <v>0</v>
      </c>
      <c r="U94" s="19">
        <f t="shared" si="35"/>
        <v>0</v>
      </c>
      <c r="V94" s="20">
        <f t="shared" si="35"/>
        <v>0</v>
      </c>
      <c r="W94" s="18">
        <f t="shared" si="35"/>
        <v>0</v>
      </c>
      <c r="X94" s="19">
        <f t="shared" si="35"/>
        <v>0</v>
      </c>
      <c r="Y94" s="19">
        <f t="shared" si="35"/>
        <v>0</v>
      </c>
      <c r="Z94" s="20">
        <f t="shared" si="35"/>
        <v>0</v>
      </c>
      <c r="AA94" s="18">
        <f t="shared" si="35"/>
        <v>0</v>
      </c>
      <c r="AB94" s="19">
        <f t="shared" si="35"/>
        <v>0</v>
      </c>
      <c r="AC94" s="19">
        <f t="shared" si="35"/>
        <v>0</v>
      </c>
      <c r="AD94" s="20">
        <f t="shared" si="35"/>
        <v>0</v>
      </c>
      <c r="AE94" s="18">
        <f t="shared" si="35"/>
        <v>0</v>
      </c>
      <c r="AF94" s="19">
        <f t="shared" si="35"/>
        <v>0</v>
      </c>
      <c r="AG94" s="19">
        <f t="shared" si="35"/>
        <v>0</v>
      </c>
      <c r="AH94" s="20">
        <f t="shared" si="35"/>
        <v>0</v>
      </c>
      <c r="AI94" s="18">
        <f t="shared" si="35"/>
        <v>0</v>
      </c>
      <c r="AJ94" s="19">
        <f t="shared" si="35"/>
        <v>0</v>
      </c>
      <c r="AK94" s="19">
        <f t="shared" si="35"/>
        <v>0</v>
      </c>
      <c r="AL94" s="20">
        <f t="shared" si="35"/>
        <v>0</v>
      </c>
      <c r="AM94" s="18">
        <f t="shared" si="35"/>
        <v>0</v>
      </c>
      <c r="AN94" s="19">
        <f t="shared" si="35"/>
        <v>0</v>
      </c>
      <c r="AO94" s="19">
        <f t="shared" si="35"/>
        <v>0</v>
      </c>
      <c r="AP94" s="20">
        <f t="shared" si="35"/>
        <v>0</v>
      </c>
      <c r="AQ94" s="18">
        <f t="shared" si="35"/>
        <v>0</v>
      </c>
      <c r="AR94" s="19">
        <f t="shared" si="35"/>
        <v>0</v>
      </c>
      <c r="AS94" s="19">
        <f t="shared" si="35"/>
        <v>0</v>
      </c>
      <c r="AT94" s="20">
        <f t="shared" si="35"/>
        <v>0</v>
      </c>
      <c r="AU94" s="18">
        <f t="shared" si="35"/>
        <v>0</v>
      </c>
      <c r="AV94" s="19">
        <f t="shared" si="35"/>
        <v>0</v>
      </c>
      <c r="AW94" s="19">
        <f t="shared" si="35"/>
        <v>0</v>
      </c>
      <c r="AX94" s="20">
        <f t="shared" si="35"/>
        <v>0</v>
      </c>
    </row>
    <row r="95" spans="1:50" ht="11.25" customHeight="1" x14ac:dyDescent="0.2">
      <c r="A95" s="6" t="s">
        <v>90</v>
      </c>
      <c r="B95" s="2"/>
      <c r="C95" s="229">
        <v>0</v>
      </c>
      <c r="D95" s="230">
        <v>0</v>
      </c>
      <c r="E95" s="230">
        <v>0</v>
      </c>
      <c r="F95" s="230">
        <v>0</v>
      </c>
      <c r="G95" s="229">
        <v>0</v>
      </c>
      <c r="H95" s="230">
        <v>0</v>
      </c>
      <c r="I95" s="230">
        <v>0</v>
      </c>
      <c r="J95" s="230">
        <v>0</v>
      </c>
      <c r="K95" s="229">
        <v>0</v>
      </c>
      <c r="L95" s="230">
        <v>0</v>
      </c>
      <c r="M95" s="230">
        <v>0</v>
      </c>
      <c r="N95" s="230">
        <v>0</v>
      </c>
      <c r="O95" s="229">
        <v>0</v>
      </c>
      <c r="P95" s="230">
        <v>0</v>
      </c>
      <c r="Q95" s="230">
        <v>0</v>
      </c>
      <c r="R95" s="230">
        <v>0</v>
      </c>
      <c r="S95" s="229">
        <v>0</v>
      </c>
      <c r="T95" s="230">
        <v>0</v>
      </c>
      <c r="U95" s="230">
        <v>0</v>
      </c>
      <c r="V95" s="230">
        <v>0</v>
      </c>
      <c r="W95" s="229">
        <v>0</v>
      </c>
      <c r="X95" s="230">
        <v>0</v>
      </c>
      <c r="Y95" s="230">
        <v>0</v>
      </c>
      <c r="Z95" s="230">
        <v>0</v>
      </c>
      <c r="AA95" s="229">
        <v>0</v>
      </c>
      <c r="AB95" s="230">
        <v>0</v>
      </c>
      <c r="AC95" s="230">
        <v>0</v>
      </c>
      <c r="AD95" s="231">
        <v>0</v>
      </c>
      <c r="AE95" s="229">
        <v>0</v>
      </c>
      <c r="AF95" s="230">
        <v>0</v>
      </c>
      <c r="AG95" s="230">
        <v>0</v>
      </c>
      <c r="AH95" s="230">
        <v>0</v>
      </c>
      <c r="AI95" s="229">
        <v>0</v>
      </c>
      <c r="AJ95" s="232">
        <v>0</v>
      </c>
      <c r="AK95" s="232">
        <v>0</v>
      </c>
      <c r="AL95" s="230">
        <v>0</v>
      </c>
      <c r="AM95" s="229">
        <v>0</v>
      </c>
      <c r="AN95" s="230">
        <v>0</v>
      </c>
      <c r="AO95" s="230">
        <v>0</v>
      </c>
      <c r="AP95" s="231">
        <v>0</v>
      </c>
      <c r="AQ95" s="229">
        <v>0</v>
      </c>
      <c r="AR95" s="230">
        <v>0</v>
      </c>
      <c r="AS95" s="230">
        <v>0</v>
      </c>
      <c r="AT95" s="231">
        <v>0</v>
      </c>
      <c r="AU95" s="229">
        <v>0</v>
      </c>
      <c r="AV95" s="230">
        <v>0</v>
      </c>
      <c r="AW95" s="230">
        <v>0</v>
      </c>
      <c r="AX95" s="231">
        <v>0</v>
      </c>
    </row>
    <row r="96" spans="1:50" ht="11.25" customHeight="1" x14ac:dyDescent="0.2">
      <c r="A96" s="6"/>
      <c r="B96" s="2"/>
      <c r="C96" s="21"/>
      <c r="D96" s="45"/>
      <c r="E96" s="45"/>
      <c r="F96" s="45"/>
      <c r="G96" s="21"/>
      <c r="H96" s="45"/>
      <c r="I96" s="45"/>
      <c r="J96" s="45"/>
      <c r="K96" s="21"/>
      <c r="L96" s="45"/>
      <c r="M96" s="45"/>
      <c r="N96" s="45"/>
      <c r="O96" s="21"/>
      <c r="P96" s="45"/>
      <c r="Q96" s="45"/>
      <c r="R96" s="45"/>
      <c r="S96" s="21"/>
      <c r="T96" s="45"/>
      <c r="U96" s="45"/>
      <c r="V96" s="45"/>
      <c r="W96" s="21"/>
      <c r="X96" s="45"/>
      <c r="Y96" s="45"/>
      <c r="Z96" s="45"/>
      <c r="AA96" s="21"/>
      <c r="AB96" s="45"/>
      <c r="AC96" s="45"/>
      <c r="AD96" s="46"/>
      <c r="AE96" s="21"/>
      <c r="AF96" s="45"/>
      <c r="AG96" s="45"/>
      <c r="AH96" s="45"/>
      <c r="AI96" s="21"/>
      <c r="AJ96" s="86"/>
      <c r="AK96" s="86"/>
      <c r="AL96" s="46"/>
      <c r="AM96" s="21"/>
      <c r="AN96" s="86"/>
      <c r="AO96" s="86"/>
      <c r="AP96" s="46"/>
      <c r="AQ96" s="21"/>
      <c r="AR96" s="86"/>
      <c r="AS96" s="86"/>
      <c r="AT96" s="46"/>
      <c r="AU96" s="21"/>
      <c r="AV96" s="86"/>
      <c r="AW96" s="86"/>
      <c r="AX96" s="46"/>
    </row>
    <row r="97" spans="1:50" ht="11.25" customHeight="1" x14ac:dyDescent="0.2">
      <c r="A97" s="6" t="s">
        <v>56</v>
      </c>
      <c r="B97" s="2"/>
      <c r="C97" s="21"/>
      <c r="D97" s="45"/>
      <c r="E97" s="45"/>
      <c r="F97" s="45"/>
      <c r="G97" s="21"/>
      <c r="H97" s="45"/>
      <c r="I97" s="45"/>
      <c r="J97" s="45"/>
      <c r="K97" s="21"/>
      <c r="L97" s="45"/>
      <c r="M97" s="45"/>
      <c r="N97" s="45"/>
      <c r="O97" s="21"/>
      <c r="P97" s="45"/>
      <c r="Q97" s="45"/>
      <c r="R97" s="45"/>
      <c r="S97" s="21"/>
      <c r="T97" s="45"/>
      <c r="U97" s="45"/>
      <c r="V97" s="45"/>
      <c r="W97" s="21"/>
      <c r="X97" s="45"/>
      <c r="Y97" s="45"/>
      <c r="Z97" s="45"/>
      <c r="AA97" s="21"/>
      <c r="AB97" s="45"/>
      <c r="AC97" s="45"/>
      <c r="AD97" s="46"/>
      <c r="AE97" s="21"/>
      <c r="AF97" s="45"/>
      <c r="AG97" s="45"/>
      <c r="AH97" s="45"/>
      <c r="AI97" s="21"/>
      <c r="AJ97" s="86"/>
      <c r="AK97" s="86"/>
      <c r="AL97" s="46"/>
      <c r="AM97" s="21"/>
      <c r="AN97" s="86"/>
      <c r="AO97" s="86"/>
      <c r="AP97" s="46"/>
      <c r="AQ97" s="21"/>
      <c r="AR97" s="86"/>
      <c r="AS97" s="86"/>
      <c r="AT97" s="46"/>
      <c r="AU97" s="21"/>
      <c r="AV97" s="86"/>
      <c r="AW97" s="86"/>
      <c r="AX97" s="46"/>
    </row>
    <row r="98" spans="1:50" ht="11.25" customHeight="1" x14ac:dyDescent="0.2">
      <c r="A98" s="85" t="s">
        <v>57</v>
      </c>
      <c r="B98" s="2"/>
      <c r="C98" s="214">
        <v>0</v>
      </c>
      <c r="D98" s="215">
        <v>0</v>
      </c>
      <c r="E98" s="215">
        <v>0</v>
      </c>
      <c r="F98" s="215">
        <v>0</v>
      </c>
      <c r="G98" s="214">
        <v>0</v>
      </c>
      <c r="H98" s="215">
        <v>0</v>
      </c>
      <c r="I98" s="215">
        <v>0</v>
      </c>
      <c r="J98" s="215">
        <v>0</v>
      </c>
      <c r="K98" s="214">
        <v>0</v>
      </c>
      <c r="L98" s="215">
        <v>0</v>
      </c>
      <c r="M98" s="215">
        <v>0</v>
      </c>
      <c r="N98" s="215">
        <v>0</v>
      </c>
      <c r="O98" s="214">
        <v>0</v>
      </c>
      <c r="P98" s="215">
        <v>0</v>
      </c>
      <c r="Q98" s="215">
        <v>0</v>
      </c>
      <c r="R98" s="215">
        <v>0</v>
      </c>
      <c r="S98" s="214">
        <v>0</v>
      </c>
      <c r="T98" s="215">
        <v>0</v>
      </c>
      <c r="U98" s="215">
        <v>0</v>
      </c>
      <c r="V98" s="215">
        <v>0</v>
      </c>
      <c r="W98" s="214">
        <v>0</v>
      </c>
      <c r="X98" s="215">
        <v>0</v>
      </c>
      <c r="Y98" s="215">
        <v>0</v>
      </c>
      <c r="Z98" s="215">
        <v>0</v>
      </c>
      <c r="AA98" s="214">
        <v>0</v>
      </c>
      <c r="AB98" s="215">
        <v>0</v>
      </c>
      <c r="AC98" s="215">
        <v>0</v>
      </c>
      <c r="AD98" s="215">
        <v>0</v>
      </c>
      <c r="AE98" s="214">
        <v>0</v>
      </c>
      <c r="AF98" s="215">
        <v>0</v>
      </c>
      <c r="AG98" s="215">
        <v>0</v>
      </c>
      <c r="AH98" s="215">
        <v>0</v>
      </c>
      <c r="AI98" s="214">
        <v>0</v>
      </c>
      <c r="AJ98" s="215">
        <v>0</v>
      </c>
      <c r="AK98" s="215">
        <v>0</v>
      </c>
      <c r="AL98" s="215">
        <v>0</v>
      </c>
      <c r="AM98" s="214">
        <v>0</v>
      </c>
      <c r="AN98" s="215">
        <v>0</v>
      </c>
      <c r="AO98" s="215">
        <v>0</v>
      </c>
      <c r="AP98" s="215">
        <v>0</v>
      </c>
      <c r="AQ98" s="214">
        <v>0</v>
      </c>
      <c r="AR98" s="215">
        <v>0</v>
      </c>
      <c r="AS98" s="215">
        <v>0</v>
      </c>
      <c r="AT98" s="215">
        <v>0</v>
      </c>
      <c r="AU98" s="214">
        <v>0</v>
      </c>
      <c r="AV98" s="215">
        <v>0</v>
      </c>
      <c r="AW98" s="215">
        <v>0</v>
      </c>
      <c r="AX98" s="216">
        <v>0</v>
      </c>
    </row>
    <row r="99" spans="1:50" ht="11.25" customHeight="1" x14ac:dyDescent="0.2">
      <c r="A99" s="85" t="s">
        <v>73</v>
      </c>
      <c r="B99" s="2"/>
      <c r="C99" s="214">
        <v>0</v>
      </c>
      <c r="D99" s="215">
        <v>0</v>
      </c>
      <c r="E99" s="215">
        <v>0</v>
      </c>
      <c r="F99" s="215">
        <v>0</v>
      </c>
      <c r="G99" s="214">
        <v>0</v>
      </c>
      <c r="H99" s="215">
        <v>0</v>
      </c>
      <c r="I99" s="215">
        <v>0</v>
      </c>
      <c r="J99" s="215">
        <v>0</v>
      </c>
      <c r="K99" s="214">
        <v>0</v>
      </c>
      <c r="L99" s="215">
        <v>0</v>
      </c>
      <c r="M99" s="215">
        <v>0</v>
      </c>
      <c r="N99" s="215">
        <v>0</v>
      </c>
      <c r="O99" s="214">
        <v>0</v>
      </c>
      <c r="P99" s="215">
        <v>0</v>
      </c>
      <c r="Q99" s="215">
        <v>0</v>
      </c>
      <c r="R99" s="215">
        <v>0</v>
      </c>
      <c r="S99" s="214">
        <v>0</v>
      </c>
      <c r="T99" s="215">
        <v>0</v>
      </c>
      <c r="U99" s="215">
        <v>0</v>
      </c>
      <c r="V99" s="215">
        <v>0</v>
      </c>
      <c r="W99" s="214">
        <v>0</v>
      </c>
      <c r="X99" s="215">
        <v>0</v>
      </c>
      <c r="Y99" s="215">
        <v>0</v>
      </c>
      <c r="Z99" s="215">
        <v>0</v>
      </c>
      <c r="AA99" s="214">
        <v>0</v>
      </c>
      <c r="AB99" s="215">
        <v>0</v>
      </c>
      <c r="AC99" s="215">
        <v>0</v>
      </c>
      <c r="AD99" s="215">
        <v>0</v>
      </c>
      <c r="AE99" s="214">
        <v>0</v>
      </c>
      <c r="AF99" s="215">
        <v>0</v>
      </c>
      <c r="AG99" s="215">
        <v>0</v>
      </c>
      <c r="AH99" s="215">
        <v>0</v>
      </c>
      <c r="AI99" s="214">
        <v>0</v>
      </c>
      <c r="AJ99" s="215">
        <v>0</v>
      </c>
      <c r="AK99" s="215">
        <v>0</v>
      </c>
      <c r="AL99" s="215">
        <v>0</v>
      </c>
      <c r="AM99" s="214">
        <v>0</v>
      </c>
      <c r="AN99" s="215">
        <v>0</v>
      </c>
      <c r="AO99" s="215">
        <v>0</v>
      </c>
      <c r="AP99" s="215">
        <v>0</v>
      </c>
      <c r="AQ99" s="214">
        <v>0</v>
      </c>
      <c r="AR99" s="215">
        <v>0</v>
      </c>
      <c r="AS99" s="215">
        <v>0</v>
      </c>
      <c r="AT99" s="215">
        <v>0</v>
      </c>
      <c r="AU99" s="214">
        <v>0</v>
      </c>
      <c r="AV99" s="215">
        <v>0</v>
      </c>
      <c r="AW99" s="215">
        <v>0</v>
      </c>
      <c r="AX99" s="216">
        <v>0</v>
      </c>
    </row>
    <row r="100" spans="1:50" ht="11.25" customHeight="1" x14ac:dyDescent="0.2">
      <c r="A100" s="85" t="s">
        <v>106</v>
      </c>
      <c r="B100" s="2"/>
      <c r="C100" s="214">
        <v>0</v>
      </c>
      <c r="D100" s="215">
        <v>0</v>
      </c>
      <c r="E100" s="215">
        <v>0</v>
      </c>
      <c r="F100" s="215">
        <v>0</v>
      </c>
      <c r="G100" s="214">
        <v>0</v>
      </c>
      <c r="H100" s="215">
        <v>0</v>
      </c>
      <c r="I100" s="215">
        <v>0</v>
      </c>
      <c r="J100" s="215">
        <v>0</v>
      </c>
      <c r="K100" s="214">
        <v>0</v>
      </c>
      <c r="L100" s="215">
        <v>0</v>
      </c>
      <c r="M100" s="215">
        <v>0</v>
      </c>
      <c r="N100" s="215">
        <v>0</v>
      </c>
      <c r="O100" s="214">
        <v>0</v>
      </c>
      <c r="P100" s="215">
        <v>0</v>
      </c>
      <c r="Q100" s="215">
        <v>0</v>
      </c>
      <c r="R100" s="215">
        <v>0</v>
      </c>
      <c r="S100" s="214">
        <v>0</v>
      </c>
      <c r="T100" s="215">
        <v>0</v>
      </c>
      <c r="U100" s="215">
        <v>0</v>
      </c>
      <c r="V100" s="215">
        <v>0</v>
      </c>
      <c r="W100" s="214">
        <v>0</v>
      </c>
      <c r="X100" s="215">
        <v>0</v>
      </c>
      <c r="Y100" s="215">
        <v>0</v>
      </c>
      <c r="Z100" s="215">
        <v>0</v>
      </c>
      <c r="AA100" s="214">
        <v>0</v>
      </c>
      <c r="AB100" s="215">
        <v>0</v>
      </c>
      <c r="AC100" s="215">
        <v>0</v>
      </c>
      <c r="AD100" s="215">
        <v>0</v>
      </c>
      <c r="AE100" s="214">
        <v>0</v>
      </c>
      <c r="AF100" s="215">
        <v>0</v>
      </c>
      <c r="AG100" s="215">
        <v>0</v>
      </c>
      <c r="AH100" s="215">
        <v>0</v>
      </c>
      <c r="AI100" s="214">
        <v>0</v>
      </c>
      <c r="AJ100" s="215">
        <v>0</v>
      </c>
      <c r="AK100" s="215">
        <v>0</v>
      </c>
      <c r="AL100" s="215">
        <v>0</v>
      </c>
      <c r="AM100" s="214">
        <v>0</v>
      </c>
      <c r="AN100" s="215">
        <v>0</v>
      </c>
      <c r="AO100" s="215">
        <v>0</v>
      </c>
      <c r="AP100" s="215">
        <v>0</v>
      </c>
      <c r="AQ100" s="214">
        <v>0</v>
      </c>
      <c r="AR100" s="215">
        <v>0</v>
      </c>
      <c r="AS100" s="215">
        <v>0</v>
      </c>
      <c r="AT100" s="215">
        <v>0</v>
      </c>
      <c r="AU100" s="214">
        <v>0</v>
      </c>
      <c r="AV100" s="215">
        <v>0</v>
      </c>
      <c r="AW100" s="215">
        <v>0</v>
      </c>
      <c r="AX100" s="216">
        <v>0</v>
      </c>
    </row>
    <row r="101" spans="1:50" s="94" customFormat="1" ht="11.25" customHeight="1" x14ac:dyDescent="0.2">
      <c r="A101" s="92" t="s">
        <v>58</v>
      </c>
      <c r="B101" s="93"/>
      <c r="C101" s="214">
        <v>0</v>
      </c>
      <c r="D101" s="215">
        <v>0</v>
      </c>
      <c r="E101" s="215">
        <v>0</v>
      </c>
      <c r="F101" s="215">
        <v>0</v>
      </c>
      <c r="G101" s="214">
        <v>0</v>
      </c>
      <c r="H101" s="215">
        <v>0</v>
      </c>
      <c r="I101" s="215">
        <v>0</v>
      </c>
      <c r="J101" s="215">
        <v>0</v>
      </c>
      <c r="K101" s="214">
        <v>0</v>
      </c>
      <c r="L101" s="215">
        <v>0</v>
      </c>
      <c r="M101" s="215">
        <v>0</v>
      </c>
      <c r="N101" s="215">
        <v>0</v>
      </c>
      <c r="O101" s="214">
        <v>0</v>
      </c>
      <c r="P101" s="215">
        <v>0</v>
      </c>
      <c r="Q101" s="215">
        <v>0</v>
      </c>
      <c r="R101" s="215">
        <v>0</v>
      </c>
      <c r="S101" s="214">
        <v>0</v>
      </c>
      <c r="T101" s="215">
        <v>0</v>
      </c>
      <c r="U101" s="215">
        <v>0</v>
      </c>
      <c r="V101" s="215">
        <v>0</v>
      </c>
      <c r="W101" s="214">
        <v>0</v>
      </c>
      <c r="X101" s="215">
        <v>0</v>
      </c>
      <c r="Y101" s="215">
        <v>0</v>
      </c>
      <c r="Z101" s="215">
        <v>0</v>
      </c>
      <c r="AA101" s="214">
        <v>0</v>
      </c>
      <c r="AB101" s="215">
        <v>0</v>
      </c>
      <c r="AC101" s="215">
        <v>0</v>
      </c>
      <c r="AD101" s="215">
        <v>0</v>
      </c>
      <c r="AE101" s="214">
        <v>0</v>
      </c>
      <c r="AF101" s="215">
        <v>0</v>
      </c>
      <c r="AG101" s="215">
        <v>0</v>
      </c>
      <c r="AH101" s="215">
        <v>0</v>
      </c>
      <c r="AI101" s="214">
        <v>0</v>
      </c>
      <c r="AJ101" s="215">
        <v>0</v>
      </c>
      <c r="AK101" s="215">
        <v>0</v>
      </c>
      <c r="AL101" s="215">
        <v>0</v>
      </c>
      <c r="AM101" s="214">
        <v>0</v>
      </c>
      <c r="AN101" s="215">
        <v>0</v>
      </c>
      <c r="AO101" s="215">
        <v>0</v>
      </c>
      <c r="AP101" s="215">
        <v>0</v>
      </c>
      <c r="AQ101" s="214">
        <v>0</v>
      </c>
      <c r="AR101" s="215">
        <v>0</v>
      </c>
      <c r="AS101" s="215">
        <v>0</v>
      </c>
      <c r="AT101" s="215">
        <v>0</v>
      </c>
      <c r="AU101" s="214">
        <v>0</v>
      </c>
      <c r="AV101" s="215">
        <v>0</v>
      </c>
      <c r="AW101" s="215">
        <v>0</v>
      </c>
      <c r="AX101" s="216">
        <v>0</v>
      </c>
    </row>
    <row r="102" spans="1:50" s="94" customFormat="1" ht="11.25" customHeight="1" x14ac:dyDescent="0.2">
      <c r="A102" s="92" t="s">
        <v>110</v>
      </c>
      <c r="B102" s="93"/>
      <c r="C102" s="214">
        <v>0</v>
      </c>
      <c r="D102" s="215">
        <v>0</v>
      </c>
      <c r="E102" s="215">
        <v>0</v>
      </c>
      <c r="F102" s="215">
        <v>0</v>
      </c>
      <c r="G102" s="214">
        <v>0</v>
      </c>
      <c r="H102" s="215">
        <v>0</v>
      </c>
      <c r="I102" s="215">
        <v>0</v>
      </c>
      <c r="J102" s="215">
        <v>0</v>
      </c>
      <c r="K102" s="214">
        <v>0</v>
      </c>
      <c r="L102" s="215">
        <v>0</v>
      </c>
      <c r="M102" s="215">
        <v>0</v>
      </c>
      <c r="N102" s="215">
        <v>0</v>
      </c>
      <c r="O102" s="214">
        <v>0</v>
      </c>
      <c r="P102" s="215">
        <v>0</v>
      </c>
      <c r="Q102" s="215">
        <v>0</v>
      </c>
      <c r="R102" s="215">
        <v>0</v>
      </c>
      <c r="S102" s="214">
        <v>0</v>
      </c>
      <c r="T102" s="215">
        <v>0</v>
      </c>
      <c r="U102" s="215">
        <v>0</v>
      </c>
      <c r="V102" s="215">
        <v>0</v>
      </c>
      <c r="W102" s="214">
        <v>0</v>
      </c>
      <c r="X102" s="215">
        <v>0</v>
      </c>
      <c r="Y102" s="215">
        <v>0</v>
      </c>
      <c r="Z102" s="215">
        <v>0</v>
      </c>
      <c r="AA102" s="214">
        <v>0</v>
      </c>
      <c r="AB102" s="215">
        <v>0</v>
      </c>
      <c r="AC102" s="215">
        <v>0</v>
      </c>
      <c r="AD102" s="215">
        <v>0</v>
      </c>
      <c r="AE102" s="214">
        <v>0</v>
      </c>
      <c r="AF102" s="215">
        <v>0</v>
      </c>
      <c r="AG102" s="215">
        <v>0</v>
      </c>
      <c r="AH102" s="215">
        <v>0</v>
      </c>
      <c r="AI102" s="214">
        <v>0</v>
      </c>
      <c r="AJ102" s="215">
        <v>0</v>
      </c>
      <c r="AK102" s="215">
        <v>0</v>
      </c>
      <c r="AL102" s="215">
        <v>0</v>
      </c>
      <c r="AM102" s="214">
        <v>0</v>
      </c>
      <c r="AN102" s="215">
        <v>0</v>
      </c>
      <c r="AO102" s="215">
        <v>0</v>
      </c>
      <c r="AP102" s="215">
        <v>0</v>
      </c>
      <c r="AQ102" s="214">
        <v>0</v>
      </c>
      <c r="AR102" s="215">
        <v>0</v>
      </c>
      <c r="AS102" s="215">
        <v>0</v>
      </c>
      <c r="AT102" s="215">
        <v>0</v>
      </c>
      <c r="AU102" s="214">
        <v>0</v>
      </c>
      <c r="AV102" s="215">
        <v>0</v>
      </c>
      <c r="AW102" s="215">
        <v>0</v>
      </c>
      <c r="AX102" s="216">
        <v>0</v>
      </c>
    </row>
    <row r="103" spans="1:50" ht="11.25" customHeight="1" x14ac:dyDescent="0.25">
      <c r="A103" s="85" t="s">
        <v>30</v>
      </c>
      <c r="B103" s="2"/>
      <c r="C103" s="18">
        <f t="shared" ref="C103:AX103" si="36">C104-SUM(C98:C102)</f>
        <v>0</v>
      </c>
      <c r="D103" s="19">
        <f t="shared" si="36"/>
        <v>0</v>
      </c>
      <c r="E103" s="19">
        <f t="shared" si="36"/>
        <v>0</v>
      </c>
      <c r="F103" s="20">
        <f t="shared" si="36"/>
        <v>0</v>
      </c>
      <c r="G103" s="18">
        <f t="shared" si="36"/>
        <v>0</v>
      </c>
      <c r="H103" s="19">
        <f t="shared" si="36"/>
        <v>0</v>
      </c>
      <c r="I103" s="19">
        <f t="shared" si="36"/>
        <v>0</v>
      </c>
      <c r="J103" s="20">
        <f t="shared" si="36"/>
        <v>0</v>
      </c>
      <c r="K103" s="18">
        <f t="shared" si="36"/>
        <v>0</v>
      </c>
      <c r="L103" s="19">
        <f t="shared" si="36"/>
        <v>0</v>
      </c>
      <c r="M103" s="19">
        <f t="shared" si="36"/>
        <v>0</v>
      </c>
      <c r="N103" s="20">
        <f t="shared" si="36"/>
        <v>0</v>
      </c>
      <c r="O103" s="18">
        <f t="shared" si="36"/>
        <v>0</v>
      </c>
      <c r="P103" s="19">
        <f t="shared" si="36"/>
        <v>0</v>
      </c>
      <c r="Q103" s="19">
        <f t="shared" si="36"/>
        <v>0</v>
      </c>
      <c r="R103" s="20">
        <f t="shared" si="36"/>
        <v>0</v>
      </c>
      <c r="S103" s="18">
        <f t="shared" si="36"/>
        <v>0</v>
      </c>
      <c r="T103" s="19">
        <f t="shared" si="36"/>
        <v>0</v>
      </c>
      <c r="U103" s="19">
        <f t="shared" si="36"/>
        <v>0</v>
      </c>
      <c r="V103" s="20">
        <f t="shared" si="36"/>
        <v>0</v>
      </c>
      <c r="W103" s="18">
        <f t="shared" si="36"/>
        <v>0</v>
      </c>
      <c r="X103" s="19">
        <f t="shared" si="36"/>
        <v>0</v>
      </c>
      <c r="Y103" s="19">
        <f t="shared" si="36"/>
        <v>0</v>
      </c>
      <c r="Z103" s="20">
        <f t="shared" si="36"/>
        <v>0</v>
      </c>
      <c r="AA103" s="18">
        <f t="shared" si="36"/>
        <v>0</v>
      </c>
      <c r="AB103" s="19">
        <f t="shared" si="36"/>
        <v>0</v>
      </c>
      <c r="AC103" s="19">
        <f t="shared" si="36"/>
        <v>0</v>
      </c>
      <c r="AD103" s="20">
        <f t="shared" si="36"/>
        <v>0</v>
      </c>
      <c r="AE103" s="18">
        <f t="shared" si="36"/>
        <v>0</v>
      </c>
      <c r="AF103" s="19">
        <f t="shared" si="36"/>
        <v>0</v>
      </c>
      <c r="AG103" s="19">
        <f t="shared" si="36"/>
        <v>0</v>
      </c>
      <c r="AH103" s="20">
        <f t="shared" si="36"/>
        <v>0</v>
      </c>
      <c r="AI103" s="18">
        <f t="shared" si="36"/>
        <v>0</v>
      </c>
      <c r="AJ103" s="19">
        <f t="shared" si="36"/>
        <v>0</v>
      </c>
      <c r="AK103" s="19">
        <f t="shared" si="36"/>
        <v>0</v>
      </c>
      <c r="AL103" s="20">
        <f t="shared" si="36"/>
        <v>0</v>
      </c>
      <c r="AM103" s="18">
        <f t="shared" si="36"/>
        <v>0</v>
      </c>
      <c r="AN103" s="19">
        <f t="shared" si="36"/>
        <v>0</v>
      </c>
      <c r="AO103" s="19">
        <f t="shared" si="36"/>
        <v>0</v>
      </c>
      <c r="AP103" s="20">
        <f t="shared" si="36"/>
        <v>0</v>
      </c>
      <c r="AQ103" s="18">
        <f t="shared" si="36"/>
        <v>0</v>
      </c>
      <c r="AR103" s="19">
        <f t="shared" si="36"/>
        <v>0</v>
      </c>
      <c r="AS103" s="19">
        <f t="shared" si="36"/>
        <v>0</v>
      </c>
      <c r="AT103" s="20">
        <f t="shared" si="36"/>
        <v>0</v>
      </c>
      <c r="AU103" s="18">
        <f t="shared" si="36"/>
        <v>0</v>
      </c>
      <c r="AV103" s="19">
        <f t="shared" si="36"/>
        <v>0</v>
      </c>
      <c r="AW103" s="19">
        <f t="shared" si="36"/>
        <v>0</v>
      </c>
      <c r="AX103" s="20">
        <f t="shared" si="36"/>
        <v>0</v>
      </c>
    </row>
    <row r="104" spans="1:50" ht="11.25" customHeight="1" x14ac:dyDescent="0.2">
      <c r="A104" s="6" t="s">
        <v>91</v>
      </c>
      <c r="B104" s="2"/>
      <c r="C104" s="229">
        <v>0</v>
      </c>
      <c r="D104" s="230">
        <v>0</v>
      </c>
      <c r="E104" s="230">
        <v>0</v>
      </c>
      <c r="F104" s="230">
        <v>0</v>
      </c>
      <c r="G104" s="229">
        <v>0</v>
      </c>
      <c r="H104" s="230">
        <v>0</v>
      </c>
      <c r="I104" s="230">
        <v>0</v>
      </c>
      <c r="J104" s="230">
        <v>0</v>
      </c>
      <c r="K104" s="229">
        <v>0</v>
      </c>
      <c r="L104" s="230">
        <v>0</v>
      </c>
      <c r="M104" s="230">
        <v>0</v>
      </c>
      <c r="N104" s="230">
        <v>0</v>
      </c>
      <c r="O104" s="229">
        <v>0</v>
      </c>
      <c r="P104" s="230">
        <v>0</v>
      </c>
      <c r="Q104" s="230">
        <v>0</v>
      </c>
      <c r="R104" s="230">
        <v>0</v>
      </c>
      <c r="S104" s="229">
        <v>0</v>
      </c>
      <c r="T104" s="230">
        <v>0</v>
      </c>
      <c r="U104" s="230">
        <v>0</v>
      </c>
      <c r="V104" s="230">
        <v>0</v>
      </c>
      <c r="W104" s="229">
        <v>0</v>
      </c>
      <c r="X104" s="230">
        <v>0</v>
      </c>
      <c r="Y104" s="230">
        <v>0</v>
      </c>
      <c r="Z104" s="230">
        <v>0</v>
      </c>
      <c r="AA104" s="229">
        <v>0</v>
      </c>
      <c r="AB104" s="230">
        <v>0</v>
      </c>
      <c r="AC104" s="230">
        <v>0</v>
      </c>
      <c r="AD104" s="231">
        <v>0</v>
      </c>
      <c r="AE104" s="229">
        <v>0</v>
      </c>
      <c r="AF104" s="230">
        <v>0</v>
      </c>
      <c r="AG104" s="230">
        <v>0</v>
      </c>
      <c r="AH104" s="230">
        <v>0</v>
      </c>
      <c r="AI104" s="229">
        <v>0</v>
      </c>
      <c r="AJ104" s="232">
        <v>0</v>
      </c>
      <c r="AK104" s="232">
        <v>0</v>
      </c>
      <c r="AL104" s="230">
        <v>0</v>
      </c>
      <c r="AM104" s="229">
        <v>0</v>
      </c>
      <c r="AN104" s="230">
        <v>0</v>
      </c>
      <c r="AO104" s="230">
        <v>0</v>
      </c>
      <c r="AP104" s="231">
        <v>0</v>
      </c>
      <c r="AQ104" s="229">
        <v>0</v>
      </c>
      <c r="AR104" s="230">
        <v>0</v>
      </c>
      <c r="AS104" s="230">
        <v>0</v>
      </c>
      <c r="AT104" s="231">
        <v>0</v>
      </c>
      <c r="AU104" s="229">
        <v>0</v>
      </c>
      <c r="AV104" s="230">
        <v>0</v>
      </c>
      <c r="AW104" s="230">
        <v>0</v>
      </c>
      <c r="AX104" s="231">
        <v>0</v>
      </c>
    </row>
    <row r="105" spans="1:50" ht="11.25" customHeight="1" x14ac:dyDescent="0.2">
      <c r="A105" s="6"/>
      <c r="B105" s="2"/>
      <c r="C105" s="21"/>
      <c r="D105" s="45"/>
      <c r="E105" s="45"/>
      <c r="F105" s="45"/>
      <c r="G105" s="21"/>
      <c r="H105" s="45"/>
      <c r="I105" s="45"/>
      <c r="J105" s="45"/>
      <c r="K105" s="21"/>
      <c r="L105" s="45"/>
      <c r="M105" s="45"/>
      <c r="N105" s="45"/>
      <c r="O105" s="21"/>
      <c r="P105" s="45"/>
      <c r="Q105" s="45"/>
      <c r="R105" s="45"/>
      <c r="S105" s="21"/>
      <c r="T105" s="45"/>
      <c r="U105" s="45"/>
      <c r="V105" s="45"/>
      <c r="W105" s="21"/>
      <c r="X105" s="45"/>
      <c r="Y105" s="45"/>
      <c r="Z105" s="45"/>
      <c r="AA105" s="21"/>
      <c r="AB105" s="45"/>
      <c r="AC105" s="45"/>
      <c r="AD105" s="46"/>
      <c r="AE105" s="21"/>
      <c r="AF105" s="45"/>
      <c r="AG105" s="45"/>
      <c r="AH105" s="45"/>
      <c r="AI105" s="21"/>
      <c r="AL105" s="46"/>
      <c r="AM105" s="21"/>
      <c r="AP105" s="46"/>
      <c r="AQ105" s="21"/>
      <c r="AT105" s="46"/>
      <c r="AU105" s="21"/>
      <c r="AV105" s="94"/>
      <c r="AW105" s="94"/>
      <c r="AX105" s="46"/>
    </row>
    <row r="106" spans="1:50" ht="11.25" customHeight="1" x14ac:dyDescent="0.25">
      <c r="A106" s="85" t="s">
        <v>59</v>
      </c>
      <c r="B106" s="2"/>
      <c r="C106" s="217">
        <v>0</v>
      </c>
      <c r="D106" s="218">
        <v>0</v>
      </c>
      <c r="E106" s="218">
        <v>0</v>
      </c>
      <c r="F106" s="218">
        <v>0</v>
      </c>
      <c r="G106" s="217">
        <v>0</v>
      </c>
      <c r="H106" s="218">
        <v>0</v>
      </c>
      <c r="I106" s="218">
        <v>0</v>
      </c>
      <c r="J106" s="218">
        <v>0</v>
      </c>
      <c r="K106" s="217">
        <v>0</v>
      </c>
      <c r="L106" s="218">
        <v>0</v>
      </c>
      <c r="M106" s="218">
        <v>0</v>
      </c>
      <c r="N106" s="218">
        <v>0</v>
      </c>
      <c r="O106" s="217">
        <v>0</v>
      </c>
      <c r="P106" s="218">
        <v>0</v>
      </c>
      <c r="Q106" s="218">
        <v>0</v>
      </c>
      <c r="R106" s="218">
        <v>0</v>
      </c>
      <c r="S106" s="217">
        <v>0</v>
      </c>
      <c r="T106" s="218">
        <v>0</v>
      </c>
      <c r="U106" s="218">
        <v>0</v>
      </c>
      <c r="V106" s="218">
        <v>0</v>
      </c>
      <c r="W106" s="217">
        <v>0</v>
      </c>
      <c r="X106" s="218">
        <v>0</v>
      </c>
      <c r="Y106" s="218">
        <v>0</v>
      </c>
      <c r="Z106" s="218">
        <v>0</v>
      </c>
      <c r="AA106" s="217">
        <v>0</v>
      </c>
      <c r="AB106" s="218">
        <v>0</v>
      </c>
      <c r="AC106" s="218">
        <v>0</v>
      </c>
      <c r="AD106" s="218">
        <v>0</v>
      </c>
      <c r="AE106" s="217">
        <v>0</v>
      </c>
      <c r="AF106" s="218">
        <v>0</v>
      </c>
      <c r="AG106" s="218">
        <v>0</v>
      </c>
      <c r="AH106" s="218">
        <v>0</v>
      </c>
      <c r="AI106" s="217">
        <v>0</v>
      </c>
      <c r="AJ106" s="218">
        <v>0</v>
      </c>
      <c r="AK106" s="218">
        <v>0</v>
      </c>
      <c r="AL106" s="218">
        <v>0</v>
      </c>
      <c r="AM106" s="217">
        <v>0</v>
      </c>
      <c r="AN106" s="218">
        <v>0</v>
      </c>
      <c r="AO106" s="218">
        <v>0</v>
      </c>
      <c r="AP106" s="218">
        <v>0</v>
      </c>
      <c r="AQ106" s="217">
        <v>0</v>
      </c>
      <c r="AR106" s="218">
        <v>0</v>
      </c>
      <c r="AS106" s="218">
        <v>0</v>
      </c>
      <c r="AT106" s="218">
        <v>0</v>
      </c>
      <c r="AU106" s="217">
        <v>0</v>
      </c>
      <c r="AV106" s="218">
        <v>0</v>
      </c>
      <c r="AW106" s="218">
        <v>0</v>
      </c>
      <c r="AX106" s="219">
        <v>0</v>
      </c>
    </row>
    <row r="107" spans="1:50" ht="11.25" customHeight="1" x14ac:dyDescent="0.2">
      <c r="A107" s="6" t="s">
        <v>60</v>
      </c>
      <c r="B107" s="2"/>
      <c r="C107" s="21">
        <f t="shared" ref="C107:AX107" si="37">C106+C104+C95+C86</f>
        <v>0</v>
      </c>
      <c r="D107" s="45">
        <f t="shared" si="37"/>
        <v>0</v>
      </c>
      <c r="E107" s="45">
        <f t="shared" si="37"/>
        <v>0</v>
      </c>
      <c r="F107" s="45">
        <f t="shared" si="37"/>
        <v>0</v>
      </c>
      <c r="G107" s="21">
        <f t="shared" si="37"/>
        <v>0</v>
      </c>
      <c r="H107" s="45">
        <f t="shared" si="37"/>
        <v>0</v>
      </c>
      <c r="I107" s="45">
        <f t="shared" si="37"/>
        <v>0</v>
      </c>
      <c r="J107" s="45">
        <f t="shared" si="37"/>
        <v>0</v>
      </c>
      <c r="K107" s="21">
        <f t="shared" si="37"/>
        <v>0</v>
      </c>
      <c r="L107" s="45">
        <f t="shared" si="37"/>
        <v>0</v>
      </c>
      <c r="M107" s="45">
        <f t="shared" si="37"/>
        <v>0</v>
      </c>
      <c r="N107" s="45">
        <f t="shared" si="37"/>
        <v>0</v>
      </c>
      <c r="O107" s="21">
        <f t="shared" si="37"/>
        <v>0</v>
      </c>
      <c r="P107" s="45">
        <f t="shared" si="37"/>
        <v>0</v>
      </c>
      <c r="Q107" s="45">
        <f t="shared" si="37"/>
        <v>0</v>
      </c>
      <c r="R107" s="45">
        <f t="shared" si="37"/>
        <v>0</v>
      </c>
      <c r="S107" s="21">
        <f t="shared" si="37"/>
        <v>0</v>
      </c>
      <c r="T107" s="45">
        <f t="shared" si="37"/>
        <v>0</v>
      </c>
      <c r="U107" s="45">
        <f t="shared" si="37"/>
        <v>0</v>
      </c>
      <c r="V107" s="45">
        <f t="shared" si="37"/>
        <v>0</v>
      </c>
      <c r="W107" s="21">
        <f t="shared" si="37"/>
        <v>0</v>
      </c>
      <c r="X107" s="45">
        <f t="shared" si="37"/>
        <v>0</v>
      </c>
      <c r="Y107" s="45">
        <f t="shared" si="37"/>
        <v>0</v>
      </c>
      <c r="Z107" s="45">
        <f t="shared" si="37"/>
        <v>0</v>
      </c>
      <c r="AA107" s="21">
        <f t="shared" si="37"/>
        <v>0</v>
      </c>
      <c r="AB107" s="45">
        <f t="shared" si="37"/>
        <v>0</v>
      </c>
      <c r="AC107" s="45">
        <f t="shared" si="37"/>
        <v>0</v>
      </c>
      <c r="AD107" s="46">
        <f t="shared" si="37"/>
        <v>0</v>
      </c>
      <c r="AE107" s="21">
        <f t="shared" si="37"/>
        <v>0</v>
      </c>
      <c r="AF107" s="45">
        <f t="shared" si="37"/>
        <v>0</v>
      </c>
      <c r="AG107" s="45">
        <f t="shared" si="37"/>
        <v>0</v>
      </c>
      <c r="AH107" s="45">
        <f t="shared" si="37"/>
        <v>0</v>
      </c>
      <c r="AI107" s="21">
        <f t="shared" si="37"/>
        <v>0</v>
      </c>
      <c r="AJ107" s="86">
        <f t="shared" si="37"/>
        <v>0</v>
      </c>
      <c r="AK107" s="86">
        <f t="shared" si="37"/>
        <v>0</v>
      </c>
      <c r="AL107" s="45">
        <f t="shared" si="37"/>
        <v>0</v>
      </c>
      <c r="AM107" s="21">
        <f t="shared" si="37"/>
        <v>0</v>
      </c>
      <c r="AN107" s="86">
        <f t="shared" si="37"/>
        <v>0</v>
      </c>
      <c r="AO107" s="86">
        <f t="shared" si="37"/>
        <v>0</v>
      </c>
      <c r="AP107" s="45">
        <f t="shared" si="37"/>
        <v>0</v>
      </c>
      <c r="AQ107" s="21">
        <f t="shared" si="37"/>
        <v>0</v>
      </c>
      <c r="AR107" s="86">
        <f t="shared" si="37"/>
        <v>0</v>
      </c>
      <c r="AS107" s="86">
        <f t="shared" si="37"/>
        <v>0</v>
      </c>
      <c r="AT107" s="45">
        <f t="shared" si="37"/>
        <v>0</v>
      </c>
      <c r="AU107" s="21">
        <f t="shared" si="37"/>
        <v>0</v>
      </c>
      <c r="AV107" s="86">
        <f t="shared" si="37"/>
        <v>0</v>
      </c>
      <c r="AW107" s="86">
        <f t="shared" si="37"/>
        <v>0</v>
      </c>
      <c r="AX107" s="46">
        <f t="shared" si="37"/>
        <v>0</v>
      </c>
    </row>
    <row r="108" spans="1:50" ht="11.25" customHeight="1" x14ac:dyDescent="0.2">
      <c r="A108" s="6"/>
      <c r="B108" s="2"/>
      <c r="C108" s="21"/>
      <c r="D108" s="45"/>
      <c r="E108" s="45"/>
      <c r="F108" s="45"/>
      <c r="G108" s="21"/>
      <c r="H108" s="45"/>
      <c r="I108" s="45"/>
      <c r="J108" s="45"/>
      <c r="K108" s="21"/>
      <c r="L108" s="45"/>
      <c r="M108" s="45"/>
      <c r="N108" s="45"/>
      <c r="O108" s="21"/>
      <c r="P108" s="45"/>
      <c r="Q108" s="45"/>
      <c r="R108" s="45"/>
      <c r="S108" s="21"/>
      <c r="T108" s="45"/>
      <c r="U108" s="45"/>
      <c r="V108" s="45"/>
      <c r="W108" s="21"/>
      <c r="X108" s="45"/>
      <c r="Y108" s="45"/>
      <c r="Z108" s="45"/>
      <c r="AA108" s="21"/>
      <c r="AB108" s="45"/>
      <c r="AC108" s="45"/>
      <c r="AD108" s="46"/>
      <c r="AE108" s="21"/>
      <c r="AF108" s="45"/>
      <c r="AG108" s="45"/>
      <c r="AH108" s="45"/>
      <c r="AI108" s="21"/>
      <c r="AJ108" s="86"/>
      <c r="AK108" s="86"/>
      <c r="AL108" s="45"/>
      <c r="AM108" s="21"/>
      <c r="AN108" s="86"/>
      <c r="AO108" s="86"/>
      <c r="AP108" s="45"/>
      <c r="AQ108" s="21"/>
      <c r="AR108" s="86"/>
      <c r="AS108" s="86"/>
      <c r="AT108" s="45"/>
      <c r="AU108" s="21"/>
      <c r="AV108" s="86"/>
      <c r="AW108" s="86"/>
      <c r="AX108" s="46"/>
    </row>
    <row r="109" spans="1:50" ht="11.25" customHeight="1" x14ac:dyDescent="0.2">
      <c r="A109" s="85" t="s">
        <v>61</v>
      </c>
      <c r="B109" s="2"/>
      <c r="C109" s="21">
        <f t="shared" ref="C109:AX109" si="38">B117</f>
        <v>0</v>
      </c>
      <c r="D109" s="45">
        <f t="shared" si="38"/>
        <v>0</v>
      </c>
      <c r="E109" s="45">
        <f t="shared" si="38"/>
        <v>0</v>
      </c>
      <c r="F109" s="45">
        <f t="shared" si="38"/>
        <v>0</v>
      </c>
      <c r="G109" s="21">
        <f t="shared" si="38"/>
        <v>0</v>
      </c>
      <c r="H109" s="45">
        <f t="shared" si="38"/>
        <v>0</v>
      </c>
      <c r="I109" s="45">
        <f t="shared" si="38"/>
        <v>0</v>
      </c>
      <c r="J109" s="45">
        <f t="shared" si="38"/>
        <v>0</v>
      </c>
      <c r="K109" s="21">
        <f t="shared" si="38"/>
        <v>0</v>
      </c>
      <c r="L109" s="45">
        <f t="shared" si="38"/>
        <v>0</v>
      </c>
      <c r="M109" s="45">
        <f t="shared" si="38"/>
        <v>0</v>
      </c>
      <c r="N109" s="45">
        <f t="shared" si="38"/>
        <v>0</v>
      </c>
      <c r="O109" s="21">
        <f t="shared" si="38"/>
        <v>0</v>
      </c>
      <c r="P109" s="45">
        <f t="shared" si="38"/>
        <v>0</v>
      </c>
      <c r="Q109" s="45">
        <f t="shared" si="38"/>
        <v>0</v>
      </c>
      <c r="R109" s="45">
        <f t="shared" si="38"/>
        <v>0</v>
      </c>
      <c r="S109" s="21">
        <f t="shared" si="38"/>
        <v>0</v>
      </c>
      <c r="T109" s="45">
        <f t="shared" si="38"/>
        <v>0</v>
      </c>
      <c r="U109" s="45">
        <f t="shared" si="38"/>
        <v>0</v>
      </c>
      <c r="V109" s="45">
        <f t="shared" si="38"/>
        <v>0</v>
      </c>
      <c r="W109" s="21">
        <f t="shared" si="38"/>
        <v>0</v>
      </c>
      <c r="X109" s="45">
        <f t="shared" si="38"/>
        <v>0</v>
      </c>
      <c r="Y109" s="45">
        <f t="shared" si="38"/>
        <v>0</v>
      </c>
      <c r="Z109" s="45">
        <f t="shared" si="38"/>
        <v>0</v>
      </c>
      <c r="AA109" s="21">
        <f t="shared" si="38"/>
        <v>0</v>
      </c>
      <c r="AB109" s="45">
        <f t="shared" si="38"/>
        <v>0</v>
      </c>
      <c r="AC109" s="45">
        <f t="shared" si="38"/>
        <v>0</v>
      </c>
      <c r="AD109" s="46">
        <f t="shared" si="38"/>
        <v>0</v>
      </c>
      <c r="AE109" s="21">
        <f t="shared" si="38"/>
        <v>0</v>
      </c>
      <c r="AF109" s="45">
        <f t="shared" si="38"/>
        <v>0</v>
      </c>
      <c r="AG109" s="45">
        <f t="shared" si="38"/>
        <v>0</v>
      </c>
      <c r="AH109" s="45">
        <f t="shared" si="38"/>
        <v>0</v>
      </c>
      <c r="AI109" s="21">
        <f t="shared" si="38"/>
        <v>0</v>
      </c>
      <c r="AJ109" s="86">
        <f t="shared" si="38"/>
        <v>0</v>
      </c>
      <c r="AK109" s="86">
        <f t="shared" si="38"/>
        <v>0</v>
      </c>
      <c r="AL109" s="45">
        <f t="shared" si="38"/>
        <v>0</v>
      </c>
      <c r="AM109" s="21">
        <f t="shared" si="38"/>
        <v>0</v>
      </c>
      <c r="AN109" s="86">
        <f t="shared" si="38"/>
        <v>0</v>
      </c>
      <c r="AO109" s="86">
        <f t="shared" si="38"/>
        <v>0</v>
      </c>
      <c r="AP109" s="45">
        <f t="shared" si="38"/>
        <v>0</v>
      </c>
      <c r="AQ109" s="21">
        <f t="shared" si="38"/>
        <v>0</v>
      </c>
      <c r="AR109" s="86">
        <f t="shared" si="38"/>
        <v>0</v>
      </c>
      <c r="AS109" s="86">
        <f t="shared" si="38"/>
        <v>0</v>
      </c>
      <c r="AT109" s="45">
        <f t="shared" si="38"/>
        <v>0</v>
      </c>
      <c r="AU109" s="21">
        <f t="shared" si="38"/>
        <v>0</v>
      </c>
      <c r="AV109" s="86">
        <f t="shared" si="38"/>
        <v>0</v>
      </c>
      <c r="AW109" s="86">
        <f t="shared" si="38"/>
        <v>0</v>
      </c>
      <c r="AX109" s="46">
        <f t="shared" si="38"/>
        <v>0</v>
      </c>
    </row>
    <row r="110" spans="1:50" ht="11.25" customHeight="1" x14ac:dyDescent="0.2">
      <c r="A110" s="85" t="s">
        <v>62</v>
      </c>
      <c r="B110" s="2"/>
      <c r="C110" s="21">
        <f t="shared" ref="C110:AX110" si="39">+C107+C109</f>
        <v>0</v>
      </c>
      <c r="D110" s="45">
        <f t="shared" si="39"/>
        <v>0</v>
      </c>
      <c r="E110" s="45">
        <f t="shared" si="39"/>
        <v>0</v>
      </c>
      <c r="F110" s="45">
        <f t="shared" si="39"/>
        <v>0</v>
      </c>
      <c r="G110" s="21">
        <f t="shared" si="39"/>
        <v>0</v>
      </c>
      <c r="H110" s="45">
        <f t="shared" si="39"/>
        <v>0</v>
      </c>
      <c r="I110" s="45">
        <f t="shared" si="39"/>
        <v>0</v>
      </c>
      <c r="J110" s="45">
        <f t="shared" si="39"/>
        <v>0</v>
      </c>
      <c r="K110" s="21">
        <f t="shared" si="39"/>
        <v>0</v>
      </c>
      <c r="L110" s="45">
        <f t="shared" si="39"/>
        <v>0</v>
      </c>
      <c r="M110" s="45">
        <f t="shared" si="39"/>
        <v>0</v>
      </c>
      <c r="N110" s="45">
        <f t="shared" si="39"/>
        <v>0</v>
      </c>
      <c r="O110" s="21">
        <f t="shared" si="39"/>
        <v>0</v>
      </c>
      <c r="P110" s="45">
        <f t="shared" si="39"/>
        <v>0</v>
      </c>
      <c r="Q110" s="45">
        <f t="shared" si="39"/>
        <v>0</v>
      </c>
      <c r="R110" s="45">
        <f t="shared" si="39"/>
        <v>0</v>
      </c>
      <c r="S110" s="21">
        <f t="shared" si="39"/>
        <v>0</v>
      </c>
      <c r="T110" s="45">
        <f t="shared" si="39"/>
        <v>0</v>
      </c>
      <c r="U110" s="45">
        <f t="shared" si="39"/>
        <v>0</v>
      </c>
      <c r="V110" s="45">
        <f t="shared" si="39"/>
        <v>0</v>
      </c>
      <c r="W110" s="21">
        <f t="shared" si="39"/>
        <v>0</v>
      </c>
      <c r="X110" s="45">
        <f t="shared" si="39"/>
        <v>0</v>
      </c>
      <c r="Y110" s="45">
        <f t="shared" si="39"/>
        <v>0</v>
      </c>
      <c r="Z110" s="45">
        <f t="shared" si="39"/>
        <v>0</v>
      </c>
      <c r="AA110" s="21">
        <f t="shared" si="39"/>
        <v>0</v>
      </c>
      <c r="AB110" s="45">
        <f t="shared" si="39"/>
        <v>0</v>
      </c>
      <c r="AC110" s="45">
        <f t="shared" si="39"/>
        <v>0</v>
      </c>
      <c r="AD110" s="46">
        <f t="shared" si="39"/>
        <v>0</v>
      </c>
      <c r="AE110" s="21">
        <f t="shared" si="39"/>
        <v>0</v>
      </c>
      <c r="AF110" s="45">
        <f t="shared" si="39"/>
        <v>0</v>
      </c>
      <c r="AG110" s="45">
        <f t="shared" si="39"/>
        <v>0</v>
      </c>
      <c r="AH110" s="45">
        <f t="shared" si="39"/>
        <v>0</v>
      </c>
      <c r="AI110" s="21">
        <f t="shared" si="39"/>
        <v>0</v>
      </c>
      <c r="AJ110" s="86">
        <f t="shared" si="39"/>
        <v>0</v>
      </c>
      <c r="AK110" s="86">
        <f t="shared" si="39"/>
        <v>0</v>
      </c>
      <c r="AL110" s="45">
        <f t="shared" si="39"/>
        <v>0</v>
      </c>
      <c r="AM110" s="21">
        <f t="shared" si="39"/>
        <v>0</v>
      </c>
      <c r="AN110" s="86">
        <f t="shared" si="39"/>
        <v>0</v>
      </c>
      <c r="AO110" s="86">
        <f t="shared" si="39"/>
        <v>0</v>
      </c>
      <c r="AP110" s="45">
        <f t="shared" si="39"/>
        <v>0</v>
      </c>
      <c r="AQ110" s="21">
        <f t="shared" si="39"/>
        <v>0</v>
      </c>
      <c r="AR110" s="86">
        <f t="shared" si="39"/>
        <v>0</v>
      </c>
      <c r="AS110" s="86">
        <f t="shared" si="39"/>
        <v>0</v>
      </c>
      <c r="AT110" s="45">
        <f t="shared" si="39"/>
        <v>0</v>
      </c>
      <c r="AU110" s="21">
        <f t="shared" si="39"/>
        <v>0</v>
      </c>
      <c r="AV110" s="86">
        <f t="shared" si="39"/>
        <v>0</v>
      </c>
      <c r="AW110" s="86">
        <f t="shared" si="39"/>
        <v>0</v>
      </c>
      <c r="AX110" s="46">
        <f t="shared" si="39"/>
        <v>0</v>
      </c>
    </row>
    <row r="111" spans="1:50" ht="11.25" customHeight="1" x14ac:dyDescent="0.2">
      <c r="A111" s="85" t="s">
        <v>92</v>
      </c>
      <c r="B111" s="2"/>
      <c r="C111" s="21">
        <f t="shared" ref="C111:AX111" si="40">C110-C117</f>
        <v>0</v>
      </c>
      <c r="D111" s="45">
        <f t="shared" si="40"/>
        <v>0</v>
      </c>
      <c r="E111" s="45">
        <f t="shared" si="40"/>
        <v>0</v>
      </c>
      <c r="F111" s="45">
        <f t="shared" si="40"/>
        <v>0</v>
      </c>
      <c r="G111" s="21">
        <f t="shared" si="40"/>
        <v>0</v>
      </c>
      <c r="H111" s="45">
        <f t="shared" si="40"/>
        <v>0</v>
      </c>
      <c r="I111" s="45">
        <f t="shared" si="40"/>
        <v>0</v>
      </c>
      <c r="J111" s="45">
        <f t="shared" si="40"/>
        <v>0</v>
      </c>
      <c r="K111" s="21">
        <f t="shared" si="40"/>
        <v>0</v>
      </c>
      <c r="L111" s="45">
        <f t="shared" si="40"/>
        <v>0</v>
      </c>
      <c r="M111" s="45">
        <f t="shared" si="40"/>
        <v>0</v>
      </c>
      <c r="N111" s="45">
        <f t="shared" si="40"/>
        <v>0</v>
      </c>
      <c r="O111" s="21">
        <f t="shared" si="40"/>
        <v>0</v>
      </c>
      <c r="P111" s="45">
        <f t="shared" si="40"/>
        <v>0</v>
      </c>
      <c r="Q111" s="45">
        <f t="shared" si="40"/>
        <v>0</v>
      </c>
      <c r="R111" s="45">
        <f t="shared" si="40"/>
        <v>0</v>
      </c>
      <c r="S111" s="21">
        <f t="shared" si="40"/>
        <v>0</v>
      </c>
      <c r="T111" s="45">
        <f t="shared" si="40"/>
        <v>0</v>
      </c>
      <c r="U111" s="45">
        <f t="shared" si="40"/>
        <v>0</v>
      </c>
      <c r="V111" s="45">
        <f t="shared" si="40"/>
        <v>0</v>
      </c>
      <c r="W111" s="21">
        <f t="shared" si="40"/>
        <v>0</v>
      </c>
      <c r="X111" s="45">
        <f t="shared" si="40"/>
        <v>0</v>
      </c>
      <c r="Y111" s="45">
        <f t="shared" si="40"/>
        <v>0</v>
      </c>
      <c r="Z111" s="45">
        <f t="shared" si="40"/>
        <v>0</v>
      </c>
      <c r="AA111" s="21">
        <f t="shared" si="40"/>
        <v>0</v>
      </c>
      <c r="AB111" s="45">
        <f t="shared" si="40"/>
        <v>0</v>
      </c>
      <c r="AC111" s="45">
        <f t="shared" si="40"/>
        <v>0</v>
      </c>
      <c r="AD111" s="46">
        <f t="shared" si="40"/>
        <v>0</v>
      </c>
      <c r="AE111" s="21">
        <f t="shared" si="40"/>
        <v>0</v>
      </c>
      <c r="AF111" s="45">
        <f t="shared" si="40"/>
        <v>0</v>
      </c>
      <c r="AG111" s="45">
        <f t="shared" si="40"/>
        <v>0</v>
      </c>
      <c r="AH111" s="45">
        <f t="shared" si="40"/>
        <v>0</v>
      </c>
      <c r="AI111" s="21">
        <f t="shared" si="40"/>
        <v>0</v>
      </c>
      <c r="AJ111" s="86">
        <f t="shared" si="40"/>
        <v>0</v>
      </c>
      <c r="AK111" s="86">
        <f t="shared" si="40"/>
        <v>0</v>
      </c>
      <c r="AL111" s="45">
        <f t="shared" si="40"/>
        <v>0</v>
      </c>
      <c r="AM111" s="21">
        <f t="shared" si="40"/>
        <v>0</v>
      </c>
      <c r="AN111" s="86">
        <f t="shared" si="40"/>
        <v>0</v>
      </c>
      <c r="AO111" s="86">
        <f t="shared" si="40"/>
        <v>0</v>
      </c>
      <c r="AP111" s="45">
        <f t="shared" si="40"/>
        <v>0</v>
      </c>
      <c r="AQ111" s="21">
        <f t="shared" si="40"/>
        <v>0</v>
      </c>
      <c r="AR111" s="86">
        <f t="shared" si="40"/>
        <v>0</v>
      </c>
      <c r="AS111" s="86">
        <f t="shared" si="40"/>
        <v>0</v>
      </c>
      <c r="AT111" s="45">
        <f t="shared" si="40"/>
        <v>0</v>
      </c>
      <c r="AU111" s="21">
        <f t="shared" si="40"/>
        <v>0</v>
      </c>
      <c r="AV111" s="86">
        <f t="shared" si="40"/>
        <v>0</v>
      </c>
      <c r="AW111" s="86">
        <f t="shared" si="40"/>
        <v>0</v>
      </c>
      <c r="AX111" s="46">
        <f t="shared" si="40"/>
        <v>0</v>
      </c>
    </row>
    <row r="112" spans="1:50" ht="11.25" customHeight="1" x14ac:dyDescent="0.2">
      <c r="A112" s="85"/>
      <c r="B112" s="2"/>
      <c r="C112" s="21"/>
      <c r="D112" s="45"/>
      <c r="E112" s="45"/>
      <c r="F112" s="45"/>
      <c r="G112" s="21"/>
      <c r="H112" s="45"/>
      <c r="I112" s="45"/>
      <c r="J112" s="45"/>
      <c r="K112" s="21"/>
      <c r="L112" s="45"/>
      <c r="M112" s="45"/>
      <c r="N112" s="45"/>
      <c r="O112" s="21"/>
      <c r="P112" s="45"/>
      <c r="Q112" s="45"/>
      <c r="R112" s="45"/>
      <c r="S112" s="21"/>
      <c r="T112" s="45"/>
      <c r="U112" s="45"/>
      <c r="V112" s="45"/>
      <c r="W112" s="21"/>
      <c r="X112" s="45"/>
      <c r="Y112" s="45"/>
      <c r="Z112" s="45"/>
      <c r="AA112" s="21"/>
      <c r="AB112" s="45"/>
      <c r="AC112" s="45"/>
      <c r="AD112" s="45"/>
      <c r="AE112" s="21"/>
      <c r="AF112" s="45"/>
      <c r="AG112" s="45"/>
      <c r="AH112" s="45"/>
      <c r="AI112" s="21"/>
      <c r="AJ112" s="86"/>
      <c r="AK112" s="86"/>
      <c r="AL112" s="45"/>
      <c r="AM112" s="21"/>
      <c r="AN112" s="86"/>
      <c r="AO112" s="86"/>
      <c r="AP112" s="45"/>
      <c r="AQ112" s="21"/>
      <c r="AR112" s="86"/>
      <c r="AS112" s="86"/>
      <c r="AT112" s="45"/>
      <c r="AU112" s="21"/>
      <c r="AV112" s="86"/>
      <c r="AW112" s="86"/>
      <c r="AX112" s="46"/>
    </row>
    <row r="113" spans="1:50" ht="11.25" customHeight="1" x14ac:dyDescent="0.2">
      <c r="A113" s="85" t="s">
        <v>120</v>
      </c>
      <c r="B113" s="2"/>
      <c r="C113" s="223">
        <v>0</v>
      </c>
      <c r="D113" s="224">
        <v>0</v>
      </c>
      <c r="E113" s="224">
        <v>0</v>
      </c>
      <c r="F113" s="224">
        <v>0</v>
      </c>
      <c r="G113" s="223">
        <v>0</v>
      </c>
      <c r="H113" s="224">
        <v>0</v>
      </c>
      <c r="I113" s="224">
        <v>0</v>
      </c>
      <c r="J113" s="224">
        <v>0</v>
      </c>
      <c r="K113" s="223">
        <v>0</v>
      </c>
      <c r="L113" s="224">
        <v>0</v>
      </c>
      <c r="M113" s="224">
        <v>0</v>
      </c>
      <c r="N113" s="224">
        <v>0</v>
      </c>
      <c r="O113" s="223">
        <v>0</v>
      </c>
      <c r="P113" s="224">
        <v>0</v>
      </c>
      <c r="Q113" s="224">
        <v>0</v>
      </c>
      <c r="R113" s="224">
        <v>0</v>
      </c>
      <c r="S113" s="223">
        <v>0</v>
      </c>
      <c r="T113" s="224">
        <v>0</v>
      </c>
      <c r="U113" s="224">
        <v>0</v>
      </c>
      <c r="V113" s="224">
        <v>0</v>
      </c>
      <c r="W113" s="223">
        <v>0</v>
      </c>
      <c r="X113" s="224">
        <v>0</v>
      </c>
      <c r="Y113" s="224">
        <v>0</v>
      </c>
      <c r="Z113" s="224">
        <v>0</v>
      </c>
      <c r="AA113" s="223">
        <v>0</v>
      </c>
      <c r="AB113" s="224">
        <v>0</v>
      </c>
      <c r="AC113" s="224">
        <v>0</v>
      </c>
      <c r="AD113" s="224">
        <v>0</v>
      </c>
      <c r="AE113" s="223">
        <v>0</v>
      </c>
      <c r="AF113" s="224">
        <v>0</v>
      </c>
      <c r="AG113" s="224">
        <v>0</v>
      </c>
      <c r="AH113" s="224">
        <v>0</v>
      </c>
      <c r="AI113" s="223">
        <v>0</v>
      </c>
      <c r="AJ113" s="224">
        <v>0</v>
      </c>
      <c r="AK113" s="224">
        <v>0</v>
      </c>
      <c r="AL113" s="225">
        <v>0</v>
      </c>
      <c r="AM113" s="223">
        <v>0</v>
      </c>
      <c r="AN113" s="224">
        <v>0</v>
      </c>
      <c r="AO113" s="224">
        <v>0</v>
      </c>
      <c r="AP113" s="225">
        <v>0</v>
      </c>
      <c r="AQ113" s="223">
        <v>0</v>
      </c>
      <c r="AR113" s="224">
        <v>0</v>
      </c>
      <c r="AS113" s="224">
        <v>0</v>
      </c>
      <c r="AT113" s="225">
        <v>0</v>
      </c>
      <c r="AU113" s="223">
        <v>0</v>
      </c>
      <c r="AV113" s="224">
        <v>0</v>
      </c>
      <c r="AW113" s="224">
        <v>0</v>
      </c>
      <c r="AX113" s="225">
        <v>0</v>
      </c>
    </row>
    <row r="114" spans="1:50" ht="11.25" customHeight="1" x14ac:dyDescent="0.2">
      <c r="A114" s="6"/>
      <c r="B114" s="2"/>
      <c r="C114" s="21"/>
      <c r="D114" s="45"/>
      <c r="E114" s="45"/>
      <c r="F114" s="45"/>
      <c r="G114" s="21"/>
      <c r="H114" s="45"/>
      <c r="I114" s="45"/>
      <c r="J114" s="45"/>
      <c r="K114" s="21"/>
      <c r="L114" s="45"/>
      <c r="M114" s="45"/>
      <c r="N114" s="45"/>
      <c r="O114" s="21"/>
      <c r="P114" s="45"/>
      <c r="Q114" s="45"/>
      <c r="R114" s="45"/>
      <c r="S114" s="21"/>
      <c r="T114" s="45"/>
      <c r="U114" s="45"/>
      <c r="V114" s="45"/>
      <c r="W114" s="21"/>
      <c r="X114" s="45"/>
      <c r="Y114" s="45"/>
      <c r="Z114" s="45"/>
      <c r="AA114" s="21"/>
      <c r="AB114" s="45"/>
      <c r="AC114" s="45"/>
      <c r="AD114" s="46"/>
      <c r="AE114" s="21"/>
      <c r="AF114" s="45"/>
      <c r="AG114" s="45"/>
      <c r="AH114" s="45"/>
      <c r="AI114" s="21"/>
      <c r="AJ114" s="86"/>
      <c r="AK114" s="45"/>
      <c r="AL114" s="46"/>
      <c r="AM114" s="21"/>
      <c r="AN114" s="45"/>
      <c r="AO114" s="45"/>
      <c r="AP114" s="46"/>
      <c r="AQ114" s="21"/>
      <c r="AR114" s="45"/>
      <c r="AS114" s="45"/>
      <c r="AT114" s="46"/>
      <c r="AU114" s="21"/>
      <c r="AV114" s="45"/>
      <c r="AW114" s="45"/>
      <c r="AX114" s="46"/>
    </row>
    <row r="115" spans="1:50" ht="11.25" customHeight="1" x14ac:dyDescent="0.2">
      <c r="A115" s="6" t="s">
        <v>12</v>
      </c>
      <c r="B115" s="2"/>
      <c r="C115" s="21"/>
      <c r="D115" s="45"/>
      <c r="E115" s="45"/>
      <c r="F115" s="45"/>
      <c r="G115" s="21"/>
      <c r="H115" s="45"/>
      <c r="I115" s="45"/>
      <c r="J115" s="45"/>
      <c r="K115" s="21"/>
      <c r="L115" s="45"/>
      <c r="M115" s="45"/>
      <c r="N115" s="45"/>
      <c r="O115" s="21"/>
      <c r="P115" s="45"/>
      <c r="Q115" s="45"/>
      <c r="R115" s="45"/>
      <c r="S115" s="21"/>
      <c r="T115" s="45"/>
      <c r="U115" s="45"/>
      <c r="V115" s="45"/>
      <c r="W115" s="21"/>
      <c r="X115" s="45"/>
      <c r="Y115" s="45"/>
      <c r="Z115" s="45"/>
      <c r="AA115" s="21"/>
      <c r="AB115" s="45"/>
      <c r="AC115" s="45"/>
      <c r="AD115" s="46"/>
      <c r="AE115" s="21"/>
      <c r="AF115" s="45"/>
      <c r="AG115" s="45"/>
      <c r="AH115" s="46"/>
      <c r="AI115" s="21"/>
      <c r="AJ115" s="45"/>
      <c r="AK115" s="45"/>
      <c r="AL115" s="46"/>
      <c r="AM115" s="21"/>
      <c r="AN115" s="45"/>
      <c r="AO115" s="45"/>
      <c r="AP115" s="46"/>
      <c r="AQ115" s="21"/>
      <c r="AR115" s="45"/>
      <c r="AS115" s="45"/>
      <c r="AT115" s="46"/>
      <c r="AU115" s="21"/>
      <c r="AV115" s="45"/>
      <c r="AW115" s="45"/>
      <c r="AX115" s="46"/>
    </row>
    <row r="116" spans="1:50" ht="11.25" customHeight="1" x14ac:dyDescent="0.2">
      <c r="A116" s="2"/>
      <c r="B116" s="2"/>
      <c r="C116" s="21"/>
      <c r="D116" s="45"/>
      <c r="E116" s="45"/>
      <c r="F116" s="45"/>
      <c r="G116" s="21"/>
      <c r="H116" s="45"/>
      <c r="I116" s="45"/>
      <c r="J116" s="45"/>
      <c r="K116" s="21"/>
      <c r="L116" s="45"/>
      <c r="M116" s="45"/>
      <c r="N116" s="45"/>
      <c r="O116" s="21"/>
      <c r="P116" s="45"/>
      <c r="Q116" s="45"/>
      <c r="R116" s="45"/>
      <c r="S116" s="21"/>
      <c r="T116" s="45"/>
      <c r="U116" s="45"/>
      <c r="V116" s="45"/>
      <c r="W116" s="21"/>
      <c r="X116" s="45"/>
      <c r="Y116" s="45"/>
      <c r="Z116" s="45"/>
      <c r="AA116" s="21"/>
      <c r="AB116" s="45"/>
      <c r="AC116" s="45"/>
      <c r="AD116" s="45"/>
      <c r="AE116" s="21"/>
      <c r="AF116" s="45"/>
      <c r="AG116" s="45"/>
      <c r="AH116" s="45"/>
      <c r="AI116" s="21"/>
      <c r="AJ116" s="45"/>
      <c r="AK116" s="45"/>
      <c r="AL116" s="46"/>
      <c r="AM116" s="21"/>
      <c r="AN116" s="45"/>
      <c r="AO116" s="45"/>
      <c r="AP116" s="46"/>
      <c r="AQ116" s="21"/>
      <c r="AR116" s="45"/>
      <c r="AS116" s="45"/>
      <c r="AT116" s="46"/>
      <c r="AU116" s="21"/>
      <c r="AV116" s="45"/>
      <c r="AW116" s="45"/>
      <c r="AX116" s="46"/>
    </row>
    <row r="117" spans="1:50" ht="11.25" customHeight="1" x14ac:dyDescent="0.2">
      <c r="A117" s="2" t="s">
        <v>0</v>
      </c>
      <c r="B117" s="311">
        <v>0</v>
      </c>
      <c r="C117" s="214">
        <v>0</v>
      </c>
      <c r="D117" s="215">
        <v>0</v>
      </c>
      <c r="E117" s="215">
        <v>0</v>
      </c>
      <c r="F117" s="215">
        <v>0</v>
      </c>
      <c r="G117" s="214">
        <v>0</v>
      </c>
      <c r="H117" s="215">
        <v>0</v>
      </c>
      <c r="I117" s="215">
        <v>0</v>
      </c>
      <c r="J117" s="215">
        <v>0</v>
      </c>
      <c r="K117" s="214">
        <v>0</v>
      </c>
      <c r="L117" s="215">
        <v>0</v>
      </c>
      <c r="M117" s="215">
        <v>0</v>
      </c>
      <c r="N117" s="215">
        <v>0</v>
      </c>
      <c r="O117" s="214">
        <v>0</v>
      </c>
      <c r="P117" s="215">
        <v>0</v>
      </c>
      <c r="Q117" s="215">
        <v>0</v>
      </c>
      <c r="R117" s="215">
        <v>0</v>
      </c>
      <c r="S117" s="214">
        <v>0</v>
      </c>
      <c r="T117" s="215">
        <v>0</v>
      </c>
      <c r="U117" s="215">
        <v>0</v>
      </c>
      <c r="V117" s="215">
        <v>0</v>
      </c>
      <c r="W117" s="214">
        <v>0</v>
      </c>
      <c r="X117" s="215">
        <v>0</v>
      </c>
      <c r="Y117" s="215">
        <v>0</v>
      </c>
      <c r="Z117" s="215">
        <v>0</v>
      </c>
      <c r="AA117" s="214">
        <v>0</v>
      </c>
      <c r="AB117" s="215">
        <v>0</v>
      </c>
      <c r="AC117" s="215">
        <v>0</v>
      </c>
      <c r="AD117" s="215">
        <v>0</v>
      </c>
      <c r="AE117" s="214">
        <v>0</v>
      </c>
      <c r="AF117" s="215">
        <v>0</v>
      </c>
      <c r="AG117" s="215">
        <v>0</v>
      </c>
      <c r="AH117" s="215">
        <v>0</v>
      </c>
      <c r="AI117" s="214">
        <v>0</v>
      </c>
      <c r="AJ117" s="215">
        <v>0</v>
      </c>
      <c r="AK117" s="215">
        <v>0</v>
      </c>
      <c r="AL117" s="216">
        <v>0</v>
      </c>
      <c r="AM117" s="214">
        <v>0</v>
      </c>
      <c r="AN117" s="215">
        <v>0</v>
      </c>
      <c r="AO117" s="215">
        <v>0</v>
      </c>
      <c r="AP117" s="216">
        <v>0</v>
      </c>
      <c r="AQ117" s="214">
        <v>0</v>
      </c>
      <c r="AR117" s="215">
        <v>0</v>
      </c>
      <c r="AS117" s="215">
        <v>0</v>
      </c>
      <c r="AT117" s="216">
        <v>0</v>
      </c>
      <c r="AU117" s="214">
        <v>0</v>
      </c>
      <c r="AV117" s="215">
        <v>0</v>
      </c>
      <c r="AW117" s="215">
        <v>0</v>
      </c>
      <c r="AX117" s="216">
        <v>0</v>
      </c>
    </row>
    <row r="118" spans="1:50" ht="11.25" customHeight="1" x14ac:dyDescent="0.2">
      <c r="A118" s="2" t="s">
        <v>15</v>
      </c>
      <c r="B118" s="311">
        <v>0</v>
      </c>
      <c r="C118" s="214">
        <v>0</v>
      </c>
      <c r="D118" s="215">
        <v>0</v>
      </c>
      <c r="E118" s="215">
        <v>0</v>
      </c>
      <c r="F118" s="215">
        <v>0</v>
      </c>
      <c r="G118" s="214">
        <v>0</v>
      </c>
      <c r="H118" s="215">
        <v>0</v>
      </c>
      <c r="I118" s="215">
        <v>0</v>
      </c>
      <c r="J118" s="215">
        <v>0</v>
      </c>
      <c r="K118" s="214">
        <v>0</v>
      </c>
      <c r="L118" s="215">
        <v>0</v>
      </c>
      <c r="M118" s="215">
        <v>0</v>
      </c>
      <c r="N118" s="215">
        <v>0</v>
      </c>
      <c r="O118" s="214">
        <v>0</v>
      </c>
      <c r="P118" s="215">
        <v>0</v>
      </c>
      <c r="Q118" s="215">
        <v>0</v>
      </c>
      <c r="R118" s="215">
        <v>0</v>
      </c>
      <c r="S118" s="214">
        <v>0</v>
      </c>
      <c r="T118" s="215">
        <v>0</v>
      </c>
      <c r="U118" s="215">
        <v>0</v>
      </c>
      <c r="V118" s="215">
        <v>0</v>
      </c>
      <c r="W118" s="214">
        <v>0</v>
      </c>
      <c r="X118" s="215">
        <v>0</v>
      </c>
      <c r="Y118" s="215">
        <v>0</v>
      </c>
      <c r="Z118" s="215">
        <v>0</v>
      </c>
      <c r="AA118" s="214">
        <v>0</v>
      </c>
      <c r="AB118" s="215">
        <v>0</v>
      </c>
      <c r="AC118" s="215">
        <v>0</v>
      </c>
      <c r="AD118" s="215">
        <v>0</v>
      </c>
      <c r="AE118" s="214">
        <v>0</v>
      </c>
      <c r="AF118" s="215">
        <v>0</v>
      </c>
      <c r="AG118" s="215">
        <v>0</v>
      </c>
      <c r="AH118" s="215">
        <v>0</v>
      </c>
      <c r="AI118" s="214">
        <v>0</v>
      </c>
      <c r="AJ118" s="215">
        <v>0</v>
      </c>
      <c r="AK118" s="215">
        <v>0</v>
      </c>
      <c r="AL118" s="216">
        <v>0</v>
      </c>
      <c r="AM118" s="214">
        <v>0</v>
      </c>
      <c r="AN118" s="215">
        <v>0</v>
      </c>
      <c r="AO118" s="215">
        <v>0</v>
      </c>
      <c r="AP118" s="216">
        <v>0</v>
      </c>
      <c r="AQ118" s="214">
        <v>0</v>
      </c>
      <c r="AR118" s="215">
        <v>0</v>
      </c>
      <c r="AS118" s="215">
        <v>0</v>
      </c>
      <c r="AT118" s="216">
        <v>0</v>
      </c>
      <c r="AU118" s="214">
        <v>0</v>
      </c>
      <c r="AV118" s="215">
        <v>0</v>
      </c>
      <c r="AW118" s="215">
        <v>0</v>
      </c>
      <c r="AX118" s="216">
        <v>0</v>
      </c>
    </row>
    <row r="119" spans="1:50" ht="11.25" customHeight="1" x14ac:dyDescent="0.2">
      <c r="A119" s="85" t="s">
        <v>63</v>
      </c>
      <c r="B119" s="311">
        <v>0</v>
      </c>
      <c r="C119" s="214">
        <v>0</v>
      </c>
      <c r="D119" s="215">
        <v>0</v>
      </c>
      <c r="E119" s="215">
        <v>0</v>
      </c>
      <c r="F119" s="215">
        <v>0</v>
      </c>
      <c r="G119" s="214">
        <v>0</v>
      </c>
      <c r="H119" s="215">
        <v>0</v>
      </c>
      <c r="I119" s="215">
        <v>0</v>
      </c>
      <c r="J119" s="215">
        <v>0</v>
      </c>
      <c r="K119" s="214">
        <v>0</v>
      </c>
      <c r="L119" s="215">
        <v>0</v>
      </c>
      <c r="M119" s="215">
        <v>0</v>
      </c>
      <c r="N119" s="215">
        <v>0</v>
      </c>
      <c r="O119" s="214">
        <v>0</v>
      </c>
      <c r="P119" s="215">
        <v>0</v>
      </c>
      <c r="Q119" s="215">
        <v>0</v>
      </c>
      <c r="R119" s="215">
        <v>0</v>
      </c>
      <c r="S119" s="214">
        <v>0</v>
      </c>
      <c r="T119" s="215">
        <v>0</v>
      </c>
      <c r="U119" s="215">
        <v>0</v>
      </c>
      <c r="V119" s="215">
        <v>0</v>
      </c>
      <c r="W119" s="214">
        <v>0</v>
      </c>
      <c r="X119" s="215">
        <v>0</v>
      </c>
      <c r="Y119" s="215">
        <v>0</v>
      </c>
      <c r="Z119" s="215">
        <v>0</v>
      </c>
      <c r="AA119" s="214">
        <v>0</v>
      </c>
      <c r="AB119" s="215">
        <v>0</v>
      </c>
      <c r="AC119" s="215">
        <v>0</v>
      </c>
      <c r="AD119" s="215">
        <v>0</v>
      </c>
      <c r="AE119" s="214">
        <v>0</v>
      </c>
      <c r="AF119" s="215">
        <v>0</v>
      </c>
      <c r="AG119" s="215">
        <v>0</v>
      </c>
      <c r="AH119" s="215">
        <v>0</v>
      </c>
      <c r="AI119" s="214">
        <v>0</v>
      </c>
      <c r="AJ119" s="215">
        <v>0</v>
      </c>
      <c r="AK119" s="215">
        <v>0</v>
      </c>
      <c r="AL119" s="216">
        <v>0</v>
      </c>
      <c r="AM119" s="214">
        <v>0</v>
      </c>
      <c r="AN119" s="215">
        <v>0</v>
      </c>
      <c r="AO119" s="215">
        <v>0</v>
      </c>
      <c r="AP119" s="216">
        <v>0</v>
      </c>
      <c r="AQ119" s="214">
        <v>0</v>
      </c>
      <c r="AR119" s="215">
        <v>0</v>
      </c>
      <c r="AS119" s="215">
        <v>0</v>
      </c>
      <c r="AT119" s="216">
        <v>0</v>
      </c>
      <c r="AU119" s="214">
        <v>0</v>
      </c>
      <c r="AV119" s="215">
        <v>0</v>
      </c>
      <c r="AW119" s="215">
        <v>0</v>
      </c>
      <c r="AX119" s="216">
        <v>0</v>
      </c>
    </row>
    <row r="120" spans="1:50" ht="11.25" customHeight="1" x14ac:dyDescent="0.2">
      <c r="A120" s="85" t="s">
        <v>25</v>
      </c>
      <c r="B120" s="311">
        <v>0</v>
      </c>
      <c r="C120" s="214">
        <v>0</v>
      </c>
      <c r="D120" s="215">
        <v>0</v>
      </c>
      <c r="E120" s="215">
        <v>0</v>
      </c>
      <c r="F120" s="215">
        <v>0</v>
      </c>
      <c r="G120" s="214">
        <v>0</v>
      </c>
      <c r="H120" s="215">
        <v>0</v>
      </c>
      <c r="I120" s="215">
        <v>0</v>
      </c>
      <c r="J120" s="215">
        <v>0</v>
      </c>
      <c r="K120" s="214">
        <v>0</v>
      </c>
      <c r="L120" s="215">
        <v>0</v>
      </c>
      <c r="M120" s="215">
        <v>0</v>
      </c>
      <c r="N120" s="215">
        <v>0</v>
      </c>
      <c r="O120" s="214">
        <v>0</v>
      </c>
      <c r="P120" s="215">
        <v>0</v>
      </c>
      <c r="Q120" s="215">
        <v>0</v>
      </c>
      <c r="R120" s="215">
        <v>0</v>
      </c>
      <c r="S120" s="214">
        <v>0</v>
      </c>
      <c r="T120" s="215">
        <v>0</v>
      </c>
      <c r="U120" s="215">
        <v>0</v>
      </c>
      <c r="V120" s="215">
        <v>0</v>
      </c>
      <c r="W120" s="214">
        <v>0</v>
      </c>
      <c r="X120" s="215">
        <v>0</v>
      </c>
      <c r="Y120" s="215">
        <v>0</v>
      </c>
      <c r="Z120" s="215">
        <v>0</v>
      </c>
      <c r="AA120" s="214">
        <v>0</v>
      </c>
      <c r="AB120" s="215">
        <v>0</v>
      </c>
      <c r="AC120" s="215">
        <v>0</v>
      </c>
      <c r="AD120" s="215">
        <v>0</v>
      </c>
      <c r="AE120" s="214">
        <v>0</v>
      </c>
      <c r="AF120" s="215">
        <v>0</v>
      </c>
      <c r="AG120" s="215">
        <v>0</v>
      </c>
      <c r="AH120" s="215">
        <v>0</v>
      </c>
      <c r="AI120" s="214">
        <v>0</v>
      </c>
      <c r="AJ120" s="215">
        <v>0</v>
      </c>
      <c r="AK120" s="215">
        <v>0</v>
      </c>
      <c r="AL120" s="216">
        <v>0</v>
      </c>
      <c r="AM120" s="214">
        <v>0</v>
      </c>
      <c r="AN120" s="215">
        <v>0</v>
      </c>
      <c r="AO120" s="215">
        <v>0</v>
      </c>
      <c r="AP120" s="216">
        <v>0</v>
      </c>
      <c r="AQ120" s="214">
        <v>0</v>
      </c>
      <c r="AR120" s="215">
        <v>0</v>
      </c>
      <c r="AS120" s="215">
        <v>0</v>
      </c>
      <c r="AT120" s="216">
        <v>0</v>
      </c>
      <c r="AU120" s="214">
        <v>0</v>
      </c>
      <c r="AV120" s="215">
        <v>0</v>
      </c>
      <c r="AW120" s="215">
        <v>0</v>
      </c>
      <c r="AX120" s="216">
        <v>0</v>
      </c>
    </row>
    <row r="121" spans="1:50" ht="11.25" customHeight="1" x14ac:dyDescent="0.25">
      <c r="A121" s="2" t="s">
        <v>25</v>
      </c>
      <c r="B121" s="312">
        <f t="shared" ref="B121:AG121" si="41">B122-SUM(B117:B120)</f>
        <v>0</v>
      </c>
      <c r="C121" s="18">
        <f t="shared" si="41"/>
        <v>0</v>
      </c>
      <c r="D121" s="19">
        <f t="shared" si="41"/>
        <v>0</v>
      </c>
      <c r="E121" s="19">
        <f t="shared" si="41"/>
        <v>0</v>
      </c>
      <c r="F121" s="19">
        <f t="shared" si="41"/>
        <v>0</v>
      </c>
      <c r="G121" s="18">
        <f t="shared" si="41"/>
        <v>0</v>
      </c>
      <c r="H121" s="19">
        <f t="shared" si="41"/>
        <v>0</v>
      </c>
      <c r="I121" s="19">
        <f t="shared" si="41"/>
        <v>0</v>
      </c>
      <c r="J121" s="19">
        <f t="shared" si="41"/>
        <v>0</v>
      </c>
      <c r="K121" s="18">
        <f t="shared" si="41"/>
        <v>0</v>
      </c>
      <c r="L121" s="19">
        <f t="shared" si="41"/>
        <v>0</v>
      </c>
      <c r="M121" s="19">
        <f t="shared" si="41"/>
        <v>0</v>
      </c>
      <c r="N121" s="19">
        <f t="shared" si="41"/>
        <v>0</v>
      </c>
      <c r="O121" s="18">
        <f t="shared" si="41"/>
        <v>0</v>
      </c>
      <c r="P121" s="19">
        <f t="shared" si="41"/>
        <v>0</v>
      </c>
      <c r="Q121" s="19">
        <f t="shared" si="41"/>
        <v>0</v>
      </c>
      <c r="R121" s="19">
        <f t="shared" si="41"/>
        <v>0</v>
      </c>
      <c r="S121" s="18">
        <f t="shared" si="41"/>
        <v>0</v>
      </c>
      <c r="T121" s="19">
        <f t="shared" si="41"/>
        <v>0</v>
      </c>
      <c r="U121" s="19">
        <f t="shared" si="41"/>
        <v>0</v>
      </c>
      <c r="V121" s="19">
        <f t="shared" si="41"/>
        <v>0</v>
      </c>
      <c r="W121" s="18">
        <f t="shared" si="41"/>
        <v>0</v>
      </c>
      <c r="X121" s="19">
        <f t="shared" si="41"/>
        <v>0</v>
      </c>
      <c r="Y121" s="19">
        <f t="shared" si="41"/>
        <v>0</v>
      </c>
      <c r="Z121" s="19">
        <f t="shared" si="41"/>
        <v>0</v>
      </c>
      <c r="AA121" s="18">
        <f t="shared" si="41"/>
        <v>0</v>
      </c>
      <c r="AB121" s="19">
        <f t="shared" si="41"/>
        <v>0</v>
      </c>
      <c r="AC121" s="19">
        <f t="shared" si="41"/>
        <v>0</v>
      </c>
      <c r="AD121" s="19">
        <f t="shared" si="41"/>
        <v>0</v>
      </c>
      <c r="AE121" s="18">
        <f t="shared" si="41"/>
        <v>0</v>
      </c>
      <c r="AF121" s="19">
        <f t="shared" si="41"/>
        <v>0</v>
      </c>
      <c r="AG121" s="19">
        <f t="shared" si="41"/>
        <v>0</v>
      </c>
      <c r="AH121" s="19">
        <f t="shared" ref="AH121:AX121" si="42">AH122-SUM(AH117:AH120)</f>
        <v>0</v>
      </c>
      <c r="AI121" s="18">
        <f t="shared" si="42"/>
        <v>0</v>
      </c>
      <c r="AJ121" s="19">
        <f t="shared" si="42"/>
        <v>0</v>
      </c>
      <c r="AK121" s="19">
        <f t="shared" si="42"/>
        <v>0</v>
      </c>
      <c r="AL121" s="20">
        <f t="shared" si="42"/>
        <v>0</v>
      </c>
      <c r="AM121" s="18">
        <f t="shared" si="42"/>
        <v>0</v>
      </c>
      <c r="AN121" s="19">
        <f t="shared" si="42"/>
        <v>0</v>
      </c>
      <c r="AO121" s="19">
        <f t="shared" si="42"/>
        <v>0</v>
      </c>
      <c r="AP121" s="20">
        <f t="shared" si="42"/>
        <v>0</v>
      </c>
      <c r="AQ121" s="18">
        <f t="shared" si="42"/>
        <v>0</v>
      </c>
      <c r="AR121" s="19">
        <f t="shared" si="42"/>
        <v>0</v>
      </c>
      <c r="AS121" s="19">
        <f t="shared" si="42"/>
        <v>0</v>
      </c>
      <c r="AT121" s="20">
        <f t="shared" si="42"/>
        <v>0</v>
      </c>
      <c r="AU121" s="18">
        <f t="shared" si="42"/>
        <v>0</v>
      </c>
      <c r="AV121" s="19">
        <f t="shared" si="42"/>
        <v>0</v>
      </c>
      <c r="AW121" s="19">
        <f t="shared" si="42"/>
        <v>0</v>
      </c>
      <c r="AX121" s="20">
        <f t="shared" si="42"/>
        <v>0</v>
      </c>
    </row>
    <row r="122" spans="1:50" ht="11.25" customHeight="1" x14ac:dyDescent="0.2">
      <c r="A122" s="2" t="s">
        <v>39</v>
      </c>
      <c r="B122" s="311">
        <v>0</v>
      </c>
      <c r="C122" s="214">
        <v>0</v>
      </c>
      <c r="D122" s="215">
        <v>0</v>
      </c>
      <c r="E122" s="215">
        <v>0</v>
      </c>
      <c r="F122" s="215">
        <v>0</v>
      </c>
      <c r="G122" s="214">
        <v>0</v>
      </c>
      <c r="H122" s="215">
        <v>0</v>
      </c>
      <c r="I122" s="215">
        <v>0</v>
      </c>
      <c r="J122" s="215">
        <v>0</v>
      </c>
      <c r="K122" s="214">
        <v>0</v>
      </c>
      <c r="L122" s="215">
        <v>0</v>
      </c>
      <c r="M122" s="215">
        <v>0</v>
      </c>
      <c r="N122" s="215">
        <v>0</v>
      </c>
      <c r="O122" s="214">
        <v>0</v>
      </c>
      <c r="P122" s="215">
        <v>0</v>
      </c>
      <c r="Q122" s="215">
        <v>0</v>
      </c>
      <c r="R122" s="215">
        <v>0</v>
      </c>
      <c r="S122" s="214">
        <v>0</v>
      </c>
      <c r="T122" s="215">
        <v>0</v>
      </c>
      <c r="U122" s="215">
        <v>0</v>
      </c>
      <c r="V122" s="215">
        <v>0</v>
      </c>
      <c r="W122" s="214">
        <v>0</v>
      </c>
      <c r="X122" s="215">
        <v>0</v>
      </c>
      <c r="Y122" s="215">
        <v>0</v>
      </c>
      <c r="Z122" s="215">
        <v>0</v>
      </c>
      <c r="AA122" s="214">
        <v>0</v>
      </c>
      <c r="AB122" s="215">
        <v>0</v>
      </c>
      <c r="AC122" s="215">
        <v>0</v>
      </c>
      <c r="AD122" s="215">
        <v>0</v>
      </c>
      <c r="AE122" s="214">
        <v>0</v>
      </c>
      <c r="AF122" s="215">
        <v>0</v>
      </c>
      <c r="AG122" s="215">
        <v>0</v>
      </c>
      <c r="AH122" s="215">
        <v>0</v>
      </c>
      <c r="AI122" s="214">
        <v>0</v>
      </c>
      <c r="AJ122" s="215">
        <v>0</v>
      </c>
      <c r="AK122" s="215">
        <v>0</v>
      </c>
      <c r="AL122" s="216">
        <v>0</v>
      </c>
      <c r="AM122" s="214">
        <v>0</v>
      </c>
      <c r="AN122" s="215">
        <v>0</v>
      </c>
      <c r="AO122" s="215">
        <v>0</v>
      </c>
      <c r="AP122" s="216">
        <v>0</v>
      </c>
      <c r="AQ122" s="214">
        <v>0</v>
      </c>
      <c r="AR122" s="215">
        <v>0</v>
      </c>
      <c r="AS122" s="215">
        <v>0</v>
      </c>
      <c r="AT122" s="216">
        <v>0</v>
      </c>
      <c r="AU122" s="214">
        <v>0</v>
      </c>
      <c r="AV122" s="215">
        <v>0</v>
      </c>
      <c r="AW122" s="215">
        <v>0</v>
      </c>
      <c r="AX122" s="216">
        <v>0</v>
      </c>
    </row>
    <row r="123" spans="1:50" s="212" customFormat="1" ht="11.25" customHeight="1" x14ac:dyDescent="0.2">
      <c r="A123" s="233"/>
      <c r="B123" s="313"/>
      <c r="C123" s="178"/>
      <c r="D123" s="179"/>
      <c r="E123" s="179"/>
      <c r="F123" s="179"/>
      <c r="G123" s="178"/>
      <c r="H123" s="179"/>
      <c r="I123" s="179"/>
      <c r="J123" s="179"/>
      <c r="K123" s="178"/>
      <c r="L123" s="179"/>
      <c r="M123" s="179"/>
      <c r="N123" s="179"/>
      <c r="O123" s="178"/>
      <c r="P123" s="179"/>
      <c r="Q123" s="179"/>
      <c r="R123" s="179"/>
      <c r="S123" s="178"/>
      <c r="T123" s="179"/>
      <c r="U123" s="179"/>
      <c r="V123" s="179"/>
      <c r="W123" s="178"/>
      <c r="X123" s="179"/>
      <c r="Y123" s="179"/>
      <c r="Z123" s="179"/>
      <c r="AA123" s="178"/>
      <c r="AB123" s="179"/>
      <c r="AC123" s="179"/>
      <c r="AD123" s="179"/>
      <c r="AE123" s="178"/>
      <c r="AF123" s="179"/>
      <c r="AG123" s="179"/>
      <c r="AH123" s="179"/>
      <c r="AI123" s="178"/>
      <c r="AJ123" s="179"/>
      <c r="AK123" s="179"/>
      <c r="AL123" s="180"/>
      <c r="AM123" s="178"/>
      <c r="AN123" s="179"/>
      <c r="AO123" s="179"/>
      <c r="AP123" s="180"/>
      <c r="AQ123" s="178"/>
      <c r="AR123" s="179"/>
      <c r="AS123" s="179"/>
      <c r="AT123" s="180"/>
      <c r="AU123" s="178"/>
      <c r="AV123" s="179"/>
      <c r="AW123" s="179"/>
      <c r="AX123" s="180"/>
    </row>
    <row r="124" spans="1:50" ht="11.25" customHeight="1" x14ac:dyDescent="0.2">
      <c r="A124" s="2" t="s">
        <v>40</v>
      </c>
      <c r="B124" s="311">
        <v>0</v>
      </c>
      <c r="C124" s="214">
        <v>0</v>
      </c>
      <c r="D124" s="215">
        <v>0</v>
      </c>
      <c r="E124" s="215">
        <v>0</v>
      </c>
      <c r="F124" s="215">
        <v>0</v>
      </c>
      <c r="G124" s="214">
        <v>0</v>
      </c>
      <c r="H124" s="215">
        <v>0</v>
      </c>
      <c r="I124" s="215">
        <v>0</v>
      </c>
      <c r="J124" s="215">
        <v>0</v>
      </c>
      <c r="K124" s="214">
        <v>0</v>
      </c>
      <c r="L124" s="215">
        <v>0</v>
      </c>
      <c r="M124" s="215">
        <v>0</v>
      </c>
      <c r="N124" s="215">
        <v>0</v>
      </c>
      <c r="O124" s="214">
        <v>0</v>
      </c>
      <c r="P124" s="215">
        <v>0</v>
      </c>
      <c r="Q124" s="215">
        <v>0</v>
      </c>
      <c r="R124" s="215">
        <v>0</v>
      </c>
      <c r="S124" s="214">
        <v>0</v>
      </c>
      <c r="T124" s="215">
        <v>0</v>
      </c>
      <c r="U124" s="215">
        <v>0</v>
      </c>
      <c r="V124" s="215">
        <v>0</v>
      </c>
      <c r="W124" s="214">
        <v>0</v>
      </c>
      <c r="X124" s="215">
        <v>0</v>
      </c>
      <c r="Y124" s="215">
        <v>0</v>
      </c>
      <c r="Z124" s="215">
        <v>0</v>
      </c>
      <c r="AA124" s="214">
        <v>0</v>
      </c>
      <c r="AB124" s="215">
        <v>0</v>
      </c>
      <c r="AC124" s="215">
        <v>0</v>
      </c>
      <c r="AD124" s="215">
        <v>0</v>
      </c>
      <c r="AE124" s="214">
        <v>0</v>
      </c>
      <c r="AF124" s="215">
        <v>0</v>
      </c>
      <c r="AG124" s="215">
        <v>0</v>
      </c>
      <c r="AH124" s="215">
        <v>0</v>
      </c>
      <c r="AI124" s="214">
        <v>0</v>
      </c>
      <c r="AJ124" s="215">
        <v>0</v>
      </c>
      <c r="AK124" s="215">
        <v>0</v>
      </c>
      <c r="AL124" s="216">
        <v>0</v>
      </c>
      <c r="AM124" s="214">
        <v>0</v>
      </c>
      <c r="AN124" s="215">
        <v>0</v>
      </c>
      <c r="AO124" s="215">
        <v>0</v>
      </c>
      <c r="AP124" s="216">
        <v>0</v>
      </c>
      <c r="AQ124" s="214">
        <v>0</v>
      </c>
      <c r="AR124" s="215">
        <v>0</v>
      </c>
      <c r="AS124" s="215">
        <v>0</v>
      </c>
      <c r="AT124" s="216">
        <v>0</v>
      </c>
      <c r="AU124" s="214">
        <v>0</v>
      </c>
      <c r="AV124" s="215">
        <v>0</v>
      </c>
      <c r="AW124" s="215">
        <v>0</v>
      </c>
      <c r="AX124" s="216">
        <v>0</v>
      </c>
    </row>
    <row r="125" spans="1:50" ht="11.25" customHeight="1" x14ac:dyDescent="0.2">
      <c r="A125" s="85" t="s">
        <v>64</v>
      </c>
      <c r="B125" s="311">
        <v>0</v>
      </c>
      <c r="C125" s="214">
        <v>0</v>
      </c>
      <c r="D125" s="215">
        <v>0</v>
      </c>
      <c r="E125" s="215">
        <v>0</v>
      </c>
      <c r="F125" s="215">
        <v>0</v>
      </c>
      <c r="G125" s="214">
        <v>0</v>
      </c>
      <c r="H125" s="215">
        <v>0</v>
      </c>
      <c r="I125" s="215">
        <v>0</v>
      </c>
      <c r="J125" s="215">
        <v>0</v>
      </c>
      <c r="K125" s="214">
        <v>0</v>
      </c>
      <c r="L125" s="215">
        <v>0</v>
      </c>
      <c r="M125" s="215">
        <v>0</v>
      </c>
      <c r="N125" s="215">
        <v>0</v>
      </c>
      <c r="O125" s="214">
        <v>0</v>
      </c>
      <c r="P125" s="215">
        <v>0</v>
      </c>
      <c r="Q125" s="215">
        <v>0</v>
      </c>
      <c r="R125" s="215">
        <v>0</v>
      </c>
      <c r="S125" s="214">
        <v>0</v>
      </c>
      <c r="T125" s="215">
        <v>0</v>
      </c>
      <c r="U125" s="215">
        <v>0</v>
      </c>
      <c r="V125" s="215">
        <v>0</v>
      </c>
      <c r="W125" s="214">
        <v>0</v>
      </c>
      <c r="X125" s="215">
        <v>0</v>
      </c>
      <c r="Y125" s="215">
        <v>0</v>
      </c>
      <c r="Z125" s="215">
        <v>0</v>
      </c>
      <c r="AA125" s="214">
        <v>0</v>
      </c>
      <c r="AB125" s="215">
        <v>0</v>
      </c>
      <c r="AC125" s="215">
        <v>0</v>
      </c>
      <c r="AD125" s="215">
        <v>0</v>
      </c>
      <c r="AE125" s="214">
        <v>0</v>
      </c>
      <c r="AF125" s="215">
        <v>0</v>
      </c>
      <c r="AG125" s="215">
        <v>0</v>
      </c>
      <c r="AH125" s="215">
        <v>0</v>
      </c>
      <c r="AI125" s="214">
        <v>0</v>
      </c>
      <c r="AJ125" s="215">
        <v>0</v>
      </c>
      <c r="AK125" s="215">
        <v>0</v>
      </c>
      <c r="AL125" s="216">
        <v>0</v>
      </c>
      <c r="AM125" s="214">
        <v>0</v>
      </c>
      <c r="AN125" s="215">
        <v>0</v>
      </c>
      <c r="AO125" s="215">
        <v>0</v>
      </c>
      <c r="AP125" s="216">
        <v>0</v>
      </c>
      <c r="AQ125" s="214">
        <v>0</v>
      </c>
      <c r="AR125" s="215">
        <v>0</v>
      </c>
      <c r="AS125" s="215">
        <v>0</v>
      </c>
      <c r="AT125" s="216">
        <v>0</v>
      </c>
      <c r="AU125" s="214">
        <v>0</v>
      </c>
      <c r="AV125" s="215">
        <v>0</v>
      </c>
      <c r="AW125" s="215">
        <v>0</v>
      </c>
      <c r="AX125" s="216">
        <v>0</v>
      </c>
    </row>
    <row r="126" spans="1:50" ht="11.25" customHeight="1" x14ac:dyDescent="0.2">
      <c r="A126" s="85" t="s">
        <v>65</v>
      </c>
      <c r="B126" s="311">
        <v>0</v>
      </c>
      <c r="C126" s="214">
        <v>0</v>
      </c>
      <c r="D126" s="215">
        <v>0</v>
      </c>
      <c r="E126" s="215">
        <v>0</v>
      </c>
      <c r="F126" s="215">
        <v>0</v>
      </c>
      <c r="G126" s="214">
        <v>0</v>
      </c>
      <c r="H126" s="215">
        <v>0</v>
      </c>
      <c r="I126" s="215">
        <v>0</v>
      </c>
      <c r="J126" s="215">
        <v>0</v>
      </c>
      <c r="K126" s="214">
        <v>0</v>
      </c>
      <c r="L126" s="215">
        <v>0</v>
      </c>
      <c r="M126" s="215">
        <v>0</v>
      </c>
      <c r="N126" s="215">
        <v>0</v>
      </c>
      <c r="O126" s="214">
        <v>0</v>
      </c>
      <c r="P126" s="215">
        <v>0</v>
      </c>
      <c r="Q126" s="215">
        <v>0</v>
      </c>
      <c r="R126" s="215">
        <v>0</v>
      </c>
      <c r="S126" s="214">
        <v>0</v>
      </c>
      <c r="T126" s="215">
        <v>0</v>
      </c>
      <c r="U126" s="215">
        <v>0</v>
      </c>
      <c r="V126" s="215">
        <v>0</v>
      </c>
      <c r="W126" s="214">
        <v>0</v>
      </c>
      <c r="X126" s="215">
        <v>0</v>
      </c>
      <c r="Y126" s="215">
        <v>0</v>
      </c>
      <c r="Z126" s="215">
        <v>0</v>
      </c>
      <c r="AA126" s="214">
        <v>0</v>
      </c>
      <c r="AB126" s="215">
        <v>0</v>
      </c>
      <c r="AC126" s="215">
        <v>0</v>
      </c>
      <c r="AD126" s="215">
        <v>0</v>
      </c>
      <c r="AE126" s="214">
        <v>0</v>
      </c>
      <c r="AF126" s="215">
        <v>0</v>
      </c>
      <c r="AG126" s="215">
        <v>0</v>
      </c>
      <c r="AH126" s="215">
        <v>0</v>
      </c>
      <c r="AI126" s="214">
        <v>0</v>
      </c>
      <c r="AJ126" s="215">
        <v>0</v>
      </c>
      <c r="AK126" s="215">
        <v>0</v>
      </c>
      <c r="AL126" s="216">
        <v>0</v>
      </c>
      <c r="AM126" s="214">
        <v>0</v>
      </c>
      <c r="AN126" s="215">
        <v>0</v>
      </c>
      <c r="AO126" s="215">
        <v>0</v>
      </c>
      <c r="AP126" s="216">
        <v>0</v>
      </c>
      <c r="AQ126" s="214">
        <v>0</v>
      </c>
      <c r="AR126" s="215">
        <v>0</v>
      </c>
      <c r="AS126" s="215">
        <v>0</v>
      </c>
      <c r="AT126" s="216">
        <v>0</v>
      </c>
      <c r="AU126" s="214">
        <v>0</v>
      </c>
      <c r="AV126" s="215">
        <v>0</v>
      </c>
      <c r="AW126" s="215">
        <v>0</v>
      </c>
      <c r="AX126" s="216">
        <v>0</v>
      </c>
    </row>
    <row r="127" spans="1:50" ht="11.25" customHeight="1" x14ac:dyDescent="0.2">
      <c r="A127" s="85" t="s">
        <v>135</v>
      </c>
      <c r="B127" s="311">
        <v>0</v>
      </c>
      <c r="C127" s="214">
        <v>0</v>
      </c>
      <c r="D127" s="215">
        <v>0</v>
      </c>
      <c r="E127" s="215">
        <v>0</v>
      </c>
      <c r="F127" s="215">
        <v>0</v>
      </c>
      <c r="G127" s="214">
        <v>0</v>
      </c>
      <c r="H127" s="215">
        <v>0</v>
      </c>
      <c r="I127" s="215">
        <v>0</v>
      </c>
      <c r="J127" s="215">
        <v>0</v>
      </c>
      <c r="K127" s="214">
        <v>0</v>
      </c>
      <c r="L127" s="215">
        <v>0</v>
      </c>
      <c r="M127" s="215">
        <v>0</v>
      </c>
      <c r="N127" s="215">
        <v>0</v>
      </c>
      <c r="O127" s="214">
        <v>0</v>
      </c>
      <c r="P127" s="215">
        <v>0</v>
      </c>
      <c r="Q127" s="215">
        <v>0</v>
      </c>
      <c r="R127" s="215">
        <v>0</v>
      </c>
      <c r="S127" s="214">
        <v>0</v>
      </c>
      <c r="T127" s="215">
        <v>0</v>
      </c>
      <c r="U127" s="215">
        <v>0</v>
      </c>
      <c r="V127" s="215">
        <v>0</v>
      </c>
      <c r="W127" s="214">
        <v>0</v>
      </c>
      <c r="X127" s="215">
        <v>0</v>
      </c>
      <c r="Y127" s="215">
        <v>0</v>
      </c>
      <c r="Z127" s="215">
        <v>0</v>
      </c>
      <c r="AA127" s="214">
        <v>0</v>
      </c>
      <c r="AB127" s="215">
        <v>0</v>
      </c>
      <c r="AC127" s="215">
        <v>0</v>
      </c>
      <c r="AD127" s="215">
        <v>0</v>
      </c>
      <c r="AE127" s="214">
        <v>0</v>
      </c>
      <c r="AF127" s="215">
        <v>0</v>
      </c>
      <c r="AG127" s="215">
        <v>0</v>
      </c>
      <c r="AH127" s="215">
        <v>0</v>
      </c>
      <c r="AI127" s="214">
        <v>0</v>
      </c>
      <c r="AJ127" s="215">
        <v>0</v>
      </c>
      <c r="AK127" s="215">
        <v>0</v>
      </c>
      <c r="AL127" s="216">
        <v>0</v>
      </c>
      <c r="AM127" s="214">
        <v>0</v>
      </c>
      <c r="AN127" s="215">
        <v>0</v>
      </c>
      <c r="AO127" s="215">
        <v>0</v>
      </c>
      <c r="AP127" s="216">
        <v>0</v>
      </c>
      <c r="AQ127" s="214">
        <v>0</v>
      </c>
      <c r="AR127" s="215">
        <v>0</v>
      </c>
      <c r="AS127" s="215">
        <v>0</v>
      </c>
      <c r="AT127" s="216">
        <v>0</v>
      </c>
      <c r="AU127" s="214">
        <v>0</v>
      </c>
      <c r="AV127" s="215">
        <v>0</v>
      </c>
      <c r="AW127" s="215">
        <v>0</v>
      </c>
      <c r="AX127" s="216">
        <v>0</v>
      </c>
    </row>
    <row r="128" spans="1:50" ht="11.25" customHeight="1" x14ac:dyDescent="0.25">
      <c r="A128" s="2" t="s">
        <v>26</v>
      </c>
      <c r="B128" s="312">
        <f t="shared" ref="B128:AG128" si="43">B129-SUM(B122:B127)</f>
        <v>0</v>
      </c>
      <c r="C128" s="18">
        <f t="shared" si="43"/>
        <v>0</v>
      </c>
      <c r="D128" s="19">
        <f t="shared" si="43"/>
        <v>0</v>
      </c>
      <c r="E128" s="19">
        <f t="shared" si="43"/>
        <v>0</v>
      </c>
      <c r="F128" s="19">
        <f t="shared" si="43"/>
        <v>0</v>
      </c>
      <c r="G128" s="18">
        <f t="shared" si="43"/>
        <v>0</v>
      </c>
      <c r="H128" s="19">
        <f t="shared" si="43"/>
        <v>0</v>
      </c>
      <c r="I128" s="19">
        <f t="shared" si="43"/>
        <v>0</v>
      </c>
      <c r="J128" s="19">
        <f t="shared" si="43"/>
        <v>0</v>
      </c>
      <c r="K128" s="18">
        <f t="shared" si="43"/>
        <v>0</v>
      </c>
      <c r="L128" s="19">
        <f t="shared" si="43"/>
        <v>0</v>
      </c>
      <c r="M128" s="19">
        <f t="shared" si="43"/>
        <v>0</v>
      </c>
      <c r="N128" s="19">
        <f t="shared" si="43"/>
        <v>0</v>
      </c>
      <c r="O128" s="18">
        <f t="shared" si="43"/>
        <v>0</v>
      </c>
      <c r="P128" s="19">
        <f t="shared" si="43"/>
        <v>0</v>
      </c>
      <c r="Q128" s="19">
        <f t="shared" si="43"/>
        <v>0</v>
      </c>
      <c r="R128" s="19">
        <f t="shared" si="43"/>
        <v>0</v>
      </c>
      <c r="S128" s="18">
        <f t="shared" si="43"/>
        <v>0</v>
      </c>
      <c r="T128" s="19">
        <f t="shared" si="43"/>
        <v>0</v>
      </c>
      <c r="U128" s="19">
        <f t="shared" si="43"/>
        <v>0</v>
      </c>
      <c r="V128" s="19">
        <f t="shared" si="43"/>
        <v>0</v>
      </c>
      <c r="W128" s="18">
        <f t="shared" si="43"/>
        <v>0</v>
      </c>
      <c r="X128" s="19">
        <f t="shared" si="43"/>
        <v>0</v>
      </c>
      <c r="Y128" s="19">
        <f t="shared" si="43"/>
        <v>0</v>
      </c>
      <c r="Z128" s="19">
        <f t="shared" si="43"/>
        <v>0</v>
      </c>
      <c r="AA128" s="18">
        <f t="shared" si="43"/>
        <v>0</v>
      </c>
      <c r="AB128" s="19">
        <f t="shared" si="43"/>
        <v>0</v>
      </c>
      <c r="AC128" s="19">
        <f t="shared" si="43"/>
        <v>0</v>
      </c>
      <c r="AD128" s="19">
        <f t="shared" si="43"/>
        <v>0</v>
      </c>
      <c r="AE128" s="18">
        <f t="shared" si="43"/>
        <v>0</v>
      </c>
      <c r="AF128" s="19">
        <f t="shared" si="43"/>
        <v>0</v>
      </c>
      <c r="AG128" s="19">
        <f t="shared" si="43"/>
        <v>0</v>
      </c>
      <c r="AH128" s="19">
        <f t="shared" ref="AH128:AX128" si="44">AH129-SUM(AH122:AH127)</f>
        <v>0</v>
      </c>
      <c r="AI128" s="18">
        <f t="shared" si="44"/>
        <v>0</v>
      </c>
      <c r="AJ128" s="19">
        <f t="shared" si="44"/>
        <v>0</v>
      </c>
      <c r="AK128" s="19">
        <f t="shared" si="44"/>
        <v>0</v>
      </c>
      <c r="AL128" s="20">
        <f t="shared" si="44"/>
        <v>0</v>
      </c>
      <c r="AM128" s="18">
        <f t="shared" si="44"/>
        <v>0</v>
      </c>
      <c r="AN128" s="19">
        <f t="shared" si="44"/>
        <v>0</v>
      </c>
      <c r="AO128" s="19">
        <f t="shared" si="44"/>
        <v>0</v>
      </c>
      <c r="AP128" s="20">
        <f t="shared" si="44"/>
        <v>0</v>
      </c>
      <c r="AQ128" s="18">
        <f t="shared" si="44"/>
        <v>0</v>
      </c>
      <c r="AR128" s="19">
        <f t="shared" si="44"/>
        <v>0</v>
      </c>
      <c r="AS128" s="19">
        <f t="shared" si="44"/>
        <v>0</v>
      </c>
      <c r="AT128" s="20">
        <f t="shared" si="44"/>
        <v>0</v>
      </c>
      <c r="AU128" s="18">
        <f t="shared" si="44"/>
        <v>0</v>
      </c>
      <c r="AV128" s="19">
        <f t="shared" si="44"/>
        <v>0</v>
      </c>
      <c r="AW128" s="19">
        <f t="shared" si="44"/>
        <v>0</v>
      </c>
      <c r="AX128" s="20">
        <f t="shared" si="44"/>
        <v>0</v>
      </c>
    </row>
    <row r="129" spans="1:50" s="16" customFormat="1" ht="11.25" customHeight="1" x14ac:dyDescent="0.2">
      <c r="A129" s="6" t="s">
        <v>13</v>
      </c>
      <c r="B129" s="314">
        <v>0</v>
      </c>
      <c r="C129" s="220">
        <v>0</v>
      </c>
      <c r="D129" s="221">
        <v>0</v>
      </c>
      <c r="E129" s="221">
        <v>0</v>
      </c>
      <c r="F129" s="221">
        <v>0</v>
      </c>
      <c r="G129" s="220">
        <v>0</v>
      </c>
      <c r="H129" s="221">
        <v>0</v>
      </c>
      <c r="I129" s="221">
        <v>0</v>
      </c>
      <c r="J129" s="221">
        <v>0</v>
      </c>
      <c r="K129" s="220">
        <v>0</v>
      </c>
      <c r="L129" s="221">
        <v>0</v>
      </c>
      <c r="M129" s="221">
        <v>0</v>
      </c>
      <c r="N129" s="221">
        <v>0</v>
      </c>
      <c r="O129" s="220">
        <v>0</v>
      </c>
      <c r="P129" s="221">
        <v>0</v>
      </c>
      <c r="Q129" s="221">
        <v>0</v>
      </c>
      <c r="R129" s="221">
        <v>0</v>
      </c>
      <c r="S129" s="220">
        <v>0</v>
      </c>
      <c r="T129" s="221">
        <v>0</v>
      </c>
      <c r="U129" s="221">
        <v>0</v>
      </c>
      <c r="V129" s="221">
        <v>0</v>
      </c>
      <c r="W129" s="220">
        <v>0</v>
      </c>
      <c r="X129" s="221">
        <v>0</v>
      </c>
      <c r="Y129" s="221">
        <v>0</v>
      </c>
      <c r="Z129" s="221">
        <v>0</v>
      </c>
      <c r="AA129" s="220">
        <v>0</v>
      </c>
      <c r="AB129" s="221">
        <v>0</v>
      </c>
      <c r="AC129" s="221">
        <v>0</v>
      </c>
      <c r="AD129" s="221">
        <v>0</v>
      </c>
      <c r="AE129" s="220">
        <v>0</v>
      </c>
      <c r="AF129" s="221">
        <v>0</v>
      </c>
      <c r="AG129" s="221">
        <v>0</v>
      </c>
      <c r="AH129" s="221">
        <v>0</v>
      </c>
      <c r="AI129" s="220">
        <v>0</v>
      </c>
      <c r="AJ129" s="221">
        <v>0</v>
      </c>
      <c r="AK129" s="221">
        <v>0</v>
      </c>
      <c r="AL129" s="222">
        <v>0</v>
      </c>
      <c r="AM129" s="220">
        <v>0</v>
      </c>
      <c r="AN129" s="221">
        <v>0</v>
      </c>
      <c r="AO129" s="221">
        <v>0</v>
      </c>
      <c r="AP129" s="222">
        <v>0</v>
      </c>
      <c r="AQ129" s="220">
        <v>0</v>
      </c>
      <c r="AR129" s="221">
        <v>0</v>
      </c>
      <c r="AS129" s="221">
        <v>0</v>
      </c>
      <c r="AT129" s="222">
        <v>0</v>
      </c>
      <c r="AU129" s="220">
        <v>0</v>
      </c>
      <c r="AV129" s="221">
        <v>0</v>
      </c>
      <c r="AW129" s="221">
        <v>0</v>
      </c>
      <c r="AX129" s="222">
        <v>0</v>
      </c>
    </row>
    <row r="130" spans="1:50" ht="11.25" customHeight="1" x14ac:dyDescent="0.2">
      <c r="A130" s="2"/>
      <c r="B130" s="315"/>
      <c r="C130" s="21"/>
      <c r="D130" s="45"/>
      <c r="E130" s="45"/>
      <c r="F130" s="45"/>
      <c r="G130" s="21"/>
      <c r="H130" s="45"/>
      <c r="I130" s="45"/>
      <c r="J130" s="45"/>
      <c r="K130" s="21"/>
      <c r="L130" s="45"/>
      <c r="M130" s="45"/>
      <c r="N130" s="45"/>
      <c r="O130" s="21"/>
      <c r="P130" s="45"/>
      <c r="Q130" s="45"/>
      <c r="R130" s="45"/>
      <c r="S130" s="21"/>
      <c r="T130" s="45"/>
      <c r="U130" s="45"/>
      <c r="V130" s="45"/>
      <c r="W130" s="21"/>
      <c r="X130" s="45"/>
      <c r="Y130" s="45"/>
      <c r="Z130" s="45"/>
      <c r="AA130" s="21"/>
      <c r="AB130" s="45"/>
      <c r="AC130" s="45"/>
      <c r="AD130" s="45"/>
      <c r="AE130" s="21"/>
      <c r="AF130" s="45"/>
      <c r="AG130" s="45"/>
      <c r="AH130" s="45"/>
      <c r="AI130" s="21"/>
      <c r="AJ130" s="45"/>
      <c r="AK130" s="45"/>
      <c r="AL130" s="46"/>
      <c r="AM130" s="21"/>
      <c r="AN130" s="45"/>
      <c r="AO130" s="45"/>
      <c r="AP130" s="46"/>
      <c r="AQ130" s="21"/>
      <c r="AR130" s="45"/>
      <c r="AS130" s="45"/>
      <c r="AT130" s="46"/>
      <c r="AU130" s="21"/>
      <c r="AV130" s="45"/>
      <c r="AW130" s="45"/>
      <c r="AX130" s="46"/>
    </row>
    <row r="131" spans="1:50" ht="11.25" customHeight="1" x14ac:dyDescent="0.2">
      <c r="A131" s="85" t="s">
        <v>107</v>
      </c>
      <c r="B131" s="311">
        <v>0</v>
      </c>
      <c r="C131" s="214">
        <v>0</v>
      </c>
      <c r="D131" s="215">
        <v>0</v>
      </c>
      <c r="E131" s="215">
        <v>0</v>
      </c>
      <c r="F131" s="215">
        <v>0</v>
      </c>
      <c r="G131" s="214">
        <v>0</v>
      </c>
      <c r="H131" s="215">
        <v>0</v>
      </c>
      <c r="I131" s="215">
        <v>0</v>
      </c>
      <c r="J131" s="215">
        <v>0</v>
      </c>
      <c r="K131" s="214">
        <v>0</v>
      </c>
      <c r="L131" s="215">
        <v>0</v>
      </c>
      <c r="M131" s="215">
        <v>0</v>
      </c>
      <c r="N131" s="215">
        <v>0</v>
      </c>
      <c r="O131" s="214">
        <v>0</v>
      </c>
      <c r="P131" s="215">
        <v>0</v>
      </c>
      <c r="Q131" s="215">
        <v>0</v>
      </c>
      <c r="R131" s="215">
        <v>0</v>
      </c>
      <c r="S131" s="214">
        <v>0</v>
      </c>
      <c r="T131" s="215">
        <v>0</v>
      </c>
      <c r="U131" s="215">
        <v>0</v>
      </c>
      <c r="V131" s="215">
        <v>0</v>
      </c>
      <c r="W131" s="214">
        <v>0</v>
      </c>
      <c r="X131" s="215">
        <v>0</v>
      </c>
      <c r="Y131" s="215">
        <v>0</v>
      </c>
      <c r="Z131" s="215">
        <v>0</v>
      </c>
      <c r="AA131" s="214">
        <v>0</v>
      </c>
      <c r="AB131" s="215">
        <v>0</v>
      </c>
      <c r="AC131" s="215">
        <v>0</v>
      </c>
      <c r="AD131" s="215">
        <v>0</v>
      </c>
      <c r="AE131" s="214">
        <v>0</v>
      </c>
      <c r="AF131" s="215">
        <v>0</v>
      </c>
      <c r="AG131" s="215">
        <v>0</v>
      </c>
      <c r="AH131" s="215">
        <v>0</v>
      </c>
      <c r="AI131" s="214">
        <v>0</v>
      </c>
      <c r="AJ131" s="215">
        <v>0</v>
      </c>
      <c r="AK131" s="215">
        <v>0</v>
      </c>
      <c r="AL131" s="216">
        <v>0</v>
      </c>
      <c r="AM131" s="214">
        <v>0</v>
      </c>
      <c r="AN131" s="215">
        <v>0</v>
      </c>
      <c r="AO131" s="215">
        <v>0</v>
      </c>
      <c r="AP131" s="216">
        <v>0</v>
      </c>
      <c r="AQ131" s="214">
        <v>0</v>
      </c>
      <c r="AR131" s="215">
        <v>0</v>
      </c>
      <c r="AS131" s="215">
        <v>0</v>
      </c>
      <c r="AT131" s="216">
        <v>0</v>
      </c>
      <c r="AU131" s="214">
        <v>0</v>
      </c>
      <c r="AV131" s="215">
        <v>0</v>
      </c>
      <c r="AW131" s="215">
        <v>0</v>
      </c>
      <c r="AX131" s="216">
        <v>0</v>
      </c>
    </row>
    <row r="132" spans="1:50" ht="11.25" customHeight="1" x14ac:dyDescent="0.2">
      <c r="A132" s="85" t="s">
        <v>66</v>
      </c>
      <c r="B132" s="311">
        <v>0</v>
      </c>
      <c r="C132" s="214">
        <v>0</v>
      </c>
      <c r="D132" s="215">
        <v>0</v>
      </c>
      <c r="E132" s="215">
        <v>0</v>
      </c>
      <c r="F132" s="215">
        <v>0</v>
      </c>
      <c r="G132" s="214">
        <v>0</v>
      </c>
      <c r="H132" s="215">
        <v>0</v>
      </c>
      <c r="I132" s="215">
        <v>0</v>
      </c>
      <c r="J132" s="215">
        <v>0</v>
      </c>
      <c r="K132" s="214">
        <v>0</v>
      </c>
      <c r="L132" s="215">
        <v>0</v>
      </c>
      <c r="M132" s="215">
        <v>0</v>
      </c>
      <c r="N132" s="215">
        <v>0</v>
      </c>
      <c r="O132" s="214">
        <v>0</v>
      </c>
      <c r="P132" s="215">
        <v>0</v>
      </c>
      <c r="Q132" s="215">
        <v>0</v>
      </c>
      <c r="R132" s="215">
        <v>0</v>
      </c>
      <c r="S132" s="214">
        <v>0</v>
      </c>
      <c r="T132" s="215">
        <v>0</v>
      </c>
      <c r="U132" s="215">
        <v>0</v>
      </c>
      <c r="V132" s="215">
        <v>0</v>
      </c>
      <c r="W132" s="214">
        <v>0</v>
      </c>
      <c r="X132" s="215">
        <v>0</v>
      </c>
      <c r="Y132" s="215">
        <v>0</v>
      </c>
      <c r="Z132" s="215">
        <v>0</v>
      </c>
      <c r="AA132" s="214">
        <v>0</v>
      </c>
      <c r="AB132" s="215">
        <v>0</v>
      </c>
      <c r="AC132" s="215">
        <v>0</v>
      </c>
      <c r="AD132" s="215">
        <v>0</v>
      </c>
      <c r="AE132" s="214">
        <v>0</v>
      </c>
      <c r="AF132" s="215">
        <v>0</v>
      </c>
      <c r="AG132" s="215">
        <v>0</v>
      </c>
      <c r="AH132" s="215">
        <v>0</v>
      </c>
      <c r="AI132" s="214">
        <v>0</v>
      </c>
      <c r="AJ132" s="215">
        <v>0</v>
      </c>
      <c r="AK132" s="215">
        <v>0</v>
      </c>
      <c r="AL132" s="216">
        <v>0</v>
      </c>
      <c r="AM132" s="214">
        <v>0</v>
      </c>
      <c r="AN132" s="215">
        <v>0</v>
      </c>
      <c r="AO132" s="215">
        <v>0</v>
      </c>
      <c r="AP132" s="216">
        <v>0</v>
      </c>
      <c r="AQ132" s="214">
        <v>0</v>
      </c>
      <c r="AR132" s="215">
        <v>0</v>
      </c>
      <c r="AS132" s="215">
        <v>0</v>
      </c>
      <c r="AT132" s="216">
        <v>0</v>
      </c>
      <c r="AU132" s="214">
        <v>0</v>
      </c>
      <c r="AV132" s="215">
        <v>0</v>
      </c>
      <c r="AW132" s="215">
        <v>0</v>
      </c>
      <c r="AX132" s="216">
        <v>0</v>
      </c>
    </row>
    <row r="133" spans="1:50" ht="11.25" customHeight="1" x14ac:dyDescent="0.2">
      <c r="A133" s="2" t="s">
        <v>37</v>
      </c>
      <c r="B133" s="311">
        <v>0</v>
      </c>
      <c r="C133" s="214">
        <v>0</v>
      </c>
      <c r="D133" s="215">
        <v>0</v>
      </c>
      <c r="E133" s="215">
        <v>0</v>
      </c>
      <c r="F133" s="215">
        <v>0</v>
      </c>
      <c r="G133" s="214">
        <v>0</v>
      </c>
      <c r="H133" s="215">
        <v>0</v>
      </c>
      <c r="I133" s="215">
        <v>0</v>
      </c>
      <c r="J133" s="215">
        <v>0</v>
      </c>
      <c r="K133" s="214">
        <v>0</v>
      </c>
      <c r="L133" s="215">
        <v>0</v>
      </c>
      <c r="M133" s="215">
        <v>0</v>
      </c>
      <c r="N133" s="215">
        <v>0</v>
      </c>
      <c r="O133" s="214">
        <v>0</v>
      </c>
      <c r="P133" s="215">
        <v>0</v>
      </c>
      <c r="Q133" s="215">
        <v>0</v>
      </c>
      <c r="R133" s="215">
        <v>0</v>
      </c>
      <c r="S133" s="214">
        <v>0</v>
      </c>
      <c r="T133" s="215">
        <v>0</v>
      </c>
      <c r="U133" s="215">
        <v>0</v>
      </c>
      <c r="V133" s="215">
        <v>0</v>
      </c>
      <c r="W133" s="214">
        <v>0</v>
      </c>
      <c r="X133" s="215">
        <v>0</v>
      </c>
      <c r="Y133" s="215">
        <v>0</v>
      </c>
      <c r="Z133" s="215">
        <v>0</v>
      </c>
      <c r="AA133" s="214">
        <v>0</v>
      </c>
      <c r="AB133" s="215">
        <v>0</v>
      </c>
      <c r="AC133" s="215">
        <v>0</v>
      </c>
      <c r="AD133" s="215">
        <v>0</v>
      </c>
      <c r="AE133" s="214">
        <v>0</v>
      </c>
      <c r="AF133" s="215">
        <v>0</v>
      </c>
      <c r="AG133" s="215">
        <v>0</v>
      </c>
      <c r="AH133" s="215">
        <v>0</v>
      </c>
      <c r="AI133" s="214">
        <v>0</v>
      </c>
      <c r="AJ133" s="215">
        <v>0</v>
      </c>
      <c r="AK133" s="215">
        <v>0</v>
      </c>
      <c r="AL133" s="216">
        <v>0</v>
      </c>
      <c r="AM133" s="214">
        <v>0</v>
      </c>
      <c r="AN133" s="215">
        <v>0</v>
      </c>
      <c r="AO133" s="215">
        <v>0</v>
      </c>
      <c r="AP133" s="216">
        <v>0</v>
      </c>
      <c r="AQ133" s="214">
        <v>0</v>
      </c>
      <c r="AR133" s="215">
        <v>0</v>
      </c>
      <c r="AS133" s="215">
        <v>0</v>
      </c>
      <c r="AT133" s="216">
        <v>0</v>
      </c>
      <c r="AU133" s="214">
        <v>0</v>
      </c>
      <c r="AV133" s="215">
        <v>0</v>
      </c>
      <c r="AW133" s="215">
        <v>0</v>
      </c>
      <c r="AX133" s="216">
        <v>0</v>
      </c>
    </row>
    <row r="134" spans="1:50" ht="11.25" customHeight="1" x14ac:dyDescent="0.2">
      <c r="A134" s="85" t="s">
        <v>108</v>
      </c>
      <c r="B134" s="311">
        <v>0</v>
      </c>
      <c r="C134" s="214">
        <v>0</v>
      </c>
      <c r="D134" s="215">
        <v>0</v>
      </c>
      <c r="E134" s="215">
        <v>0</v>
      </c>
      <c r="F134" s="215">
        <v>0</v>
      </c>
      <c r="G134" s="214">
        <v>0</v>
      </c>
      <c r="H134" s="215">
        <v>0</v>
      </c>
      <c r="I134" s="215">
        <v>0</v>
      </c>
      <c r="J134" s="215">
        <v>0</v>
      </c>
      <c r="K134" s="214">
        <v>0</v>
      </c>
      <c r="L134" s="215">
        <v>0</v>
      </c>
      <c r="M134" s="215">
        <v>0</v>
      </c>
      <c r="N134" s="215">
        <v>0</v>
      </c>
      <c r="O134" s="214">
        <v>0</v>
      </c>
      <c r="P134" s="215">
        <v>0</v>
      </c>
      <c r="Q134" s="215">
        <v>0</v>
      </c>
      <c r="R134" s="215">
        <v>0</v>
      </c>
      <c r="S134" s="214">
        <v>0</v>
      </c>
      <c r="T134" s="215">
        <v>0</v>
      </c>
      <c r="U134" s="215">
        <v>0</v>
      </c>
      <c r="V134" s="215">
        <v>0</v>
      </c>
      <c r="W134" s="214">
        <v>0</v>
      </c>
      <c r="X134" s="215">
        <v>0</v>
      </c>
      <c r="Y134" s="215">
        <v>0</v>
      </c>
      <c r="Z134" s="215">
        <v>0</v>
      </c>
      <c r="AA134" s="214">
        <v>0</v>
      </c>
      <c r="AB134" s="215">
        <v>0</v>
      </c>
      <c r="AC134" s="215">
        <v>0</v>
      </c>
      <c r="AD134" s="215">
        <v>0</v>
      </c>
      <c r="AE134" s="214">
        <v>0</v>
      </c>
      <c r="AF134" s="215">
        <v>0</v>
      </c>
      <c r="AG134" s="215">
        <v>0</v>
      </c>
      <c r="AH134" s="215">
        <v>0</v>
      </c>
      <c r="AI134" s="214">
        <v>0</v>
      </c>
      <c r="AJ134" s="215">
        <v>0</v>
      </c>
      <c r="AK134" s="215">
        <v>0</v>
      </c>
      <c r="AL134" s="216">
        <v>0</v>
      </c>
      <c r="AM134" s="214">
        <v>0</v>
      </c>
      <c r="AN134" s="215">
        <v>0</v>
      </c>
      <c r="AO134" s="215">
        <v>0</v>
      </c>
      <c r="AP134" s="216">
        <v>0</v>
      </c>
      <c r="AQ134" s="214">
        <v>0</v>
      </c>
      <c r="AR134" s="215">
        <v>0</v>
      </c>
      <c r="AS134" s="215">
        <v>0</v>
      </c>
      <c r="AT134" s="216">
        <v>0</v>
      </c>
      <c r="AU134" s="214">
        <v>0</v>
      </c>
      <c r="AV134" s="215">
        <v>0</v>
      </c>
      <c r="AW134" s="215">
        <v>0</v>
      </c>
      <c r="AX134" s="216">
        <v>0</v>
      </c>
    </row>
    <row r="135" spans="1:50" ht="11.25" customHeight="1" x14ac:dyDescent="0.25">
      <c r="A135" s="2" t="s">
        <v>30</v>
      </c>
      <c r="B135" s="312">
        <f t="shared" ref="B135:AG135" si="45">B136-SUM(B131:B134)</f>
        <v>0</v>
      </c>
      <c r="C135" s="18">
        <f t="shared" si="45"/>
        <v>0</v>
      </c>
      <c r="D135" s="19">
        <f t="shared" si="45"/>
        <v>0</v>
      </c>
      <c r="E135" s="19">
        <f t="shared" si="45"/>
        <v>0</v>
      </c>
      <c r="F135" s="19">
        <f t="shared" si="45"/>
        <v>0</v>
      </c>
      <c r="G135" s="18">
        <f t="shared" si="45"/>
        <v>0</v>
      </c>
      <c r="H135" s="19">
        <f t="shared" si="45"/>
        <v>0</v>
      </c>
      <c r="I135" s="19">
        <f t="shared" si="45"/>
        <v>0</v>
      </c>
      <c r="J135" s="19">
        <f t="shared" si="45"/>
        <v>0</v>
      </c>
      <c r="K135" s="18">
        <f t="shared" si="45"/>
        <v>0</v>
      </c>
      <c r="L135" s="19">
        <f t="shared" si="45"/>
        <v>0</v>
      </c>
      <c r="M135" s="19">
        <f t="shared" si="45"/>
        <v>0</v>
      </c>
      <c r="N135" s="19">
        <f t="shared" si="45"/>
        <v>0</v>
      </c>
      <c r="O135" s="18">
        <f t="shared" si="45"/>
        <v>0</v>
      </c>
      <c r="P135" s="19">
        <f t="shared" si="45"/>
        <v>0</v>
      </c>
      <c r="Q135" s="19">
        <f t="shared" si="45"/>
        <v>0</v>
      </c>
      <c r="R135" s="19">
        <f t="shared" si="45"/>
        <v>0</v>
      </c>
      <c r="S135" s="18">
        <f t="shared" si="45"/>
        <v>0</v>
      </c>
      <c r="T135" s="19">
        <f t="shared" si="45"/>
        <v>0</v>
      </c>
      <c r="U135" s="19">
        <f t="shared" si="45"/>
        <v>0</v>
      </c>
      <c r="V135" s="19">
        <f t="shared" si="45"/>
        <v>0</v>
      </c>
      <c r="W135" s="18">
        <f t="shared" si="45"/>
        <v>0</v>
      </c>
      <c r="X135" s="19">
        <f t="shared" si="45"/>
        <v>0</v>
      </c>
      <c r="Y135" s="19">
        <f t="shared" si="45"/>
        <v>0</v>
      </c>
      <c r="Z135" s="19">
        <f t="shared" si="45"/>
        <v>0</v>
      </c>
      <c r="AA135" s="18">
        <f t="shared" si="45"/>
        <v>0</v>
      </c>
      <c r="AB135" s="19">
        <f t="shared" si="45"/>
        <v>0</v>
      </c>
      <c r="AC135" s="19">
        <f t="shared" si="45"/>
        <v>0</v>
      </c>
      <c r="AD135" s="19">
        <f t="shared" si="45"/>
        <v>0</v>
      </c>
      <c r="AE135" s="18">
        <f t="shared" si="45"/>
        <v>0</v>
      </c>
      <c r="AF135" s="19">
        <f t="shared" si="45"/>
        <v>0</v>
      </c>
      <c r="AG135" s="19">
        <f t="shared" si="45"/>
        <v>0</v>
      </c>
      <c r="AH135" s="19">
        <f t="shared" ref="AH135:AX135" si="46">AH136-SUM(AH131:AH134)</f>
        <v>0</v>
      </c>
      <c r="AI135" s="18">
        <f t="shared" si="46"/>
        <v>0</v>
      </c>
      <c r="AJ135" s="19">
        <f t="shared" si="46"/>
        <v>0</v>
      </c>
      <c r="AK135" s="19">
        <f t="shared" si="46"/>
        <v>0</v>
      </c>
      <c r="AL135" s="20">
        <f t="shared" si="46"/>
        <v>0</v>
      </c>
      <c r="AM135" s="18">
        <f t="shared" si="46"/>
        <v>0</v>
      </c>
      <c r="AN135" s="19">
        <f t="shared" si="46"/>
        <v>0</v>
      </c>
      <c r="AO135" s="19">
        <f t="shared" si="46"/>
        <v>0</v>
      </c>
      <c r="AP135" s="20">
        <f t="shared" si="46"/>
        <v>0</v>
      </c>
      <c r="AQ135" s="18">
        <f t="shared" si="46"/>
        <v>0</v>
      </c>
      <c r="AR135" s="19">
        <f t="shared" si="46"/>
        <v>0</v>
      </c>
      <c r="AS135" s="19">
        <f t="shared" si="46"/>
        <v>0</v>
      </c>
      <c r="AT135" s="20">
        <f t="shared" si="46"/>
        <v>0</v>
      </c>
      <c r="AU135" s="18">
        <f t="shared" si="46"/>
        <v>0</v>
      </c>
      <c r="AV135" s="19">
        <f t="shared" si="46"/>
        <v>0</v>
      </c>
      <c r="AW135" s="19">
        <f t="shared" si="46"/>
        <v>0</v>
      </c>
      <c r="AX135" s="20">
        <f t="shared" si="46"/>
        <v>0</v>
      </c>
    </row>
    <row r="136" spans="1:50" ht="11.25" customHeight="1" x14ac:dyDescent="0.2">
      <c r="A136" s="2" t="s">
        <v>27</v>
      </c>
      <c r="B136" s="311">
        <v>0</v>
      </c>
      <c r="C136" s="214">
        <v>0</v>
      </c>
      <c r="D136" s="215">
        <v>0</v>
      </c>
      <c r="E136" s="215">
        <v>0</v>
      </c>
      <c r="F136" s="215">
        <v>0</v>
      </c>
      <c r="G136" s="214">
        <v>0</v>
      </c>
      <c r="H136" s="215">
        <v>0</v>
      </c>
      <c r="I136" s="215">
        <v>0</v>
      </c>
      <c r="J136" s="215">
        <v>0</v>
      </c>
      <c r="K136" s="214">
        <v>0</v>
      </c>
      <c r="L136" s="215">
        <v>0</v>
      </c>
      <c r="M136" s="215">
        <v>0</v>
      </c>
      <c r="N136" s="215">
        <v>0</v>
      </c>
      <c r="O136" s="214">
        <v>0</v>
      </c>
      <c r="P136" s="215">
        <v>0</v>
      </c>
      <c r="Q136" s="215">
        <v>0</v>
      </c>
      <c r="R136" s="215">
        <v>0</v>
      </c>
      <c r="S136" s="214">
        <v>0</v>
      </c>
      <c r="T136" s="215">
        <v>0</v>
      </c>
      <c r="U136" s="215">
        <v>0</v>
      </c>
      <c r="V136" s="215">
        <v>0</v>
      </c>
      <c r="W136" s="214">
        <v>0</v>
      </c>
      <c r="X136" s="215">
        <v>0</v>
      </c>
      <c r="Y136" s="215">
        <v>0</v>
      </c>
      <c r="Z136" s="215">
        <v>0</v>
      </c>
      <c r="AA136" s="214">
        <v>0</v>
      </c>
      <c r="AB136" s="215">
        <v>0</v>
      </c>
      <c r="AC136" s="215">
        <v>0</v>
      </c>
      <c r="AD136" s="215">
        <v>0</v>
      </c>
      <c r="AE136" s="214">
        <v>0</v>
      </c>
      <c r="AF136" s="215">
        <v>0</v>
      </c>
      <c r="AG136" s="215">
        <v>0</v>
      </c>
      <c r="AH136" s="215">
        <v>0</v>
      </c>
      <c r="AI136" s="214">
        <v>0</v>
      </c>
      <c r="AJ136" s="215">
        <v>0</v>
      </c>
      <c r="AK136" s="215">
        <v>0</v>
      </c>
      <c r="AL136" s="216">
        <v>0</v>
      </c>
      <c r="AM136" s="220">
        <v>0</v>
      </c>
      <c r="AN136" s="221">
        <v>0</v>
      </c>
      <c r="AO136" s="221">
        <v>0</v>
      </c>
      <c r="AP136" s="222">
        <v>0</v>
      </c>
      <c r="AQ136" s="220">
        <v>0</v>
      </c>
      <c r="AR136" s="221">
        <v>0</v>
      </c>
      <c r="AS136" s="221">
        <v>0</v>
      </c>
      <c r="AT136" s="222">
        <v>0</v>
      </c>
      <c r="AU136" s="220">
        <v>0</v>
      </c>
      <c r="AV136" s="221">
        <v>0</v>
      </c>
      <c r="AW136" s="221">
        <v>0</v>
      </c>
      <c r="AX136" s="222">
        <v>0</v>
      </c>
    </row>
    <row r="137" spans="1:50" ht="11.25" customHeight="1" x14ac:dyDescent="0.2">
      <c r="A137" s="2"/>
      <c r="B137" s="315"/>
      <c r="C137" s="21"/>
      <c r="D137" s="45"/>
      <c r="E137" s="45"/>
      <c r="F137" s="45"/>
      <c r="G137" s="21"/>
      <c r="H137" s="45"/>
      <c r="I137" s="45"/>
      <c r="J137" s="45"/>
      <c r="K137" s="21"/>
      <c r="L137" s="45"/>
      <c r="M137" s="45"/>
      <c r="N137" s="45"/>
      <c r="O137" s="21"/>
      <c r="P137" s="45"/>
      <c r="Q137" s="45"/>
      <c r="R137" s="45"/>
      <c r="S137" s="21"/>
      <c r="T137" s="45"/>
      <c r="U137" s="45"/>
      <c r="V137" s="45"/>
      <c r="W137" s="21"/>
      <c r="X137" s="45"/>
      <c r="Y137" s="45"/>
      <c r="Z137" s="45"/>
      <c r="AA137" s="21"/>
      <c r="AB137" s="45"/>
      <c r="AC137" s="45"/>
      <c r="AD137" s="45"/>
      <c r="AE137" s="21"/>
      <c r="AF137" s="45"/>
      <c r="AG137" s="45"/>
      <c r="AH137" s="45"/>
      <c r="AI137" s="21"/>
      <c r="AJ137" s="45"/>
      <c r="AK137" s="45"/>
      <c r="AL137" s="46"/>
      <c r="AM137" s="21"/>
      <c r="AN137" s="45"/>
      <c r="AO137" s="45"/>
      <c r="AP137" s="46"/>
      <c r="AQ137" s="21"/>
      <c r="AR137" s="45"/>
      <c r="AS137" s="45"/>
      <c r="AT137" s="46"/>
      <c r="AU137" s="21"/>
      <c r="AV137" s="45"/>
      <c r="AW137" s="45"/>
      <c r="AX137" s="46"/>
    </row>
    <row r="138" spans="1:50" ht="11.25" customHeight="1" x14ac:dyDescent="0.2">
      <c r="A138" s="2" t="s">
        <v>37</v>
      </c>
      <c r="B138" s="311">
        <v>0</v>
      </c>
      <c r="C138" s="214">
        <v>0</v>
      </c>
      <c r="D138" s="215">
        <v>0</v>
      </c>
      <c r="E138" s="215">
        <v>0</v>
      </c>
      <c r="F138" s="215">
        <v>0</v>
      </c>
      <c r="G138" s="214">
        <v>0</v>
      </c>
      <c r="H138" s="215">
        <v>0</v>
      </c>
      <c r="I138" s="215">
        <v>0</v>
      </c>
      <c r="J138" s="215">
        <v>0</v>
      </c>
      <c r="K138" s="214">
        <v>0</v>
      </c>
      <c r="L138" s="215">
        <v>0</v>
      </c>
      <c r="M138" s="215">
        <v>0</v>
      </c>
      <c r="N138" s="215">
        <v>0</v>
      </c>
      <c r="O138" s="214">
        <v>0</v>
      </c>
      <c r="P138" s="215">
        <v>0</v>
      </c>
      <c r="Q138" s="215">
        <v>0</v>
      </c>
      <c r="R138" s="215">
        <v>0</v>
      </c>
      <c r="S138" s="214">
        <v>0</v>
      </c>
      <c r="T138" s="215">
        <v>0</v>
      </c>
      <c r="U138" s="215">
        <v>0</v>
      </c>
      <c r="V138" s="215">
        <v>0</v>
      </c>
      <c r="W138" s="214">
        <v>0</v>
      </c>
      <c r="X138" s="215">
        <v>0</v>
      </c>
      <c r="Y138" s="215">
        <v>0</v>
      </c>
      <c r="Z138" s="215">
        <v>0</v>
      </c>
      <c r="AA138" s="214">
        <v>0</v>
      </c>
      <c r="AB138" s="215">
        <v>0</v>
      </c>
      <c r="AC138" s="215">
        <v>0</v>
      </c>
      <c r="AD138" s="215">
        <v>0</v>
      </c>
      <c r="AE138" s="214">
        <v>0</v>
      </c>
      <c r="AF138" s="215">
        <v>0</v>
      </c>
      <c r="AG138" s="215">
        <v>0</v>
      </c>
      <c r="AH138" s="215">
        <v>0</v>
      </c>
      <c r="AI138" s="214">
        <v>0</v>
      </c>
      <c r="AJ138" s="215">
        <v>0</v>
      </c>
      <c r="AK138" s="215">
        <v>0</v>
      </c>
      <c r="AL138" s="216">
        <v>0</v>
      </c>
      <c r="AM138" s="214">
        <v>0</v>
      </c>
      <c r="AN138" s="215">
        <v>0</v>
      </c>
      <c r="AO138" s="215">
        <v>0</v>
      </c>
      <c r="AP138" s="216">
        <v>0</v>
      </c>
      <c r="AQ138" s="214">
        <v>0</v>
      </c>
      <c r="AR138" s="215">
        <v>0</v>
      </c>
      <c r="AS138" s="215">
        <v>0</v>
      </c>
      <c r="AT138" s="216">
        <v>0</v>
      </c>
      <c r="AU138" s="214">
        <v>0</v>
      </c>
      <c r="AV138" s="215">
        <v>0</v>
      </c>
      <c r="AW138" s="215">
        <v>0</v>
      </c>
      <c r="AX138" s="216">
        <v>0</v>
      </c>
    </row>
    <row r="139" spans="1:50" ht="11.25" customHeight="1" x14ac:dyDescent="0.2">
      <c r="A139" s="85" t="s">
        <v>67</v>
      </c>
      <c r="B139" s="311">
        <v>0</v>
      </c>
      <c r="C139" s="214">
        <v>0</v>
      </c>
      <c r="D139" s="215">
        <v>0</v>
      </c>
      <c r="E139" s="215">
        <v>0</v>
      </c>
      <c r="F139" s="215">
        <v>0</v>
      </c>
      <c r="G139" s="214">
        <v>0</v>
      </c>
      <c r="H139" s="215">
        <v>0</v>
      </c>
      <c r="I139" s="215">
        <v>0</v>
      </c>
      <c r="J139" s="215">
        <v>0</v>
      </c>
      <c r="K139" s="214">
        <v>0</v>
      </c>
      <c r="L139" s="215">
        <v>0</v>
      </c>
      <c r="M139" s="215">
        <v>0</v>
      </c>
      <c r="N139" s="215">
        <v>0</v>
      </c>
      <c r="O139" s="214">
        <v>0</v>
      </c>
      <c r="P139" s="215">
        <v>0</v>
      </c>
      <c r="Q139" s="215">
        <v>0</v>
      </c>
      <c r="R139" s="215">
        <v>0</v>
      </c>
      <c r="S139" s="214">
        <v>0</v>
      </c>
      <c r="T139" s="215">
        <v>0</v>
      </c>
      <c r="U139" s="215">
        <v>0</v>
      </c>
      <c r="V139" s="215">
        <v>0</v>
      </c>
      <c r="W139" s="214">
        <v>0</v>
      </c>
      <c r="X139" s="215">
        <v>0</v>
      </c>
      <c r="Y139" s="215">
        <v>0</v>
      </c>
      <c r="Z139" s="215">
        <v>0</v>
      </c>
      <c r="AA139" s="214">
        <v>0</v>
      </c>
      <c r="AB139" s="215">
        <v>0</v>
      </c>
      <c r="AC139" s="215">
        <v>0</v>
      </c>
      <c r="AD139" s="215">
        <v>0</v>
      </c>
      <c r="AE139" s="214">
        <v>0</v>
      </c>
      <c r="AF139" s="215">
        <v>0</v>
      </c>
      <c r="AG139" s="215">
        <v>0</v>
      </c>
      <c r="AH139" s="215">
        <v>0</v>
      </c>
      <c r="AI139" s="214">
        <v>0</v>
      </c>
      <c r="AJ139" s="215">
        <v>0</v>
      </c>
      <c r="AK139" s="215">
        <v>0</v>
      </c>
      <c r="AL139" s="216">
        <v>0</v>
      </c>
      <c r="AM139" s="214">
        <v>0</v>
      </c>
      <c r="AN139" s="215">
        <v>0</v>
      </c>
      <c r="AO139" s="215">
        <v>0</v>
      </c>
      <c r="AP139" s="216">
        <v>0</v>
      </c>
      <c r="AQ139" s="214">
        <v>0</v>
      </c>
      <c r="AR139" s="215">
        <v>0</v>
      </c>
      <c r="AS139" s="215">
        <v>0</v>
      </c>
      <c r="AT139" s="216">
        <v>0</v>
      </c>
      <c r="AU139" s="214">
        <v>0</v>
      </c>
      <c r="AV139" s="215">
        <v>0</v>
      </c>
      <c r="AW139" s="215">
        <v>0</v>
      </c>
      <c r="AX139" s="216">
        <v>0</v>
      </c>
    </row>
    <row r="140" spans="1:50" ht="11.25" customHeight="1" x14ac:dyDescent="0.2">
      <c r="A140" s="85" t="s">
        <v>109</v>
      </c>
      <c r="B140" s="311">
        <v>0</v>
      </c>
      <c r="C140" s="214">
        <v>0</v>
      </c>
      <c r="D140" s="215">
        <v>0</v>
      </c>
      <c r="E140" s="215">
        <v>0</v>
      </c>
      <c r="F140" s="215">
        <v>0</v>
      </c>
      <c r="G140" s="214">
        <v>0</v>
      </c>
      <c r="H140" s="215">
        <v>0</v>
      </c>
      <c r="I140" s="215">
        <v>0</v>
      </c>
      <c r="J140" s="215">
        <v>0</v>
      </c>
      <c r="K140" s="214">
        <v>0</v>
      </c>
      <c r="L140" s="215">
        <v>0</v>
      </c>
      <c r="M140" s="215">
        <v>0</v>
      </c>
      <c r="N140" s="215">
        <v>0</v>
      </c>
      <c r="O140" s="214">
        <v>0</v>
      </c>
      <c r="P140" s="215">
        <v>0</v>
      </c>
      <c r="Q140" s="215">
        <v>0</v>
      </c>
      <c r="R140" s="215">
        <v>0</v>
      </c>
      <c r="S140" s="214">
        <v>0</v>
      </c>
      <c r="T140" s="215">
        <v>0</v>
      </c>
      <c r="U140" s="215">
        <v>0</v>
      </c>
      <c r="V140" s="215">
        <v>0</v>
      </c>
      <c r="W140" s="214">
        <v>0</v>
      </c>
      <c r="X140" s="215">
        <v>0</v>
      </c>
      <c r="Y140" s="215">
        <v>0</v>
      </c>
      <c r="Z140" s="215">
        <v>0</v>
      </c>
      <c r="AA140" s="214">
        <v>0</v>
      </c>
      <c r="AB140" s="215">
        <v>0</v>
      </c>
      <c r="AC140" s="215">
        <v>0</v>
      </c>
      <c r="AD140" s="215">
        <v>0</v>
      </c>
      <c r="AE140" s="214">
        <v>0</v>
      </c>
      <c r="AF140" s="215">
        <v>0</v>
      </c>
      <c r="AG140" s="215">
        <v>0</v>
      </c>
      <c r="AH140" s="215">
        <v>0</v>
      </c>
      <c r="AI140" s="214">
        <v>0</v>
      </c>
      <c r="AJ140" s="215">
        <v>0</v>
      </c>
      <c r="AK140" s="215">
        <v>0</v>
      </c>
      <c r="AL140" s="216">
        <v>0</v>
      </c>
      <c r="AM140" s="214">
        <v>0</v>
      </c>
      <c r="AN140" s="215">
        <v>0</v>
      </c>
      <c r="AO140" s="215">
        <v>0</v>
      </c>
      <c r="AP140" s="216">
        <v>0</v>
      </c>
      <c r="AQ140" s="214">
        <v>0</v>
      </c>
      <c r="AR140" s="215">
        <v>0</v>
      </c>
      <c r="AS140" s="215">
        <v>0</v>
      </c>
      <c r="AT140" s="216">
        <v>0</v>
      </c>
      <c r="AU140" s="214">
        <v>0</v>
      </c>
      <c r="AV140" s="215">
        <v>0</v>
      </c>
      <c r="AW140" s="215">
        <v>0</v>
      </c>
      <c r="AX140" s="216">
        <v>0</v>
      </c>
    </row>
    <row r="141" spans="1:50" ht="11.25" customHeight="1" x14ac:dyDescent="0.25">
      <c r="A141" s="2" t="s">
        <v>28</v>
      </c>
      <c r="B141" s="312">
        <f t="shared" ref="B141:AG141" si="47">B142-SUM(B138:B140)</f>
        <v>0</v>
      </c>
      <c r="C141" s="18">
        <f t="shared" si="47"/>
        <v>0</v>
      </c>
      <c r="D141" s="19">
        <f t="shared" si="47"/>
        <v>0</v>
      </c>
      <c r="E141" s="19">
        <f t="shared" si="47"/>
        <v>0</v>
      </c>
      <c r="F141" s="19">
        <f t="shared" si="47"/>
        <v>0</v>
      </c>
      <c r="G141" s="18">
        <f t="shared" si="47"/>
        <v>0</v>
      </c>
      <c r="H141" s="19">
        <f t="shared" si="47"/>
        <v>0</v>
      </c>
      <c r="I141" s="19">
        <f t="shared" si="47"/>
        <v>0</v>
      </c>
      <c r="J141" s="19">
        <f t="shared" si="47"/>
        <v>0</v>
      </c>
      <c r="K141" s="18">
        <f t="shared" si="47"/>
        <v>0</v>
      </c>
      <c r="L141" s="19">
        <f t="shared" si="47"/>
        <v>0</v>
      </c>
      <c r="M141" s="19">
        <f t="shared" si="47"/>
        <v>0</v>
      </c>
      <c r="N141" s="19">
        <f t="shared" si="47"/>
        <v>0</v>
      </c>
      <c r="O141" s="18">
        <f t="shared" si="47"/>
        <v>0</v>
      </c>
      <c r="P141" s="19">
        <f t="shared" si="47"/>
        <v>0</v>
      </c>
      <c r="Q141" s="19">
        <f t="shared" si="47"/>
        <v>0</v>
      </c>
      <c r="R141" s="19">
        <f t="shared" si="47"/>
        <v>0</v>
      </c>
      <c r="S141" s="18">
        <f t="shared" si="47"/>
        <v>0</v>
      </c>
      <c r="T141" s="19">
        <f t="shared" si="47"/>
        <v>0</v>
      </c>
      <c r="U141" s="19">
        <f t="shared" si="47"/>
        <v>0</v>
      </c>
      <c r="V141" s="19">
        <f t="shared" si="47"/>
        <v>0</v>
      </c>
      <c r="W141" s="18">
        <f t="shared" si="47"/>
        <v>0</v>
      </c>
      <c r="X141" s="19">
        <f t="shared" si="47"/>
        <v>0</v>
      </c>
      <c r="Y141" s="19">
        <f t="shared" si="47"/>
        <v>0</v>
      </c>
      <c r="Z141" s="19">
        <f t="shared" si="47"/>
        <v>0</v>
      </c>
      <c r="AA141" s="18">
        <f t="shared" si="47"/>
        <v>0</v>
      </c>
      <c r="AB141" s="19">
        <f t="shared" si="47"/>
        <v>0</v>
      </c>
      <c r="AC141" s="19">
        <f t="shared" si="47"/>
        <v>0</v>
      </c>
      <c r="AD141" s="19">
        <f t="shared" si="47"/>
        <v>0</v>
      </c>
      <c r="AE141" s="18">
        <f t="shared" si="47"/>
        <v>0</v>
      </c>
      <c r="AF141" s="19">
        <f t="shared" si="47"/>
        <v>0</v>
      </c>
      <c r="AG141" s="19">
        <f t="shared" si="47"/>
        <v>0</v>
      </c>
      <c r="AH141" s="19">
        <f t="shared" ref="AH141:AX141" si="48">AH142-SUM(AH138:AH140)</f>
        <v>0</v>
      </c>
      <c r="AI141" s="18">
        <f t="shared" si="48"/>
        <v>0</v>
      </c>
      <c r="AJ141" s="19">
        <f t="shared" si="48"/>
        <v>0</v>
      </c>
      <c r="AK141" s="19">
        <f t="shared" si="48"/>
        <v>0</v>
      </c>
      <c r="AL141" s="20">
        <f t="shared" si="48"/>
        <v>0</v>
      </c>
      <c r="AM141" s="18">
        <f t="shared" si="48"/>
        <v>0</v>
      </c>
      <c r="AN141" s="19">
        <f t="shared" si="48"/>
        <v>0</v>
      </c>
      <c r="AO141" s="19">
        <f t="shared" si="48"/>
        <v>0</v>
      </c>
      <c r="AP141" s="20">
        <f t="shared" si="48"/>
        <v>0</v>
      </c>
      <c r="AQ141" s="18">
        <f t="shared" si="48"/>
        <v>0</v>
      </c>
      <c r="AR141" s="19">
        <f t="shared" si="48"/>
        <v>0</v>
      </c>
      <c r="AS141" s="19">
        <f t="shared" si="48"/>
        <v>0</v>
      </c>
      <c r="AT141" s="20">
        <f t="shared" si="48"/>
        <v>0</v>
      </c>
      <c r="AU141" s="18">
        <f t="shared" si="48"/>
        <v>0</v>
      </c>
      <c r="AV141" s="19">
        <f t="shared" si="48"/>
        <v>0</v>
      </c>
      <c r="AW141" s="19">
        <f t="shared" si="48"/>
        <v>0</v>
      </c>
      <c r="AX141" s="20">
        <f t="shared" si="48"/>
        <v>0</v>
      </c>
    </row>
    <row r="142" spans="1:50" ht="11.25" customHeight="1" x14ac:dyDescent="0.2">
      <c r="A142" s="2" t="s">
        <v>38</v>
      </c>
      <c r="B142" s="311">
        <v>0</v>
      </c>
      <c r="C142" s="214">
        <v>0</v>
      </c>
      <c r="D142" s="215">
        <v>0</v>
      </c>
      <c r="E142" s="215">
        <v>0</v>
      </c>
      <c r="F142" s="215">
        <v>0</v>
      </c>
      <c r="G142" s="214">
        <v>0</v>
      </c>
      <c r="H142" s="215">
        <v>0</v>
      </c>
      <c r="I142" s="215">
        <v>0</v>
      </c>
      <c r="J142" s="215">
        <v>0</v>
      </c>
      <c r="K142" s="214">
        <v>0</v>
      </c>
      <c r="L142" s="215">
        <v>0</v>
      </c>
      <c r="M142" s="215">
        <v>0</v>
      </c>
      <c r="N142" s="215">
        <v>0</v>
      </c>
      <c r="O142" s="214">
        <v>0</v>
      </c>
      <c r="P142" s="215">
        <v>0</v>
      </c>
      <c r="Q142" s="215">
        <v>0</v>
      </c>
      <c r="R142" s="215">
        <v>0</v>
      </c>
      <c r="S142" s="214">
        <v>0</v>
      </c>
      <c r="T142" s="215">
        <v>0</v>
      </c>
      <c r="U142" s="215">
        <v>0</v>
      </c>
      <c r="V142" s="215">
        <v>0</v>
      </c>
      <c r="W142" s="214">
        <v>0</v>
      </c>
      <c r="X142" s="215">
        <v>0</v>
      </c>
      <c r="Y142" s="215">
        <v>0</v>
      </c>
      <c r="Z142" s="215">
        <v>0</v>
      </c>
      <c r="AA142" s="214">
        <v>0</v>
      </c>
      <c r="AB142" s="215">
        <v>0</v>
      </c>
      <c r="AC142" s="215">
        <v>0</v>
      </c>
      <c r="AD142" s="215">
        <v>0</v>
      </c>
      <c r="AE142" s="214">
        <v>0</v>
      </c>
      <c r="AF142" s="215">
        <v>0</v>
      </c>
      <c r="AG142" s="215">
        <v>0</v>
      </c>
      <c r="AH142" s="215">
        <v>0</v>
      </c>
      <c r="AI142" s="214">
        <v>0</v>
      </c>
      <c r="AJ142" s="215">
        <v>0</v>
      </c>
      <c r="AK142" s="215">
        <v>0</v>
      </c>
      <c r="AL142" s="216">
        <v>0</v>
      </c>
      <c r="AM142" s="214">
        <v>0</v>
      </c>
      <c r="AN142" s="215">
        <v>0</v>
      </c>
      <c r="AO142" s="215">
        <v>0</v>
      </c>
      <c r="AP142" s="216">
        <v>0</v>
      </c>
      <c r="AQ142" s="214">
        <v>0</v>
      </c>
      <c r="AR142" s="215">
        <v>0</v>
      </c>
      <c r="AS142" s="215">
        <v>0</v>
      </c>
      <c r="AT142" s="216">
        <v>0</v>
      </c>
      <c r="AU142" s="214">
        <v>0</v>
      </c>
      <c r="AV142" s="215">
        <v>0</v>
      </c>
      <c r="AW142" s="215">
        <v>0</v>
      </c>
      <c r="AX142" s="216">
        <v>0</v>
      </c>
    </row>
    <row r="143" spans="1:50" ht="11.25" customHeight="1" x14ac:dyDescent="0.2">
      <c r="A143" s="2"/>
      <c r="B143" s="315"/>
      <c r="C143" s="21"/>
      <c r="D143" s="45"/>
      <c r="E143" s="45"/>
      <c r="F143" s="45"/>
      <c r="G143" s="21"/>
      <c r="H143" s="45"/>
      <c r="I143" s="45"/>
      <c r="J143" s="45"/>
      <c r="K143" s="21"/>
      <c r="L143" s="45"/>
      <c r="M143" s="45"/>
      <c r="N143" s="45"/>
      <c r="O143" s="21"/>
      <c r="P143" s="45"/>
      <c r="Q143" s="45"/>
      <c r="R143" s="45"/>
      <c r="S143" s="21"/>
      <c r="T143" s="45"/>
      <c r="U143" s="45"/>
      <c r="V143" s="45"/>
      <c r="W143" s="21"/>
      <c r="X143" s="45"/>
      <c r="Y143" s="45"/>
      <c r="Z143" s="45"/>
      <c r="AA143" s="21"/>
      <c r="AB143" s="45"/>
      <c r="AC143" s="45"/>
      <c r="AD143" s="45"/>
      <c r="AE143" s="21"/>
      <c r="AF143" s="45"/>
      <c r="AG143" s="45"/>
      <c r="AH143" s="45"/>
      <c r="AI143" s="21"/>
      <c r="AJ143" s="45"/>
      <c r="AK143" s="45"/>
      <c r="AL143" s="46"/>
      <c r="AM143" s="21"/>
      <c r="AN143" s="45"/>
      <c r="AO143" s="45"/>
      <c r="AP143" s="46"/>
      <c r="AQ143" s="21"/>
      <c r="AR143" s="45"/>
      <c r="AS143" s="45"/>
      <c r="AT143" s="46"/>
      <c r="AU143" s="21"/>
      <c r="AV143" s="45"/>
      <c r="AW143" s="45"/>
      <c r="AX143" s="46"/>
    </row>
    <row r="144" spans="1:50" ht="11.25" customHeight="1" x14ac:dyDescent="0.25">
      <c r="A144" s="2" t="s">
        <v>35</v>
      </c>
      <c r="B144" s="312">
        <f t="shared" ref="B144:AG144" si="49">B136+B142</f>
        <v>0</v>
      </c>
      <c r="C144" s="18">
        <f t="shared" si="49"/>
        <v>0</v>
      </c>
      <c r="D144" s="19">
        <f t="shared" si="49"/>
        <v>0</v>
      </c>
      <c r="E144" s="19">
        <f t="shared" si="49"/>
        <v>0</v>
      </c>
      <c r="F144" s="19">
        <f t="shared" si="49"/>
        <v>0</v>
      </c>
      <c r="G144" s="18">
        <f t="shared" si="49"/>
        <v>0</v>
      </c>
      <c r="H144" s="19">
        <f t="shared" si="49"/>
        <v>0</v>
      </c>
      <c r="I144" s="19">
        <f t="shared" si="49"/>
        <v>0</v>
      </c>
      <c r="J144" s="19">
        <f t="shared" si="49"/>
        <v>0</v>
      </c>
      <c r="K144" s="18">
        <f t="shared" si="49"/>
        <v>0</v>
      </c>
      <c r="L144" s="19">
        <f t="shared" si="49"/>
        <v>0</v>
      </c>
      <c r="M144" s="19">
        <f t="shared" si="49"/>
        <v>0</v>
      </c>
      <c r="N144" s="19">
        <f t="shared" si="49"/>
        <v>0</v>
      </c>
      <c r="O144" s="18">
        <f t="shared" si="49"/>
        <v>0</v>
      </c>
      <c r="P144" s="19">
        <f t="shared" si="49"/>
        <v>0</v>
      </c>
      <c r="Q144" s="19">
        <f t="shared" si="49"/>
        <v>0</v>
      </c>
      <c r="R144" s="19">
        <f t="shared" si="49"/>
        <v>0</v>
      </c>
      <c r="S144" s="18">
        <f t="shared" si="49"/>
        <v>0</v>
      </c>
      <c r="T144" s="19">
        <f t="shared" si="49"/>
        <v>0</v>
      </c>
      <c r="U144" s="19">
        <f t="shared" si="49"/>
        <v>0</v>
      </c>
      <c r="V144" s="19">
        <f t="shared" si="49"/>
        <v>0</v>
      </c>
      <c r="W144" s="18">
        <f t="shared" si="49"/>
        <v>0</v>
      </c>
      <c r="X144" s="19">
        <f t="shared" si="49"/>
        <v>0</v>
      </c>
      <c r="Y144" s="19">
        <f t="shared" si="49"/>
        <v>0</v>
      </c>
      <c r="Z144" s="19">
        <f t="shared" si="49"/>
        <v>0</v>
      </c>
      <c r="AA144" s="18">
        <f t="shared" si="49"/>
        <v>0</v>
      </c>
      <c r="AB144" s="19">
        <f t="shared" si="49"/>
        <v>0</v>
      </c>
      <c r="AC144" s="19">
        <f t="shared" si="49"/>
        <v>0</v>
      </c>
      <c r="AD144" s="19">
        <f t="shared" si="49"/>
        <v>0</v>
      </c>
      <c r="AE144" s="18">
        <f t="shared" si="49"/>
        <v>0</v>
      </c>
      <c r="AF144" s="19">
        <f t="shared" si="49"/>
        <v>0</v>
      </c>
      <c r="AG144" s="19">
        <f t="shared" si="49"/>
        <v>0</v>
      </c>
      <c r="AH144" s="19">
        <f t="shared" ref="AH144:AX144" si="50">AH136+AH142</f>
        <v>0</v>
      </c>
      <c r="AI144" s="18">
        <f t="shared" si="50"/>
        <v>0</v>
      </c>
      <c r="AJ144" s="19">
        <f t="shared" si="50"/>
        <v>0</v>
      </c>
      <c r="AK144" s="19">
        <f t="shared" si="50"/>
        <v>0</v>
      </c>
      <c r="AL144" s="20">
        <f t="shared" si="50"/>
        <v>0</v>
      </c>
      <c r="AM144" s="18">
        <f t="shared" si="50"/>
        <v>0</v>
      </c>
      <c r="AN144" s="19">
        <f t="shared" si="50"/>
        <v>0</v>
      </c>
      <c r="AO144" s="19">
        <f t="shared" si="50"/>
        <v>0</v>
      </c>
      <c r="AP144" s="20">
        <f t="shared" si="50"/>
        <v>0</v>
      </c>
      <c r="AQ144" s="18">
        <f t="shared" si="50"/>
        <v>0</v>
      </c>
      <c r="AR144" s="19">
        <f t="shared" si="50"/>
        <v>0</v>
      </c>
      <c r="AS144" s="19">
        <f t="shared" si="50"/>
        <v>0</v>
      </c>
      <c r="AT144" s="20">
        <f t="shared" si="50"/>
        <v>0</v>
      </c>
      <c r="AU144" s="18">
        <f t="shared" si="50"/>
        <v>0</v>
      </c>
      <c r="AV144" s="19">
        <f t="shared" si="50"/>
        <v>0</v>
      </c>
      <c r="AW144" s="19">
        <f t="shared" si="50"/>
        <v>0</v>
      </c>
      <c r="AX144" s="20">
        <f t="shared" si="50"/>
        <v>0</v>
      </c>
    </row>
    <row r="145" spans="1:50" ht="11.25" customHeight="1" x14ac:dyDescent="0.2">
      <c r="A145" s="2"/>
      <c r="B145" s="315"/>
      <c r="C145" s="21"/>
      <c r="D145" s="45"/>
      <c r="E145" s="45"/>
      <c r="F145" s="45"/>
      <c r="G145" s="21"/>
      <c r="H145" s="45"/>
      <c r="I145" s="45"/>
      <c r="J145" s="45"/>
      <c r="K145" s="21"/>
      <c r="L145" s="45"/>
      <c r="M145" s="45"/>
      <c r="N145" s="45"/>
      <c r="O145" s="21"/>
      <c r="P145" s="45"/>
      <c r="Q145" s="45"/>
      <c r="R145" s="45"/>
      <c r="S145" s="21"/>
      <c r="T145" s="45"/>
      <c r="U145" s="45"/>
      <c r="V145" s="45"/>
      <c r="W145" s="21"/>
      <c r="X145" s="45"/>
      <c r="Y145" s="45"/>
      <c r="Z145" s="45"/>
      <c r="AA145" s="21"/>
      <c r="AB145" s="45"/>
      <c r="AC145" s="45"/>
      <c r="AD145" s="45"/>
      <c r="AE145" s="21"/>
      <c r="AF145" s="45"/>
      <c r="AG145" s="45"/>
      <c r="AH145" s="45"/>
      <c r="AI145" s="21"/>
      <c r="AJ145" s="45"/>
      <c r="AK145" s="45"/>
      <c r="AL145" s="46"/>
      <c r="AM145" s="21"/>
      <c r="AN145" s="45"/>
      <c r="AO145" s="45"/>
      <c r="AP145" s="46"/>
      <c r="AQ145" s="21"/>
      <c r="AR145" s="45"/>
      <c r="AS145" s="45"/>
      <c r="AT145" s="46"/>
      <c r="AU145" s="21"/>
      <c r="AV145" s="45"/>
      <c r="AW145" s="45"/>
      <c r="AX145" s="46"/>
    </row>
    <row r="146" spans="1:50" ht="11.25" customHeight="1" x14ac:dyDescent="0.2">
      <c r="A146" s="85" t="s">
        <v>68</v>
      </c>
      <c r="B146" s="311">
        <v>0</v>
      </c>
      <c r="C146" s="214">
        <v>0</v>
      </c>
      <c r="D146" s="215">
        <v>0</v>
      </c>
      <c r="E146" s="215">
        <v>0</v>
      </c>
      <c r="F146" s="215">
        <v>0</v>
      </c>
      <c r="G146" s="214">
        <v>0</v>
      </c>
      <c r="H146" s="215">
        <v>0</v>
      </c>
      <c r="I146" s="215">
        <v>0</v>
      </c>
      <c r="J146" s="215">
        <v>0</v>
      </c>
      <c r="K146" s="214">
        <v>0</v>
      </c>
      <c r="L146" s="215">
        <v>0</v>
      </c>
      <c r="M146" s="215">
        <v>0</v>
      </c>
      <c r="N146" s="215">
        <v>0</v>
      </c>
      <c r="O146" s="214">
        <v>0</v>
      </c>
      <c r="P146" s="215">
        <v>0</v>
      </c>
      <c r="Q146" s="215">
        <v>0</v>
      </c>
      <c r="R146" s="215">
        <v>0</v>
      </c>
      <c r="S146" s="214">
        <v>0</v>
      </c>
      <c r="T146" s="215">
        <v>0</v>
      </c>
      <c r="U146" s="215">
        <v>0</v>
      </c>
      <c r="V146" s="215">
        <v>0</v>
      </c>
      <c r="W146" s="214">
        <v>0</v>
      </c>
      <c r="X146" s="215">
        <v>0</v>
      </c>
      <c r="Y146" s="215">
        <v>0</v>
      </c>
      <c r="Z146" s="215">
        <v>0</v>
      </c>
      <c r="AA146" s="214">
        <v>0</v>
      </c>
      <c r="AB146" s="215">
        <v>0</v>
      </c>
      <c r="AC146" s="215">
        <v>0</v>
      </c>
      <c r="AD146" s="215">
        <v>0</v>
      </c>
      <c r="AE146" s="214">
        <v>0</v>
      </c>
      <c r="AF146" s="215">
        <v>0</v>
      </c>
      <c r="AG146" s="215">
        <v>0</v>
      </c>
      <c r="AH146" s="215">
        <v>0</v>
      </c>
      <c r="AI146" s="214">
        <v>0</v>
      </c>
      <c r="AJ146" s="215">
        <v>0</v>
      </c>
      <c r="AK146" s="215">
        <v>0</v>
      </c>
      <c r="AL146" s="216">
        <v>0</v>
      </c>
      <c r="AM146" s="214">
        <v>0</v>
      </c>
      <c r="AN146" s="215">
        <v>0</v>
      </c>
      <c r="AO146" s="215">
        <v>0</v>
      </c>
      <c r="AP146" s="216">
        <v>0</v>
      </c>
      <c r="AQ146" s="214">
        <v>0</v>
      </c>
      <c r="AR146" s="215">
        <v>0</v>
      </c>
      <c r="AS146" s="215">
        <v>0</v>
      </c>
      <c r="AT146" s="216">
        <v>0</v>
      </c>
      <c r="AU146" s="214">
        <v>0</v>
      </c>
      <c r="AV146" s="215">
        <v>0</v>
      </c>
      <c r="AW146" s="215">
        <v>0</v>
      </c>
      <c r="AX146" s="216">
        <v>0</v>
      </c>
    </row>
    <row r="147" spans="1:50" ht="11.25" customHeight="1" x14ac:dyDescent="0.2">
      <c r="A147" s="85" t="s">
        <v>69</v>
      </c>
      <c r="B147" s="311">
        <v>0</v>
      </c>
      <c r="C147" s="214">
        <v>0</v>
      </c>
      <c r="D147" s="215">
        <v>0</v>
      </c>
      <c r="E147" s="215">
        <v>0</v>
      </c>
      <c r="F147" s="215">
        <v>0</v>
      </c>
      <c r="G147" s="214">
        <v>0</v>
      </c>
      <c r="H147" s="215">
        <v>0</v>
      </c>
      <c r="I147" s="215">
        <v>0</v>
      </c>
      <c r="J147" s="215">
        <v>0</v>
      </c>
      <c r="K147" s="214">
        <v>0</v>
      </c>
      <c r="L147" s="215">
        <v>0</v>
      </c>
      <c r="M147" s="215">
        <v>0</v>
      </c>
      <c r="N147" s="215">
        <v>0</v>
      </c>
      <c r="O147" s="214">
        <v>0</v>
      </c>
      <c r="P147" s="215">
        <v>0</v>
      </c>
      <c r="Q147" s="215">
        <v>0</v>
      </c>
      <c r="R147" s="215">
        <v>0</v>
      </c>
      <c r="S147" s="214">
        <v>0</v>
      </c>
      <c r="T147" s="215">
        <v>0</v>
      </c>
      <c r="U147" s="215">
        <v>0</v>
      </c>
      <c r="V147" s="215">
        <v>0</v>
      </c>
      <c r="W147" s="214">
        <v>0</v>
      </c>
      <c r="X147" s="215">
        <v>0</v>
      </c>
      <c r="Y147" s="215">
        <v>0</v>
      </c>
      <c r="Z147" s="215">
        <v>0</v>
      </c>
      <c r="AA147" s="214">
        <v>0</v>
      </c>
      <c r="AB147" s="215">
        <v>0</v>
      </c>
      <c r="AC147" s="215">
        <v>0</v>
      </c>
      <c r="AD147" s="215">
        <v>0</v>
      </c>
      <c r="AE147" s="214">
        <v>0</v>
      </c>
      <c r="AF147" s="215">
        <v>0</v>
      </c>
      <c r="AG147" s="215">
        <v>0</v>
      </c>
      <c r="AH147" s="215">
        <v>0</v>
      </c>
      <c r="AI147" s="214">
        <v>0</v>
      </c>
      <c r="AJ147" s="215">
        <v>0</v>
      </c>
      <c r="AK147" s="215">
        <v>0</v>
      </c>
      <c r="AL147" s="216">
        <v>0</v>
      </c>
      <c r="AM147" s="214">
        <v>0</v>
      </c>
      <c r="AN147" s="215">
        <v>0</v>
      </c>
      <c r="AO147" s="215">
        <v>0</v>
      </c>
      <c r="AP147" s="216">
        <v>0</v>
      </c>
      <c r="AQ147" s="214">
        <v>0</v>
      </c>
      <c r="AR147" s="215">
        <v>0</v>
      </c>
      <c r="AS147" s="215">
        <v>0</v>
      </c>
      <c r="AT147" s="216">
        <v>0</v>
      </c>
      <c r="AU147" s="214">
        <v>0</v>
      </c>
      <c r="AV147" s="215">
        <v>0</v>
      </c>
      <c r="AW147" s="215">
        <v>0</v>
      </c>
      <c r="AX147" s="216">
        <v>0</v>
      </c>
    </row>
    <row r="148" spans="1:50" ht="11.25" customHeight="1" x14ac:dyDescent="0.2">
      <c r="A148" s="85" t="s">
        <v>165</v>
      </c>
      <c r="B148" s="311">
        <v>0</v>
      </c>
      <c r="C148" s="214">
        <v>0</v>
      </c>
      <c r="D148" s="215">
        <v>0</v>
      </c>
      <c r="E148" s="215">
        <v>0</v>
      </c>
      <c r="F148" s="215">
        <v>0</v>
      </c>
      <c r="G148" s="214">
        <v>0</v>
      </c>
      <c r="H148" s="215">
        <v>0</v>
      </c>
      <c r="I148" s="215">
        <v>0</v>
      </c>
      <c r="J148" s="215">
        <v>0</v>
      </c>
      <c r="K148" s="214">
        <v>0</v>
      </c>
      <c r="L148" s="215">
        <v>0</v>
      </c>
      <c r="M148" s="215">
        <v>0</v>
      </c>
      <c r="N148" s="215">
        <v>0</v>
      </c>
      <c r="O148" s="214">
        <v>0</v>
      </c>
      <c r="P148" s="215">
        <v>0</v>
      </c>
      <c r="Q148" s="215">
        <v>0</v>
      </c>
      <c r="R148" s="215">
        <v>0</v>
      </c>
      <c r="S148" s="214">
        <v>0</v>
      </c>
      <c r="T148" s="215">
        <v>0</v>
      </c>
      <c r="U148" s="215">
        <v>0</v>
      </c>
      <c r="V148" s="215">
        <v>0</v>
      </c>
      <c r="W148" s="214">
        <v>0</v>
      </c>
      <c r="X148" s="215">
        <v>0</v>
      </c>
      <c r="Y148" s="215">
        <v>0</v>
      </c>
      <c r="Z148" s="215">
        <v>0</v>
      </c>
      <c r="AA148" s="214">
        <v>0</v>
      </c>
      <c r="AB148" s="215">
        <v>0</v>
      </c>
      <c r="AC148" s="215">
        <v>0</v>
      </c>
      <c r="AD148" s="215">
        <v>0</v>
      </c>
      <c r="AE148" s="214">
        <v>0</v>
      </c>
      <c r="AF148" s="215">
        <v>0</v>
      </c>
      <c r="AG148" s="215">
        <v>0</v>
      </c>
      <c r="AH148" s="215">
        <v>0</v>
      </c>
      <c r="AI148" s="214">
        <v>0</v>
      </c>
      <c r="AJ148" s="215">
        <v>0</v>
      </c>
      <c r="AK148" s="215">
        <v>0</v>
      </c>
      <c r="AL148" s="216">
        <v>0</v>
      </c>
      <c r="AM148" s="214">
        <v>0</v>
      </c>
      <c r="AN148" s="215">
        <v>0</v>
      </c>
      <c r="AO148" s="215">
        <v>0</v>
      </c>
      <c r="AP148" s="216">
        <v>0</v>
      </c>
      <c r="AQ148" s="214">
        <v>0</v>
      </c>
      <c r="AR148" s="215">
        <v>0</v>
      </c>
      <c r="AS148" s="215">
        <v>0</v>
      </c>
      <c r="AT148" s="216">
        <v>0</v>
      </c>
      <c r="AU148" s="214">
        <v>0</v>
      </c>
      <c r="AV148" s="215">
        <v>0</v>
      </c>
      <c r="AW148" s="215">
        <v>0</v>
      </c>
      <c r="AX148" s="216">
        <v>0</v>
      </c>
    </row>
    <row r="149" spans="1:50" ht="11.25" customHeight="1" x14ac:dyDescent="0.2">
      <c r="A149" s="85" t="s">
        <v>70</v>
      </c>
      <c r="B149" s="311">
        <v>0</v>
      </c>
      <c r="C149" s="214">
        <v>0</v>
      </c>
      <c r="D149" s="215">
        <v>0</v>
      </c>
      <c r="E149" s="215">
        <v>0</v>
      </c>
      <c r="F149" s="215">
        <v>0</v>
      </c>
      <c r="G149" s="214">
        <v>0</v>
      </c>
      <c r="H149" s="215">
        <v>0</v>
      </c>
      <c r="I149" s="215">
        <v>0</v>
      </c>
      <c r="J149" s="215">
        <v>0</v>
      </c>
      <c r="K149" s="214">
        <v>0</v>
      </c>
      <c r="L149" s="215">
        <v>0</v>
      </c>
      <c r="M149" s="215">
        <v>0</v>
      </c>
      <c r="N149" s="215">
        <v>0</v>
      </c>
      <c r="O149" s="214">
        <v>0</v>
      </c>
      <c r="P149" s="215">
        <v>0</v>
      </c>
      <c r="Q149" s="215">
        <v>0</v>
      </c>
      <c r="R149" s="215">
        <v>0</v>
      </c>
      <c r="S149" s="214">
        <v>0</v>
      </c>
      <c r="T149" s="215">
        <v>0</v>
      </c>
      <c r="U149" s="215">
        <v>0</v>
      </c>
      <c r="V149" s="215">
        <v>0</v>
      </c>
      <c r="W149" s="214">
        <v>0</v>
      </c>
      <c r="X149" s="215">
        <v>0</v>
      </c>
      <c r="Y149" s="215">
        <v>0</v>
      </c>
      <c r="Z149" s="215">
        <v>0</v>
      </c>
      <c r="AA149" s="214">
        <v>0</v>
      </c>
      <c r="AB149" s="215">
        <v>0</v>
      </c>
      <c r="AC149" s="215">
        <v>0</v>
      </c>
      <c r="AD149" s="215">
        <v>0</v>
      </c>
      <c r="AE149" s="214">
        <v>0</v>
      </c>
      <c r="AF149" s="215">
        <v>0</v>
      </c>
      <c r="AG149" s="215">
        <v>0</v>
      </c>
      <c r="AH149" s="215">
        <v>0</v>
      </c>
      <c r="AI149" s="214">
        <v>0</v>
      </c>
      <c r="AJ149" s="215">
        <v>0</v>
      </c>
      <c r="AK149" s="215">
        <v>0</v>
      </c>
      <c r="AL149" s="216">
        <v>0</v>
      </c>
      <c r="AM149" s="214">
        <v>0</v>
      </c>
      <c r="AN149" s="215">
        <v>0</v>
      </c>
      <c r="AO149" s="215">
        <v>0</v>
      </c>
      <c r="AP149" s="216">
        <v>0</v>
      </c>
      <c r="AQ149" s="214">
        <v>0</v>
      </c>
      <c r="AR149" s="215">
        <v>0</v>
      </c>
      <c r="AS149" s="215">
        <v>0</v>
      </c>
      <c r="AT149" s="216">
        <v>0</v>
      </c>
      <c r="AU149" s="214">
        <v>0</v>
      </c>
      <c r="AV149" s="215">
        <v>0</v>
      </c>
      <c r="AW149" s="215">
        <v>0</v>
      </c>
      <c r="AX149" s="216">
        <v>0</v>
      </c>
    </row>
    <row r="150" spans="1:50" ht="11.25" customHeight="1" x14ac:dyDescent="0.25">
      <c r="A150" s="2" t="s">
        <v>36</v>
      </c>
      <c r="B150" s="316">
        <f t="shared" ref="B150:AG150" si="51">B129-B144</f>
        <v>0</v>
      </c>
      <c r="C150" s="27">
        <f t="shared" si="51"/>
        <v>0</v>
      </c>
      <c r="D150" s="56">
        <f t="shared" si="51"/>
        <v>0</v>
      </c>
      <c r="E150" s="56">
        <f t="shared" si="51"/>
        <v>0</v>
      </c>
      <c r="F150" s="56">
        <f t="shared" si="51"/>
        <v>0</v>
      </c>
      <c r="G150" s="27">
        <f t="shared" si="51"/>
        <v>0</v>
      </c>
      <c r="H150" s="56">
        <f t="shared" si="51"/>
        <v>0</v>
      </c>
      <c r="I150" s="56">
        <f t="shared" si="51"/>
        <v>0</v>
      </c>
      <c r="J150" s="56">
        <f t="shared" si="51"/>
        <v>0</v>
      </c>
      <c r="K150" s="27">
        <f t="shared" si="51"/>
        <v>0</v>
      </c>
      <c r="L150" s="56">
        <f t="shared" si="51"/>
        <v>0</v>
      </c>
      <c r="M150" s="56">
        <f t="shared" si="51"/>
        <v>0</v>
      </c>
      <c r="N150" s="56">
        <f t="shared" si="51"/>
        <v>0</v>
      </c>
      <c r="O150" s="27">
        <f t="shared" si="51"/>
        <v>0</v>
      </c>
      <c r="P150" s="56">
        <f t="shared" si="51"/>
        <v>0</v>
      </c>
      <c r="Q150" s="56">
        <f t="shared" si="51"/>
        <v>0</v>
      </c>
      <c r="R150" s="56">
        <f t="shared" si="51"/>
        <v>0</v>
      </c>
      <c r="S150" s="27">
        <f t="shared" si="51"/>
        <v>0</v>
      </c>
      <c r="T150" s="56">
        <f t="shared" si="51"/>
        <v>0</v>
      </c>
      <c r="U150" s="56">
        <f t="shared" si="51"/>
        <v>0</v>
      </c>
      <c r="V150" s="56">
        <f t="shared" si="51"/>
        <v>0</v>
      </c>
      <c r="W150" s="27">
        <f t="shared" si="51"/>
        <v>0</v>
      </c>
      <c r="X150" s="56">
        <f t="shared" si="51"/>
        <v>0</v>
      </c>
      <c r="Y150" s="56">
        <f t="shared" si="51"/>
        <v>0</v>
      </c>
      <c r="Z150" s="56">
        <f t="shared" si="51"/>
        <v>0</v>
      </c>
      <c r="AA150" s="27">
        <f t="shared" si="51"/>
        <v>0</v>
      </c>
      <c r="AB150" s="56">
        <f t="shared" si="51"/>
        <v>0</v>
      </c>
      <c r="AC150" s="56">
        <f t="shared" si="51"/>
        <v>0</v>
      </c>
      <c r="AD150" s="56">
        <f t="shared" si="51"/>
        <v>0</v>
      </c>
      <c r="AE150" s="27">
        <f t="shared" si="51"/>
        <v>0</v>
      </c>
      <c r="AF150" s="56">
        <f t="shared" si="51"/>
        <v>0</v>
      </c>
      <c r="AG150" s="56">
        <f t="shared" si="51"/>
        <v>0</v>
      </c>
      <c r="AH150" s="56">
        <f t="shared" ref="AH150:AX150" si="52">AH129-AH144</f>
        <v>0</v>
      </c>
      <c r="AI150" s="27">
        <f t="shared" si="52"/>
        <v>0</v>
      </c>
      <c r="AJ150" s="56">
        <f t="shared" si="52"/>
        <v>0</v>
      </c>
      <c r="AK150" s="56">
        <f t="shared" si="52"/>
        <v>0</v>
      </c>
      <c r="AL150" s="57">
        <f t="shared" si="52"/>
        <v>0</v>
      </c>
      <c r="AM150" s="27">
        <f t="shared" si="52"/>
        <v>0</v>
      </c>
      <c r="AN150" s="56">
        <f t="shared" si="52"/>
        <v>0</v>
      </c>
      <c r="AO150" s="56">
        <f t="shared" si="52"/>
        <v>0</v>
      </c>
      <c r="AP150" s="57">
        <f t="shared" si="52"/>
        <v>0</v>
      </c>
      <c r="AQ150" s="27">
        <f t="shared" si="52"/>
        <v>0</v>
      </c>
      <c r="AR150" s="56">
        <f t="shared" si="52"/>
        <v>0</v>
      </c>
      <c r="AS150" s="56">
        <f t="shared" si="52"/>
        <v>0</v>
      </c>
      <c r="AT150" s="57">
        <f t="shared" si="52"/>
        <v>0</v>
      </c>
      <c r="AU150" s="27">
        <f t="shared" si="52"/>
        <v>0</v>
      </c>
      <c r="AV150" s="56">
        <f t="shared" si="52"/>
        <v>0</v>
      </c>
      <c r="AW150" s="56">
        <f t="shared" si="52"/>
        <v>0</v>
      </c>
      <c r="AX150" s="57">
        <f t="shared" si="52"/>
        <v>0</v>
      </c>
    </row>
    <row r="151" spans="1:50" ht="11.25" customHeight="1" x14ac:dyDescent="0.2">
      <c r="A151" s="89" t="s">
        <v>72</v>
      </c>
      <c r="B151" s="45">
        <f t="shared" ref="B151:AG151" si="53">SUM(B146:B149)-B150</f>
        <v>0</v>
      </c>
      <c r="C151" s="21">
        <f t="shared" si="53"/>
        <v>0</v>
      </c>
      <c r="D151" s="45">
        <f t="shared" si="53"/>
        <v>0</v>
      </c>
      <c r="E151" s="45">
        <f t="shared" si="53"/>
        <v>0</v>
      </c>
      <c r="F151" s="45">
        <f t="shared" si="53"/>
        <v>0</v>
      </c>
      <c r="G151" s="21">
        <f t="shared" si="53"/>
        <v>0</v>
      </c>
      <c r="H151" s="45">
        <f t="shared" si="53"/>
        <v>0</v>
      </c>
      <c r="I151" s="45">
        <f t="shared" si="53"/>
        <v>0</v>
      </c>
      <c r="J151" s="45">
        <f t="shared" si="53"/>
        <v>0</v>
      </c>
      <c r="K151" s="21">
        <f t="shared" si="53"/>
        <v>0</v>
      </c>
      <c r="L151" s="45">
        <f t="shared" si="53"/>
        <v>0</v>
      </c>
      <c r="M151" s="45">
        <f t="shared" si="53"/>
        <v>0</v>
      </c>
      <c r="N151" s="45">
        <f t="shared" si="53"/>
        <v>0</v>
      </c>
      <c r="O151" s="21">
        <f t="shared" si="53"/>
        <v>0</v>
      </c>
      <c r="P151" s="45">
        <f t="shared" si="53"/>
        <v>0</v>
      </c>
      <c r="Q151" s="45">
        <f t="shared" si="53"/>
        <v>0</v>
      </c>
      <c r="R151" s="45">
        <f t="shared" si="53"/>
        <v>0</v>
      </c>
      <c r="S151" s="21">
        <f t="shared" si="53"/>
        <v>0</v>
      </c>
      <c r="T151" s="45">
        <f t="shared" si="53"/>
        <v>0</v>
      </c>
      <c r="U151" s="45">
        <f t="shared" si="53"/>
        <v>0</v>
      </c>
      <c r="V151" s="45">
        <f t="shared" si="53"/>
        <v>0</v>
      </c>
      <c r="W151" s="21">
        <f t="shared" si="53"/>
        <v>0</v>
      </c>
      <c r="X151" s="45">
        <f t="shared" si="53"/>
        <v>0</v>
      </c>
      <c r="Y151" s="45">
        <f t="shared" si="53"/>
        <v>0</v>
      </c>
      <c r="Z151" s="45">
        <f t="shared" si="53"/>
        <v>0</v>
      </c>
      <c r="AA151" s="21">
        <f t="shared" si="53"/>
        <v>0</v>
      </c>
      <c r="AB151" s="45">
        <f t="shared" si="53"/>
        <v>0</v>
      </c>
      <c r="AC151" s="45">
        <f t="shared" si="53"/>
        <v>0</v>
      </c>
      <c r="AD151" s="45">
        <f t="shared" si="53"/>
        <v>0</v>
      </c>
      <c r="AE151" s="21">
        <f t="shared" si="53"/>
        <v>0</v>
      </c>
      <c r="AF151" s="45">
        <f t="shared" si="53"/>
        <v>0</v>
      </c>
      <c r="AG151" s="45">
        <f t="shared" si="53"/>
        <v>0</v>
      </c>
      <c r="AH151" s="45">
        <f t="shared" ref="AH151:AX151" si="54">SUM(AH146:AH149)-AH150</f>
        <v>0</v>
      </c>
      <c r="AI151" s="21">
        <f t="shared" si="54"/>
        <v>0</v>
      </c>
      <c r="AJ151" s="45">
        <f t="shared" si="54"/>
        <v>0</v>
      </c>
      <c r="AK151" s="45">
        <f t="shared" si="54"/>
        <v>0</v>
      </c>
      <c r="AL151" s="45">
        <f t="shared" si="54"/>
        <v>0</v>
      </c>
      <c r="AM151" s="21">
        <f t="shared" si="54"/>
        <v>0</v>
      </c>
      <c r="AN151" s="45">
        <f t="shared" si="54"/>
        <v>0</v>
      </c>
      <c r="AO151" s="45">
        <f t="shared" si="54"/>
        <v>0</v>
      </c>
      <c r="AP151" s="45">
        <f t="shared" si="54"/>
        <v>0</v>
      </c>
      <c r="AQ151" s="21">
        <f t="shared" si="54"/>
        <v>0</v>
      </c>
      <c r="AR151" s="45">
        <f t="shared" si="54"/>
        <v>0</v>
      </c>
      <c r="AS151" s="45">
        <f t="shared" si="54"/>
        <v>0</v>
      </c>
      <c r="AT151" s="45">
        <f t="shared" si="54"/>
        <v>0</v>
      </c>
      <c r="AU151" s="21">
        <f t="shared" si="54"/>
        <v>0</v>
      </c>
      <c r="AV151" s="45">
        <f t="shared" si="54"/>
        <v>0</v>
      </c>
      <c r="AW151" s="45">
        <f t="shared" si="54"/>
        <v>0</v>
      </c>
      <c r="AX151" s="46">
        <f t="shared" si="54"/>
        <v>0</v>
      </c>
    </row>
    <row r="152" spans="1:50" ht="11.25" customHeight="1" x14ac:dyDescent="0.2">
      <c r="A152" s="2"/>
      <c r="B152" s="315"/>
      <c r="C152" s="21"/>
      <c r="D152" s="45"/>
      <c r="E152" s="45"/>
      <c r="F152" s="45"/>
      <c r="G152" s="21"/>
      <c r="H152" s="45"/>
      <c r="I152" s="45"/>
      <c r="J152" s="45"/>
      <c r="K152" s="21"/>
      <c r="L152" s="45"/>
      <c r="M152" s="45"/>
      <c r="N152" s="45"/>
      <c r="O152" s="21"/>
      <c r="P152" s="45"/>
      <c r="Q152" s="45"/>
      <c r="R152" s="45"/>
      <c r="S152" s="21"/>
      <c r="T152" s="45"/>
      <c r="U152" s="45"/>
      <c r="V152" s="45"/>
      <c r="W152" s="21"/>
      <c r="X152" s="45"/>
      <c r="Y152" s="45"/>
      <c r="Z152" s="45"/>
      <c r="AA152" s="21"/>
      <c r="AB152" s="45"/>
      <c r="AC152" s="45"/>
      <c r="AD152" s="46"/>
      <c r="AE152" s="21"/>
      <c r="AF152" s="45"/>
      <c r="AG152" s="45"/>
      <c r="AH152" s="46"/>
      <c r="AI152" s="21"/>
      <c r="AJ152" s="45"/>
      <c r="AK152" s="45"/>
      <c r="AL152" s="46"/>
      <c r="AM152" s="21"/>
      <c r="AN152" s="45"/>
      <c r="AO152" s="45"/>
      <c r="AP152" s="46"/>
      <c r="AQ152" s="21"/>
      <c r="AR152" s="45"/>
      <c r="AS152" s="45"/>
      <c r="AT152" s="46"/>
      <c r="AU152" s="21"/>
      <c r="AV152" s="45"/>
      <c r="AW152" s="45"/>
      <c r="AX152" s="46"/>
    </row>
    <row r="153" spans="1:50" ht="11.25" customHeight="1" x14ac:dyDescent="0.2">
      <c r="A153" s="2" t="s">
        <v>14</v>
      </c>
      <c r="B153" s="315">
        <f t="shared" ref="B153:AG153" si="55">B133</f>
        <v>0</v>
      </c>
      <c r="C153" s="21">
        <f t="shared" si="55"/>
        <v>0</v>
      </c>
      <c r="D153" s="45">
        <f t="shared" si="55"/>
        <v>0</v>
      </c>
      <c r="E153" s="45">
        <f t="shared" si="55"/>
        <v>0</v>
      </c>
      <c r="F153" s="45">
        <f t="shared" si="55"/>
        <v>0</v>
      </c>
      <c r="G153" s="21">
        <f t="shared" si="55"/>
        <v>0</v>
      </c>
      <c r="H153" s="45">
        <f t="shared" si="55"/>
        <v>0</v>
      </c>
      <c r="I153" s="45">
        <f t="shared" si="55"/>
        <v>0</v>
      </c>
      <c r="J153" s="45">
        <f t="shared" si="55"/>
        <v>0</v>
      </c>
      <c r="K153" s="21">
        <f t="shared" si="55"/>
        <v>0</v>
      </c>
      <c r="L153" s="45">
        <f t="shared" si="55"/>
        <v>0</v>
      </c>
      <c r="M153" s="45">
        <f t="shared" si="55"/>
        <v>0</v>
      </c>
      <c r="N153" s="45">
        <f t="shared" si="55"/>
        <v>0</v>
      </c>
      <c r="O153" s="21">
        <f t="shared" si="55"/>
        <v>0</v>
      </c>
      <c r="P153" s="45">
        <f t="shared" si="55"/>
        <v>0</v>
      </c>
      <c r="Q153" s="45">
        <f t="shared" si="55"/>
        <v>0</v>
      </c>
      <c r="R153" s="45">
        <f t="shared" si="55"/>
        <v>0</v>
      </c>
      <c r="S153" s="21">
        <f t="shared" si="55"/>
        <v>0</v>
      </c>
      <c r="T153" s="45">
        <f t="shared" si="55"/>
        <v>0</v>
      </c>
      <c r="U153" s="45">
        <f t="shared" si="55"/>
        <v>0</v>
      </c>
      <c r="V153" s="45">
        <f t="shared" si="55"/>
        <v>0</v>
      </c>
      <c r="W153" s="21">
        <f t="shared" si="55"/>
        <v>0</v>
      </c>
      <c r="X153" s="45">
        <f t="shared" si="55"/>
        <v>0</v>
      </c>
      <c r="Y153" s="45">
        <f t="shared" si="55"/>
        <v>0</v>
      </c>
      <c r="Z153" s="45">
        <f t="shared" si="55"/>
        <v>0</v>
      </c>
      <c r="AA153" s="21">
        <f t="shared" si="55"/>
        <v>0</v>
      </c>
      <c r="AB153" s="45">
        <f t="shared" si="55"/>
        <v>0</v>
      </c>
      <c r="AC153" s="45">
        <f t="shared" si="55"/>
        <v>0</v>
      </c>
      <c r="AD153" s="46">
        <f t="shared" si="55"/>
        <v>0</v>
      </c>
      <c r="AE153" s="21">
        <f t="shared" si="55"/>
        <v>0</v>
      </c>
      <c r="AF153" s="45">
        <f t="shared" si="55"/>
        <v>0</v>
      </c>
      <c r="AG153" s="45">
        <f t="shared" si="55"/>
        <v>0</v>
      </c>
      <c r="AH153" s="46">
        <f t="shared" ref="AH153:AX153" si="56">AH133</f>
        <v>0</v>
      </c>
      <c r="AI153" s="21">
        <f t="shared" si="56"/>
        <v>0</v>
      </c>
      <c r="AJ153" s="45">
        <f t="shared" si="56"/>
        <v>0</v>
      </c>
      <c r="AK153" s="45">
        <f t="shared" si="56"/>
        <v>0</v>
      </c>
      <c r="AL153" s="46">
        <f t="shared" si="56"/>
        <v>0</v>
      </c>
      <c r="AM153" s="21">
        <f t="shared" si="56"/>
        <v>0</v>
      </c>
      <c r="AN153" s="45">
        <f t="shared" si="56"/>
        <v>0</v>
      </c>
      <c r="AO153" s="45">
        <f t="shared" si="56"/>
        <v>0</v>
      </c>
      <c r="AP153" s="46">
        <f t="shared" si="56"/>
        <v>0</v>
      </c>
      <c r="AQ153" s="21">
        <f t="shared" si="56"/>
        <v>0</v>
      </c>
      <c r="AR153" s="45">
        <f t="shared" si="56"/>
        <v>0</v>
      </c>
      <c r="AS153" s="45">
        <f t="shared" si="56"/>
        <v>0</v>
      </c>
      <c r="AT153" s="46">
        <f t="shared" si="56"/>
        <v>0</v>
      </c>
      <c r="AU153" s="21">
        <f t="shared" si="56"/>
        <v>0</v>
      </c>
      <c r="AV153" s="45">
        <f t="shared" si="56"/>
        <v>0</v>
      </c>
      <c r="AW153" s="45">
        <f t="shared" si="56"/>
        <v>0</v>
      </c>
      <c r="AX153" s="46">
        <f t="shared" si="56"/>
        <v>0</v>
      </c>
    </row>
    <row r="154" spans="1:50" ht="11.25" customHeight="1" x14ac:dyDescent="0.2">
      <c r="A154" s="2" t="s">
        <v>18</v>
      </c>
      <c r="B154" s="315">
        <f t="shared" ref="B154:AG154" si="57">B138</f>
        <v>0</v>
      </c>
      <c r="C154" s="21">
        <f t="shared" si="57"/>
        <v>0</v>
      </c>
      <c r="D154" s="45">
        <f t="shared" si="57"/>
        <v>0</v>
      </c>
      <c r="E154" s="45">
        <f t="shared" si="57"/>
        <v>0</v>
      </c>
      <c r="F154" s="45">
        <f t="shared" si="57"/>
        <v>0</v>
      </c>
      <c r="G154" s="21">
        <f t="shared" si="57"/>
        <v>0</v>
      </c>
      <c r="H154" s="45">
        <f t="shared" si="57"/>
        <v>0</v>
      </c>
      <c r="I154" s="45">
        <f t="shared" si="57"/>
        <v>0</v>
      </c>
      <c r="J154" s="45">
        <f t="shared" si="57"/>
        <v>0</v>
      </c>
      <c r="K154" s="21">
        <f t="shared" si="57"/>
        <v>0</v>
      </c>
      <c r="L154" s="45">
        <f t="shared" si="57"/>
        <v>0</v>
      </c>
      <c r="M154" s="45">
        <f t="shared" si="57"/>
        <v>0</v>
      </c>
      <c r="N154" s="45">
        <f t="shared" si="57"/>
        <v>0</v>
      </c>
      <c r="O154" s="21">
        <f t="shared" si="57"/>
        <v>0</v>
      </c>
      <c r="P154" s="45">
        <f t="shared" si="57"/>
        <v>0</v>
      </c>
      <c r="Q154" s="45">
        <f t="shared" si="57"/>
        <v>0</v>
      </c>
      <c r="R154" s="45">
        <f t="shared" si="57"/>
        <v>0</v>
      </c>
      <c r="S154" s="21">
        <f t="shared" si="57"/>
        <v>0</v>
      </c>
      <c r="T154" s="45">
        <f t="shared" si="57"/>
        <v>0</v>
      </c>
      <c r="U154" s="45">
        <f t="shared" si="57"/>
        <v>0</v>
      </c>
      <c r="V154" s="45">
        <f t="shared" si="57"/>
        <v>0</v>
      </c>
      <c r="W154" s="21">
        <f t="shared" si="57"/>
        <v>0</v>
      </c>
      <c r="X154" s="45">
        <f t="shared" si="57"/>
        <v>0</v>
      </c>
      <c r="Y154" s="45">
        <f t="shared" si="57"/>
        <v>0</v>
      </c>
      <c r="Z154" s="45">
        <f t="shared" si="57"/>
        <v>0</v>
      </c>
      <c r="AA154" s="21">
        <f t="shared" si="57"/>
        <v>0</v>
      </c>
      <c r="AB154" s="45">
        <f t="shared" si="57"/>
        <v>0</v>
      </c>
      <c r="AC154" s="45">
        <f t="shared" si="57"/>
        <v>0</v>
      </c>
      <c r="AD154" s="46">
        <f t="shared" si="57"/>
        <v>0</v>
      </c>
      <c r="AE154" s="21">
        <f t="shared" si="57"/>
        <v>0</v>
      </c>
      <c r="AF154" s="45">
        <f t="shared" si="57"/>
        <v>0</v>
      </c>
      <c r="AG154" s="45">
        <f t="shared" si="57"/>
        <v>0</v>
      </c>
      <c r="AH154" s="46">
        <f t="shared" ref="AH154:AX154" si="58">AH138</f>
        <v>0</v>
      </c>
      <c r="AI154" s="21">
        <f t="shared" si="58"/>
        <v>0</v>
      </c>
      <c r="AJ154" s="45">
        <f t="shared" si="58"/>
        <v>0</v>
      </c>
      <c r="AK154" s="45">
        <f t="shared" si="58"/>
        <v>0</v>
      </c>
      <c r="AL154" s="46">
        <f t="shared" si="58"/>
        <v>0</v>
      </c>
      <c r="AM154" s="21">
        <f t="shared" si="58"/>
        <v>0</v>
      </c>
      <c r="AN154" s="45">
        <f t="shared" si="58"/>
        <v>0</v>
      </c>
      <c r="AO154" s="45">
        <f t="shared" si="58"/>
        <v>0</v>
      </c>
      <c r="AP154" s="46">
        <f t="shared" si="58"/>
        <v>0</v>
      </c>
      <c r="AQ154" s="21">
        <f t="shared" si="58"/>
        <v>0</v>
      </c>
      <c r="AR154" s="45">
        <f t="shared" si="58"/>
        <v>0</v>
      </c>
      <c r="AS154" s="45">
        <f t="shared" si="58"/>
        <v>0</v>
      </c>
      <c r="AT154" s="46">
        <f t="shared" si="58"/>
        <v>0</v>
      </c>
      <c r="AU154" s="21">
        <f t="shared" si="58"/>
        <v>0</v>
      </c>
      <c r="AV154" s="45">
        <f t="shared" si="58"/>
        <v>0</v>
      </c>
      <c r="AW154" s="45">
        <f t="shared" si="58"/>
        <v>0</v>
      </c>
      <c r="AX154" s="46">
        <f t="shared" si="58"/>
        <v>0</v>
      </c>
    </row>
    <row r="155" spans="1:50" ht="11.25" customHeight="1" x14ac:dyDescent="0.2">
      <c r="A155" s="85" t="s">
        <v>71</v>
      </c>
      <c r="B155" s="315">
        <f t="shared" ref="B155:AG155" si="59">B117+B118+B124-B131-B134-B140</f>
        <v>0</v>
      </c>
      <c r="C155" s="21">
        <f t="shared" si="59"/>
        <v>0</v>
      </c>
      <c r="D155" s="45">
        <f t="shared" si="59"/>
        <v>0</v>
      </c>
      <c r="E155" s="45">
        <f t="shared" si="59"/>
        <v>0</v>
      </c>
      <c r="F155" s="45">
        <f t="shared" si="59"/>
        <v>0</v>
      </c>
      <c r="G155" s="21">
        <f t="shared" si="59"/>
        <v>0</v>
      </c>
      <c r="H155" s="45">
        <f t="shared" si="59"/>
        <v>0</v>
      </c>
      <c r="I155" s="45">
        <f t="shared" si="59"/>
        <v>0</v>
      </c>
      <c r="J155" s="45">
        <f t="shared" si="59"/>
        <v>0</v>
      </c>
      <c r="K155" s="21">
        <f t="shared" si="59"/>
        <v>0</v>
      </c>
      <c r="L155" s="45">
        <f t="shared" si="59"/>
        <v>0</v>
      </c>
      <c r="M155" s="45">
        <f t="shared" si="59"/>
        <v>0</v>
      </c>
      <c r="N155" s="45">
        <f t="shared" si="59"/>
        <v>0</v>
      </c>
      <c r="O155" s="21">
        <f t="shared" si="59"/>
        <v>0</v>
      </c>
      <c r="P155" s="45">
        <f t="shared" si="59"/>
        <v>0</v>
      </c>
      <c r="Q155" s="45">
        <f t="shared" si="59"/>
        <v>0</v>
      </c>
      <c r="R155" s="45">
        <f t="shared" si="59"/>
        <v>0</v>
      </c>
      <c r="S155" s="21">
        <f t="shared" si="59"/>
        <v>0</v>
      </c>
      <c r="T155" s="45">
        <f t="shared" si="59"/>
        <v>0</v>
      </c>
      <c r="U155" s="45">
        <f t="shared" si="59"/>
        <v>0</v>
      </c>
      <c r="V155" s="45">
        <f t="shared" si="59"/>
        <v>0</v>
      </c>
      <c r="W155" s="21">
        <f t="shared" si="59"/>
        <v>0</v>
      </c>
      <c r="X155" s="45">
        <f t="shared" si="59"/>
        <v>0</v>
      </c>
      <c r="Y155" s="45">
        <f t="shared" si="59"/>
        <v>0</v>
      </c>
      <c r="Z155" s="45">
        <f t="shared" si="59"/>
        <v>0</v>
      </c>
      <c r="AA155" s="21">
        <f t="shared" si="59"/>
        <v>0</v>
      </c>
      <c r="AB155" s="45">
        <f t="shared" si="59"/>
        <v>0</v>
      </c>
      <c r="AC155" s="45">
        <f t="shared" si="59"/>
        <v>0</v>
      </c>
      <c r="AD155" s="46">
        <f t="shared" si="59"/>
        <v>0</v>
      </c>
      <c r="AE155" s="21">
        <f t="shared" si="59"/>
        <v>0</v>
      </c>
      <c r="AF155" s="45">
        <f t="shared" si="59"/>
        <v>0</v>
      </c>
      <c r="AG155" s="45">
        <f t="shared" si="59"/>
        <v>0</v>
      </c>
      <c r="AH155" s="46">
        <f t="shared" ref="AH155:AX155" si="60">AH117+AH118+AH124-AH131-AH134-AH140</f>
        <v>0</v>
      </c>
      <c r="AI155" s="21">
        <f t="shared" si="60"/>
        <v>0</v>
      </c>
      <c r="AJ155" s="45">
        <f t="shared" si="60"/>
        <v>0</v>
      </c>
      <c r="AK155" s="45">
        <f t="shared" si="60"/>
        <v>0</v>
      </c>
      <c r="AL155" s="46">
        <f t="shared" si="60"/>
        <v>0</v>
      </c>
      <c r="AM155" s="21">
        <f t="shared" si="60"/>
        <v>0</v>
      </c>
      <c r="AN155" s="45">
        <f t="shared" si="60"/>
        <v>0</v>
      </c>
      <c r="AO155" s="45">
        <f t="shared" si="60"/>
        <v>0</v>
      </c>
      <c r="AP155" s="46">
        <f t="shared" si="60"/>
        <v>0</v>
      </c>
      <c r="AQ155" s="21">
        <f t="shared" si="60"/>
        <v>0</v>
      </c>
      <c r="AR155" s="45">
        <f t="shared" si="60"/>
        <v>0</v>
      </c>
      <c r="AS155" s="45">
        <f t="shared" si="60"/>
        <v>0</v>
      </c>
      <c r="AT155" s="46">
        <f t="shared" si="60"/>
        <v>0</v>
      </c>
      <c r="AU155" s="21">
        <f t="shared" si="60"/>
        <v>0</v>
      </c>
      <c r="AV155" s="45">
        <f t="shared" si="60"/>
        <v>0</v>
      </c>
      <c r="AW155" s="45">
        <f t="shared" si="60"/>
        <v>0</v>
      </c>
      <c r="AX155" s="46">
        <f t="shared" si="60"/>
        <v>0</v>
      </c>
    </row>
    <row r="156" spans="1:50" ht="11.25" customHeight="1" x14ac:dyDescent="0.2">
      <c r="A156" s="2"/>
      <c r="B156" s="315"/>
      <c r="C156" s="53"/>
      <c r="D156" s="54"/>
      <c r="E156" s="54"/>
      <c r="F156" s="54"/>
      <c r="G156" s="53"/>
      <c r="H156" s="54"/>
      <c r="I156" s="54"/>
      <c r="J156" s="54"/>
      <c r="K156" s="53"/>
      <c r="L156" s="54"/>
      <c r="M156" s="54"/>
      <c r="N156" s="54"/>
      <c r="O156" s="53"/>
      <c r="P156" s="54"/>
      <c r="Q156" s="54"/>
      <c r="R156" s="54"/>
      <c r="S156" s="53"/>
      <c r="T156" s="54"/>
      <c r="U156" s="54"/>
      <c r="V156" s="54"/>
      <c r="W156" s="53"/>
      <c r="X156" s="54"/>
      <c r="Y156" s="54"/>
      <c r="Z156" s="54"/>
      <c r="AA156" s="53"/>
      <c r="AB156" s="54"/>
      <c r="AC156" s="54"/>
      <c r="AD156" s="55"/>
      <c r="AE156" s="53"/>
      <c r="AF156" s="54"/>
      <c r="AG156" s="54"/>
      <c r="AH156" s="55"/>
      <c r="AI156" s="53"/>
      <c r="AJ156" s="54"/>
      <c r="AK156" s="54"/>
      <c r="AL156" s="55"/>
      <c r="AM156" s="53"/>
      <c r="AN156" s="54"/>
      <c r="AO156" s="54"/>
      <c r="AP156" s="55"/>
      <c r="AQ156" s="53"/>
      <c r="AR156" s="54"/>
      <c r="AS156" s="54"/>
      <c r="AT156" s="55"/>
      <c r="AU156" s="53"/>
      <c r="AV156" s="54"/>
      <c r="AW156" s="54"/>
      <c r="AX156" s="55"/>
    </row>
    <row r="157" spans="1:50" s="1" customFormat="1" ht="10.5" x14ac:dyDescent="0.1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s="1" customFormat="1" ht="10.5" x14ac:dyDescent="0.1"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">
      <c r="A159" s="6" t="s">
        <v>158</v>
      </c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</row>
    <row r="160" spans="1:50" ht="11.25" customHeight="1" x14ac:dyDescent="0.2">
      <c r="A160" s="85" t="s">
        <v>95</v>
      </c>
      <c r="B160" s="311"/>
      <c r="C160" s="214">
        <v>0</v>
      </c>
      <c r="D160" s="215">
        <v>0</v>
      </c>
      <c r="E160" s="215">
        <v>0</v>
      </c>
      <c r="F160" s="215">
        <v>0</v>
      </c>
      <c r="G160" s="214">
        <v>0</v>
      </c>
      <c r="H160" s="215">
        <v>0</v>
      </c>
      <c r="I160" s="215">
        <v>0</v>
      </c>
      <c r="J160" s="215">
        <v>0</v>
      </c>
      <c r="K160" s="214">
        <v>0</v>
      </c>
      <c r="L160" s="215">
        <v>0</v>
      </c>
      <c r="M160" s="215">
        <v>0</v>
      </c>
      <c r="N160" s="215">
        <v>0</v>
      </c>
      <c r="O160" s="214">
        <v>0</v>
      </c>
      <c r="P160" s="215">
        <v>0</v>
      </c>
      <c r="Q160" s="215">
        <v>0</v>
      </c>
      <c r="R160" s="215">
        <v>0</v>
      </c>
      <c r="S160" s="214">
        <v>0</v>
      </c>
      <c r="T160" s="215">
        <v>0</v>
      </c>
      <c r="U160" s="215">
        <v>0</v>
      </c>
      <c r="V160" s="215">
        <v>0</v>
      </c>
      <c r="W160" s="214">
        <v>0</v>
      </c>
      <c r="X160" s="215">
        <v>0</v>
      </c>
      <c r="Y160" s="215">
        <v>0</v>
      </c>
      <c r="Z160" s="215">
        <v>0</v>
      </c>
      <c r="AA160" s="214">
        <v>0</v>
      </c>
      <c r="AB160" s="215">
        <v>0</v>
      </c>
      <c r="AC160" s="215">
        <v>0</v>
      </c>
      <c r="AD160" s="215">
        <v>0</v>
      </c>
      <c r="AE160" s="214">
        <v>0</v>
      </c>
      <c r="AF160" s="215">
        <v>0</v>
      </c>
      <c r="AG160" s="215">
        <v>0</v>
      </c>
      <c r="AH160" s="215">
        <v>0</v>
      </c>
      <c r="AI160" s="214">
        <v>0</v>
      </c>
      <c r="AJ160" s="215">
        <v>0</v>
      </c>
      <c r="AK160" s="215">
        <v>0</v>
      </c>
      <c r="AL160" s="216">
        <v>0</v>
      </c>
      <c r="AM160" s="214">
        <v>0</v>
      </c>
      <c r="AN160" s="215">
        <v>0</v>
      </c>
      <c r="AO160" s="215">
        <v>0</v>
      </c>
      <c r="AP160" s="216">
        <v>0</v>
      </c>
      <c r="AQ160" s="214">
        <v>0</v>
      </c>
      <c r="AR160" s="215">
        <v>0</v>
      </c>
      <c r="AS160" s="215">
        <v>0</v>
      </c>
      <c r="AT160" s="216">
        <v>0</v>
      </c>
      <c r="AU160" s="214">
        <v>0</v>
      </c>
      <c r="AV160" s="215">
        <v>0</v>
      </c>
      <c r="AW160" s="215">
        <v>0</v>
      </c>
      <c r="AX160" s="216">
        <v>0</v>
      </c>
    </row>
    <row r="161" spans="1:50" ht="11.25" customHeight="1" x14ac:dyDescent="0.2">
      <c r="A161" s="85" t="s">
        <v>159</v>
      </c>
      <c r="B161" s="311"/>
      <c r="C161" s="214">
        <v>0</v>
      </c>
      <c r="D161" s="215">
        <v>0</v>
      </c>
      <c r="E161" s="215">
        <v>0</v>
      </c>
      <c r="F161" s="215">
        <v>0</v>
      </c>
      <c r="G161" s="214">
        <v>0</v>
      </c>
      <c r="H161" s="215">
        <v>0</v>
      </c>
      <c r="I161" s="215">
        <v>0</v>
      </c>
      <c r="J161" s="215">
        <v>0</v>
      </c>
      <c r="K161" s="214">
        <v>0</v>
      </c>
      <c r="L161" s="215">
        <v>0</v>
      </c>
      <c r="M161" s="215">
        <v>0</v>
      </c>
      <c r="N161" s="215">
        <v>0</v>
      </c>
      <c r="O161" s="214">
        <v>0</v>
      </c>
      <c r="P161" s="215">
        <v>0</v>
      </c>
      <c r="Q161" s="215">
        <v>0</v>
      </c>
      <c r="R161" s="215">
        <v>0</v>
      </c>
      <c r="S161" s="214">
        <v>0</v>
      </c>
      <c r="T161" s="215">
        <v>0</v>
      </c>
      <c r="U161" s="215">
        <v>0</v>
      </c>
      <c r="V161" s="215">
        <v>0</v>
      </c>
      <c r="W161" s="214">
        <v>0</v>
      </c>
      <c r="X161" s="215">
        <v>0</v>
      </c>
      <c r="Y161" s="215">
        <v>0</v>
      </c>
      <c r="Z161" s="215">
        <v>0</v>
      </c>
      <c r="AA161" s="214">
        <v>0</v>
      </c>
      <c r="AB161" s="215">
        <v>0</v>
      </c>
      <c r="AC161" s="215">
        <v>0</v>
      </c>
      <c r="AD161" s="215">
        <v>0</v>
      </c>
      <c r="AE161" s="214">
        <v>0</v>
      </c>
      <c r="AF161" s="215">
        <v>0</v>
      </c>
      <c r="AG161" s="215">
        <v>0</v>
      </c>
      <c r="AH161" s="215">
        <v>0</v>
      </c>
      <c r="AI161" s="214">
        <v>0</v>
      </c>
      <c r="AJ161" s="215">
        <v>0</v>
      </c>
      <c r="AK161" s="215">
        <v>0</v>
      </c>
      <c r="AL161" s="216">
        <v>0</v>
      </c>
      <c r="AM161" s="214">
        <v>0</v>
      </c>
      <c r="AN161" s="215">
        <v>0</v>
      </c>
      <c r="AO161" s="215">
        <v>0</v>
      </c>
      <c r="AP161" s="216">
        <v>0</v>
      </c>
      <c r="AQ161" s="214">
        <v>0</v>
      </c>
      <c r="AR161" s="215">
        <v>0</v>
      </c>
      <c r="AS161" s="215">
        <v>0</v>
      </c>
      <c r="AT161" s="216">
        <v>0</v>
      </c>
      <c r="AU161" s="214">
        <v>0</v>
      </c>
      <c r="AV161" s="215">
        <v>0</v>
      </c>
      <c r="AW161" s="215">
        <v>0</v>
      </c>
      <c r="AX161" s="216">
        <v>0</v>
      </c>
    </row>
    <row r="162" spans="1:50" ht="11.25" customHeight="1" x14ac:dyDescent="0.2">
      <c r="A162" s="85" t="s">
        <v>201</v>
      </c>
      <c r="B162" s="311"/>
      <c r="C162" s="214">
        <v>0</v>
      </c>
      <c r="D162" s="215">
        <v>0</v>
      </c>
      <c r="E162" s="215">
        <v>0</v>
      </c>
      <c r="F162" s="215">
        <v>0</v>
      </c>
      <c r="G162" s="214">
        <v>0</v>
      </c>
      <c r="H162" s="215">
        <v>0</v>
      </c>
      <c r="I162" s="215">
        <v>0</v>
      </c>
      <c r="J162" s="215">
        <v>0</v>
      </c>
      <c r="K162" s="214">
        <v>0</v>
      </c>
      <c r="L162" s="215">
        <v>0</v>
      </c>
      <c r="M162" s="215">
        <v>0</v>
      </c>
      <c r="N162" s="215">
        <v>0</v>
      </c>
      <c r="O162" s="214">
        <v>0</v>
      </c>
      <c r="P162" s="215">
        <v>0</v>
      </c>
      <c r="Q162" s="215">
        <v>0</v>
      </c>
      <c r="R162" s="215">
        <v>0</v>
      </c>
      <c r="S162" s="214">
        <v>0</v>
      </c>
      <c r="T162" s="215">
        <v>0</v>
      </c>
      <c r="U162" s="215">
        <v>0</v>
      </c>
      <c r="V162" s="215">
        <v>0</v>
      </c>
      <c r="W162" s="214">
        <v>0</v>
      </c>
      <c r="X162" s="215">
        <v>0</v>
      </c>
      <c r="Y162" s="215">
        <v>0</v>
      </c>
      <c r="Z162" s="215">
        <v>0</v>
      </c>
      <c r="AA162" s="214">
        <v>0</v>
      </c>
      <c r="AB162" s="215">
        <v>0</v>
      </c>
      <c r="AC162" s="215">
        <v>0</v>
      </c>
      <c r="AD162" s="215">
        <v>0</v>
      </c>
      <c r="AE162" s="214">
        <v>0</v>
      </c>
      <c r="AF162" s="215">
        <v>0</v>
      </c>
      <c r="AG162" s="215">
        <v>0</v>
      </c>
      <c r="AH162" s="215">
        <v>0</v>
      </c>
      <c r="AI162" s="214">
        <v>0</v>
      </c>
      <c r="AJ162" s="215">
        <v>0</v>
      </c>
      <c r="AK162" s="215">
        <v>0</v>
      </c>
      <c r="AL162" s="216">
        <v>0</v>
      </c>
      <c r="AM162" s="214">
        <v>0</v>
      </c>
      <c r="AN162" s="215">
        <v>0</v>
      </c>
      <c r="AO162" s="215">
        <v>0</v>
      </c>
      <c r="AP162" s="216">
        <v>0</v>
      </c>
      <c r="AQ162" s="214">
        <v>0</v>
      </c>
      <c r="AR162" s="215">
        <v>0</v>
      </c>
      <c r="AS162" s="215">
        <v>0</v>
      </c>
      <c r="AT162" s="216">
        <v>0</v>
      </c>
      <c r="AU162" s="214">
        <v>0</v>
      </c>
      <c r="AV162" s="215">
        <v>0</v>
      </c>
      <c r="AW162" s="215">
        <v>0</v>
      </c>
      <c r="AX162" s="216">
        <v>0</v>
      </c>
    </row>
    <row r="163" spans="1:50" x14ac:dyDescent="0.2"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</row>
    <row r="164" spans="1:50" x14ac:dyDescent="0.2">
      <c r="A164" s="85" t="str">
        <f>A160</f>
        <v>Revenue</v>
      </c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O164" s="25"/>
      <c r="P164" s="386" t="e">
        <f t="shared" ref="P164:AA164" si="61">P14/P160-1</f>
        <v>#DIV/0!</v>
      </c>
      <c r="Q164" s="386" t="e">
        <f t="shared" si="61"/>
        <v>#DIV/0!</v>
      </c>
      <c r="R164" s="386" t="e">
        <f t="shared" si="61"/>
        <v>#DIV/0!</v>
      </c>
      <c r="S164" s="386" t="e">
        <f t="shared" si="61"/>
        <v>#DIV/0!</v>
      </c>
      <c r="T164" s="386" t="e">
        <f t="shared" si="61"/>
        <v>#DIV/0!</v>
      </c>
      <c r="U164" s="386" t="e">
        <f t="shared" si="61"/>
        <v>#DIV/0!</v>
      </c>
      <c r="V164" s="386" t="e">
        <f t="shared" si="61"/>
        <v>#DIV/0!</v>
      </c>
      <c r="W164" s="386" t="e">
        <f t="shared" si="61"/>
        <v>#DIV/0!</v>
      </c>
      <c r="X164" s="386" t="e">
        <f t="shared" si="61"/>
        <v>#DIV/0!</v>
      </c>
      <c r="Y164" s="386" t="e">
        <f t="shared" si="61"/>
        <v>#DIV/0!</v>
      </c>
      <c r="Z164" s="386" t="e">
        <f t="shared" si="61"/>
        <v>#DIV/0!</v>
      </c>
      <c r="AA164" s="386" t="e">
        <f t="shared" si="61"/>
        <v>#DIV/0!</v>
      </c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</row>
    <row r="165" spans="1:50" x14ac:dyDescent="0.2">
      <c r="A165" s="85" t="str">
        <f>A161</f>
        <v>NG Op. Loss</v>
      </c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U165" s="386"/>
      <c r="V165" s="386"/>
      <c r="W165" s="386"/>
      <c r="X165" s="386"/>
      <c r="Y165" s="386"/>
      <c r="Z165" s="386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</row>
    <row r="166" spans="1:50" x14ac:dyDescent="0.2">
      <c r="A166" s="85" t="str">
        <f>A162</f>
        <v>GAAP Net  Income</v>
      </c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P166" s="386" t="str">
        <f t="shared" ref="P166:AA166" si="62">IFERROR(P41/P162-1,"")</f>
        <v/>
      </c>
      <c r="Q166" s="386" t="str">
        <f t="shared" si="62"/>
        <v/>
      </c>
      <c r="R166" s="386" t="str">
        <f t="shared" si="62"/>
        <v/>
      </c>
      <c r="S166" s="386" t="str">
        <f t="shared" si="62"/>
        <v/>
      </c>
      <c r="T166" s="386" t="str">
        <f t="shared" si="62"/>
        <v/>
      </c>
      <c r="U166" s="386" t="str">
        <f t="shared" si="62"/>
        <v/>
      </c>
      <c r="V166" s="386" t="str">
        <f t="shared" si="62"/>
        <v/>
      </c>
      <c r="W166" s="386" t="str">
        <f t="shared" si="62"/>
        <v/>
      </c>
      <c r="X166" s="386" t="str">
        <f t="shared" si="62"/>
        <v/>
      </c>
      <c r="Y166" s="386" t="str">
        <f t="shared" si="62"/>
        <v/>
      </c>
      <c r="Z166" s="386" t="str">
        <f t="shared" si="62"/>
        <v/>
      </c>
      <c r="AA166" s="386" t="str">
        <f t="shared" si="62"/>
        <v/>
      </c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</row>
  </sheetData>
  <mergeCells count="12">
    <mergeCell ref="C2:F2"/>
    <mergeCell ref="G2:J2"/>
    <mergeCell ref="AU2:AX2"/>
    <mergeCell ref="K2:N2"/>
    <mergeCell ref="AM2:AP2"/>
    <mergeCell ref="AQ2:AT2"/>
    <mergeCell ref="O2:R2"/>
    <mergeCell ref="S2:V2"/>
    <mergeCell ref="W2:Z2"/>
    <mergeCell ref="AA2:AD2"/>
    <mergeCell ref="AE2:AH2"/>
    <mergeCell ref="AI2:AL2"/>
  </mergeCells>
  <conditionalFormatting sqref="C61:AX64">
    <cfRule type="expression" dxfId="15" priority="1">
      <formula>AND(C$60&gt;0)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ignoredErrors>
    <ignoredError sqref="AT8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7690"/>
  <sheetViews>
    <sheetView zoomScale="89" workbookViewId="0" xr3:uid="{51F8DEE0-4D01-5F28-A812-FC0BD7CAC4A5}">
      <selection activeCell="A4" sqref="A4"/>
    </sheetView>
  </sheetViews>
  <sheetFormatPr defaultRowHeight="15" x14ac:dyDescent="0.2"/>
  <cols>
    <col min="1" max="1" width="11.8359375" customWidth="1"/>
    <col min="2" max="2" width="10.0859375" style="549" customWidth="1"/>
    <col min="3" max="3" width="16.0078125" style="163" customWidth="1"/>
    <col min="4" max="4" width="8.47265625" style="163" customWidth="1"/>
    <col min="5" max="5" width="7.12890625" style="163" customWidth="1"/>
    <col min="6" max="6" width="7.53125" style="163" customWidth="1"/>
    <col min="7" max="7" width="7.3984375" style="163" customWidth="1"/>
    <col min="8" max="8" width="11.43359375" style="163" customWidth="1"/>
    <col min="9" max="9" width="10.625" style="163" customWidth="1"/>
    <col min="10" max="10" width="14.2578125" style="164" bestFit="1" customWidth="1"/>
    <col min="11" max="11" width="16.140625" style="309" customWidth="1"/>
    <col min="12" max="12" width="16.140625" style="368" customWidth="1"/>
    <col min="13" max="13" width="11.56640625" customWidth="1"/>
    <col min="14" max="14" width="10.89453125" customWidth="1"/>
    <col min="15" max="15" width="8.609375" customWidth="1"/>
    <col min="16" max="16" width="16.94921875" customWidth="1"/>
  </cols>
  <sheetData>
    <row r="1" spans="1:11" x14ac:dyDescent="0.2">
      <c r="A1" s="553" t="s">
        <v>199</v>
      </c>
      <c r="B1" s="553" t="s">
        <v>207</v>
      </c>
    </row>
    <row r="2" spans="1:11" x14ac:dyDescent="0.2">
      <c r="A2" s="554" t="s">
        <v>232</v>
      </c>
      <c r="B2" s="552">
        <f>VLOOKUP(A2,tblStocksNew[],2,FALSE)</f>
        <v>8</v>
      </c>
      <c r="D2" s="164"/>
      <c r="E2" s="164"/>
      <c r="F2" s="164"/>
    </row>
    <row r="4" spans="1:11" x14ac:dyDescent="0.2">
      <c r="A4" s="549" t="s">
        <v>206</v>
      </c>
      <c r="B4" s="549" t="s">
        <v>207</v>
      </c>
      <c r="C4" s="550" t="s">
        <v>208</v>
      </c>
      <c r="D4" s="550" t="s">
        <v>209</v>
      </c>
      <c r="E4" s="550" t="s">
        <v>210</v>
      </c>
      <c r="F4" s="550" t="s">
        <v>211</v>
      </c>
      <c r="G4" s="550" t="s">
        <v>212</v>
      </c>
      <c r="H4" s="550" t="s">
        <v>213</v>
      </c>
      <c r="I4" s="550" t="s">
        <v>214</v>
      </c>
    </row>
    <row r="5" spans="1:11" x14ac:dyDescent="0.2">
      <c r="A5" s="549">
        <v>2751</v>
      </c>
      <c r="B5" s="549">
        <v>8</v>
      </c>
      <c r="C5" s="548">
        <v>41113</v>
      </c>
      <c r="D5" s="550">
        <v>6.82</v>
      </c>
      <c r="E5" s="550">
        <v>6.88</v>
      </c>
      <c r="F5" s="550">
        <v>6.93</v>
      </c>
      <c r="G5" s="550">
        <v>6.77</v>
      </c>
      <c r="H5" s="551">
        <v>5.4264150000000004</v>
      </c>
      <c r="I5" s="550">
        <v>265100</v>
      </c>
      <c r="J5" s="510"/>
    </row>
    <row r="6" spans="1:11" x14ac:dyDescent="0.2">
      <c r="A6" s="549">
        <v>2752</v>
      </c>
      <c r="B6" s="549">
        <v>8</v>
      </c>
      <c r="C6" s="548">
        <v>41114</v>
      </c>
      <c r="D6" s="550">
        <v>6.88</v>
      </c>
      <c r="E6" s="550">
        <v>6.82</v>
      </c>
      <c r="F6" s="550">
        <v>6.91</v>
      </c>
      <c r="G6" s="550">
        <v>6.79</v>
      </c>
      <c r="H6" s="551">
        <v>5.3790909999999998</v>
      </c>
      <c r="I6" s="550">
        <v>221900</v>
      </c>
      <c r="J6" s="510"/>
      <c r="K6" s="547"/>
    </row>
    <row r="7" spans="1:11" x14ac:dyDescent="0.2">
      <c r="A7" s="549">
        <v>2753</v>
      </c>
      <c r="B7" s="549">
        <v>8</v>
      </c>
      <c r="C7" s="548">
        <v>41115</v>
      </c>
      <c r="D7" s="550">
        <v>6.81</v>
      </c>
      <c r="E7" s="550">
        <v>6.74</v>
      </c>
      <c r="F7" s="550">
        <v>6.88</v>
      </c>
      <c r="G7" s="550">
        <v>6.73</v>
      </c>
      <c r="H7" s="551">
        <v>5.3159929999999997</v>
      </c>
      <c r="I7" s="550">
        <v>298600</v>
      </c>
    </row>
    <row r="8" spans="1:11" x14ac:dyDescent="0.2">
      <c r="A8" s="549">
        <v>2754</v>
      </c>
      <c r="B8" s="549">
        <v>8</v>
      </c>
      <c r="C8" s="548">
        <v>41116</v>
      </c>
      <c r="D8" s="550">
        <v>6.76</v>
      </c>
      <c r="E8" s="550">
        <v>6.83</v>
      </c>
      <c r="F8" s="550">
        <v>6.87</v>
      </c>
      <c r="G8" s="550">
        <v>6.67</v>
      </c>
      <c r="H8" s="551">
        <v>5.386978</v>
      </c>
      <c r="I8" s="550">
        <v>175900</v>
      </c>
    </row>
    <row r="9" spans="1:11" x14ac:dyDescent="0.2">
      <c r="A9" s="549">
        <v>2755</v>
      </c>
      <c r="B9" s="549">
        <v>8</v>
      </c>
      <c r="C9" s="548">
        <v>41117</v>
      </c>
      <c r="D9" s="550">
        <v>6.81</v>
      </c>
      <c r="E9" s="550">
        <v>6.81</v>
      </c>
      <c r="F9" s="550">
        <v>6.86</v>
      </c>
      <c r="G9" s="550">
        <v>6.78</v>
      </c>
      <c r="H9" s="551">
        <v>5.3712030000000004</v>
      </c>
      <c r="I9" s="550">
        <v>235000</v>
      </c>
    </row>
    <row r="10" spans="1:11" x14ac:dyDescent="0.2">
      <c r="A10" s="549">
        <v>2756</v>
      </c>
      <c r="B10" s="549">
        <v>8</v>
      </c>
      <c r="C10" s="548">
        <v>41120</v>
      </c>
      <c r="D10" s="550">
        <v>6.81</v>
      </c>
      <c r="E10" s="550">
        <v>6.68</v>
      </c>
      <c r="F10" s="550">
        <v>6.81</v>
      </c>
      <c r="G10" s="550">
        <v>6.65</v>
      </c>
      <c r="H10" s="551">
        <v>5.2686700000000002</v>
      </c>
      <c r="I10" s="550">
        <v>190500</v>
      </c>
    </row>
    <row r="11" spans="1:11" x14ac:dyDescent="0.2">
      <c r="A11" s="549">
        <v>2757</v>
      </c>
      <c r="B11" s="549">
        <v>8</v>
      </c>
      <c r="C11" s="548">
        <v>41121</v>
      </c>
      <c r="D11" s="550">
        <v>6.7</v>
      </c>
      <c r="E11" s="550">
        <v>6.6</v>
      </c>
      <c r="F11" s="550">
        <v>6.7</v>
      </c>
      <c r="G11" s="550">
        <v>6.58</v>
      </c>
      <c r="H11" s="551">
        <v>5.2055709999999999</v>
      </c>
      <c r="I11" s="550">
        <v>198800</v>
      </c>
    </row>
    <row r="12" spans="1:11" x14ac:dyDescent="0.2">
      <c r="A12" s="549">
        <v>2758</v>
      </c>
      <c r="B12" s="549">
        <v>8</v>
      </c>
      <c r="C12" s="548">
        <v>41122</v>
      </c>
      <c r="D12" s="550">
        <v>6.59</v>
      </c>
      <c r="E12" s="550">
        <v>6.67</v>
      </c>
      <c r="F12" s="550">
        <v>6.69</v>
      </c>
      <c r="G12" s="550">
        <v>6.58</v>
      </c>
      <c r="H12" s="551">
        <v>5.2607819999999998</v>
      </c>
      <c r="I12" s="550">
        <v>301500</v>
      </c>
    </row>
    <row r="13" spans="1:11" x14ac:dyDescent="0.2">
      <c r="A13" s="549">
        <v>2759</v>
      </c>
      <c r="B13" s="549">
        <v>8</v>
      </c>
      <c r="C13" s="548">
        <v>41123</v>
      </c>
      <c r="D13" s="550">
        <v>6.67</v>
      </c>
      <c r="E13" s="550">
        <v>6.73</v>
      </c>
      <c r="F13" s="550">
        <v>6.81</v>
      </c>
      <c r="G13" s="550">
        <v>6.59</v>
      </c>
      <c r="H13" s="551">
        <v>5.3081060000000004</v>
      </c>
      <c r="I13" s="550">
        <v>275000</v>
      </c>
    </row>
    <row r="14" spans="1:11" x14ac:dyDescent="0.2">
      <c r="A14" s="549">
        <v>2760</v>
      </c>
      <c r="B14" s="549">
        <v>8</v>
      </c>
      <c r="C14" s="548">
        <v>41124</v>
      </c>
      <c r="D14" s="550">
        <v>6.75</v>
      </c>
      <c r="E14" s="550">
        <v>6.74</v>
      </c>
      <c r="F14" s="550">
        <v>6.75</v>
      </c>
      <c r="G14" s="550">
        <v>6.65</v>
      </c>
      <c r="H14" s="551">
        <v>5.3159929999999997</v>
      </c>
      <c r="I14" s="550">
        <v>128900</v>
      </c>
    </row>
    <row r="15" spans="1:11" x14ac:dyDescent="0.2">
      <c r="A15" s="549">
        <v>2761</v>
      </c>
      <c r="B15" s="549">
        <v>8</v>
      </c>
      <c r="C15" s="548">
        <v>41128</v>
      </c>
      <c r="D15" s="550">
        <v>6.74</v>
      </c>
      <c r="E15" s="550">
        <v>6.65</v>
      </c>
      <c r="F15" s="550">
        <v>6.79</v>
      </c>
      <c r="G15" s="550">
        <v>6.65</v>
      </c>
      <c r="H15" s="551">
        <v>5.2450089999999996</v>
      </c>
      <c r="I15" s="550">
        <v>126300</v>
      </c>
    </row>
    <row r="16" spans="1:11" x14ac:dyDescent="0.2">
      <c r="A16" s="549">
        <v>2762</v>
      </c>
      <c r="B16" s="549">
        <v>8</v>
      </c>
      <c r="C16" s="548">
        <v>41129</v>
      </c>
      <c r="D16" s="550">
        <v>6.68</v>
      </c>
      <c r="E16" s="550">
        <v>6.63</v>
      </c>
      <c r="F16" s="550">
        <v>6.69</v>
      </c>
      <c r="G16" s="550">
        <v>6.61</v>
      </c>
      <c r="H16" s="551">
        <v>5.2292329999999998</v>
      </c>
      <c r="I16" s="550">
        <v>99000</v>
      </c>
    </row>
    <row r="17" spans="1:9" x14ac:dyDescent="0.2">
      <c r="A17" s="549">
        <v>2763</v>
      </c>
      <c r="B17" s="549">
        <v>8</v>
      </c>
      <c r="C17" s="548">
        <v>41130</v>
      </c>
      <c r="D17" s="550">
        <v>6.64</v>
      </c>
      <c r="E17" s="550">
        <v>6.64</v>
      </c>
      <c r="F17" s="550">
        <v>6.64</v>
      </c>
      <c r="G17" s="550">
        <v>6.57</v>
      </c>
      <c r="H17" s="551">
        <v>5.2371210000000001</v>
      </c>
      <c r="I17" s="550">
        <v>229100</v>
      </c>
    </row>
    <row r="18" spans="1:9" x14ac:dyDescent="0.2">
      <c r="A18" s="549">
        <v>2764</v>
      </c>
      <c r="B18" s="549">
        <v>8</v>
      </c>
      <c r="C18" s="548">
        <v>41131</v>
      </c>
      <c r="D18" s="550">
        <v>6.75</v>
      </c>
      <c r="E18" s="550">
        <v>6.7</v>
      </c>
      <c r="F18" s="550">
        <v>6.75</v>
      </c>
      <c r="G18" s="550">
        <v>6.68</v>
      </c>
      <c r="H18" s="551">
        <v>5.2844439999999997</v>
      </c>
      <c r="I18" s="550">
        <v>221200</v>
      </c>
    </row>
    <row r="19" spans="1:9" x14ac:dyDescent="0.2">
      <c r="A19" s="549">
        <v>2765</v>
      </c>
      <c r="B19" s="549">
        <v>8</v>
      </c>
      <c r="C19" s="548">
        <v>41134</v>
      </c>
      <c r="D19" s="550">
        <v>6.77</v>
      </c>
      <c r="E19" s="550">
        <v>6.69</v>
      </c>
      <c r="F19" s="550">
        <v>6.78</v>
      </c>
      <c r="G19" s="550">
        <v>6.68</v>
      </c>
      <c r="H19" s="551">
        <v>5.2765560000000002</v>
      </c>
      <c r="I19" s="550">
        <v>314500</v>
      </c>
    </row>
    <row r="20" spans="1:9" x14ac:dyDescent="0.2">
      <c r="A20" s="549">
        <v>2766</v>
      </c>
      <c r="B20" s="549">
        <v>8</v>
      </c>
      <c r="C20" s="548">
        <v>41135</v>
      </c>
      <c r="D20" s="550">
        <v>6.71</v>
      </c>
      <c r="E20" s="550">
        <v>6.66</v>
      </c>
      <c r="F20" s="550">
        <v>6.74</v>
      </c>
      <c r="G20" s="550">
        <v>6.65</v>
      </c>
      <c r="H20" s="551">
        <v>5.2528959999999998</v>
      </c>
      <c r="I20" s="550">
        <v>322300</v>
      </c>
    </row>
    <row r="21" spans="1:9" x14ac:dyDescent="0.2">
      <c r="A21" s="549">
        <v>2767</v>
      </c>
      <c r="B21" s="549">
        <v>8</v>
      </c>
      <c r="C21" s="548">
        <v>41136</v>
      </c>
      <c r="D21" s="550">
        <v>6.7</v>
      </c>
      <c r="E21" s="550">
        <v>6.57</v>
      </c>
      <c r="F21" s="550">
        <v>6.7</v>
      </c>
      <c r="G21" s="550">
        <v>6.52</v>
      </c>
      <c r="H21" s="551">
        <v>5.1819100000000002</v>
      </c>
      <c r="I21" s="550">
        <v>270500</v>
      </c>
    </row>
    <row r="22" spans="1:9" x14ac:dyDescent="0.2">
      <c r="A22" s="549">
        <v>2768</v>
      </c>
      <c r="B22" s="549">
        <v>8</v>
      </c>
      <c r="C22" s="548">
        <v>41137</v>
      </c>
      <c r="D22" s="550">
        <v>6.6</v>
      </c>
      <c r="E22" s="550">
        <v>6.64</v>
      </c>
      <c r="F22" s="550">
        <v>6.69</v>
      </c>
      <c r="G22" s="550">
        <v>6.57</v>
      </c>
      <c r="H22" s="551">
        <v>5.2371210000000001</v>
      </c>
      <c r="I22" s="550">
        <v>270900</v>
      </c>
    </row>
    <row r="23" spans="1:9" x14ac:dyDescent="0.2">
      <c r="A23" s="549">
        <v>2769</v>
      </c>
      <c r="B23" s="549">
        <v>8</v>
      </c>
      <c r="C23" s="548">
        <v>41138</v>
      </c>
      <c r="D23" s="550">
        <v>6.62</v>
      </c>
      <c r="E23" s="550">
        <v>6.73</v>
      </c>
      <c r="F23" s="550">
        <v>6.79</v>
      </c>
      <c r="G23" s="550">
        <v>6.62</v>
      </c>
      <c r="H23" s="551">
        <v>5.3081060000000004</v>
      </c>
      <c r="I23" s="550">
        <v>205500</v>
      </c>
    </row>
    <row r="24" spans="1:9" x14ac:dyDescent="0.2">
      <c r="A24" s="549">
        <v>2770</v>
      </c>
      <c r="B24" s="549">
        <v>8</v>
      </c>
      <c r="C24" s="548">
        <v>41141</v>
      </c>
      <c r="D24" s="550">
        <v>6.75</v>
      </c>
      <c r="E24" s="550">
        <v>6.59</v>
      </c>
      <c r="F24" s="550">
        <v>6.75</v>
      </c>
      <c r="G24" s="550">
        <v>6.58</v>
      </c>
      <c r="H24" s="551">
        <v>5.1976839999999997</v>
      </c>
      <c r="I24" s="550">
        <v>251400</v>
      </c>
    </row>
    <row r="25" spans="1:9" x14ac:dyDescent="0.2">
      <c r="A25" s="549">
        <v>2771</v>
      </c>
      <c r="B25" s="549">
        <v>8</v>
      </c>
      <c r="C25" s="548">
        <v>41142</v>
      </c>
      <c r="D25" s="550">
        <v>6.6</v>
      </c>
      <c r="E25" s="550">
        <v>6.72</v>
      </c>
      <c r="F25" s="550">
        <v>6.72</v>
      </c>
      <c r="G25" s="550">
        <v>6.6</v>
      </c>
      <c r="H25" s="551">
        <v>5.3002180000000001</v>
      </c>
      <c r="I25" s="550">
        <v>137300</v>
      </c>
    </row>
    <row r="26" spans="1:9" x14ac:dyDescent="0.2">
      <c r="A26" s="549">
        <v>2772</v>
      </c>
      <c r="B26" s="549">
        <v>8</v>
      </c>
      <c r="C26" s="548">
        <v>41143</v>
      </c>
      <c r="D26" s="550">
        <v>6.72</v>
      </c>
      <c r="E26" s="550">
        <v>6.76</v>
      </c>
      <c r="F26" s="550">
        <v>6.78</v>
      </c>
      <c r="G26" s="550">
        <v>6.68</v>
      </c>
      <c r="H26" s="551">
        <v>5.3317680000000003</v>
      </c>
      <c r="I26" s="550">
        <v>133700</v>
      </c>
    </row>
    <row r="27" spans="1:9" x14ac:dyDescent="0.2">
      <c r="A27" s="549">
        <v>2773</v>
      </c>
      <c r="B27" s="549">
        <v>8</v>
      </c>
      <c r="C27" s="548">
        <v>41144</v>
      </c>
      <c r="D27" s="550">
        <v>6.8</v>
      </c>
      <c r="E27" s="550">
        <v>6.8</v>
      </c>
      <c r="F27" s="550">
        <v>6.83</v>
      </c>
      <c r="G27" s="550">
        <v>6.74</v>
      </c>
      <c r="H27" s="551">
        <v>5.3633170000000003</v>
      </c>
      <c r="I27" s="550">
        <v>200600</v>
      </c>
    </row>
    <row r="28" spans="1:9" x14ac:dyDescent="0.2">
      <c r="A28" s="549">
        <v>2774</v>
      </c>
      <c r="B28" s="549">
        <v>8</v>
      </c>
      <c r="C28" s="548">
        <v>41145</v>
      </c>
      <c r="D28" s="550">
        <v>6.81</v>
      </c>
      <c r="E28" s="550">
        <v>6.83</v>
      </c>
      <c r="F28" s="550">
        <v>6.85</v>
      </c>
      <c r="G28" s="550">
        <v>6.78</v>
      </c>
      <c r="H28" s="551">
        <v>5.386978</v>
      </c>
      <c r="I28" s="550">
        <v>95000</v>
      </c>
    </row>
    <row r="29" spans="1:9" x14ac:dyDescent="0.2">
      <c r="A29" s="549">
        <v>2775</v>
      </c>
      <c r="B29" s="549">
        <v>8</v>
      </c>
      <c r="C29" s="548">
        <v>41148</v>
      </c>
      <c r="D29" s="550">
        <v>6.83</v>
      </c>
      <c r="E29" s="550">
        <v>6.84</v>
      </c>
      <c r="F29" s="550">
        <v>6.85</v>
      </c>
      <c r="G29" s="550">
        <v>6.75</v>
      </c>
      <c r="H29" s="551">
        <v>5.3948660000000004</v>
      </c>
      <c r="I29" s="550">
        <v>131600</v>
      </c>
    </row>
    <row r="30" spans="1:9" x14ac:dyDescent="0.2">
      <c r="A30" s="549">
        <v>2776</v>
      </c>
      <c r="B30" s="549">
        <v>8</v>
      </c>
      <c r="C30" s="548">
        <v>41149</v>
      </c>
      <c r="D30" s="550">
        <v>6.8</v>
      </c>
      <c r="E30" s="550">
        <v>6.71</v>
      </c>
      <c r="F30" s="550">
        <v>6.8</v>
      </c>
      <c r="G30" s="550">
        <v>6.68</v>
      </c>
      <c r="H30" s="551">
        <v>5.292332</v>
      </c>
      <c r="I30" s="550">
        <v>243800</v>
      </c>
    </row>
    <row r="31" spans="1:9" x14ac:dyDescent="0.2">
      <c r="A31" s="549">
        <v>2777</v>
      </c>
      <c r="B31" s="549">
        <v>8</v>
      </c>
      <c r="C31" s="548">
        <v>41150</v>
      </c>
      <c r="D31" s="550">
        <v>6.71</v>
      </c>
      <c r="E31" s="550">
        <v>6.68</v>
      </c>
      <c r="F31" s="550">
        <v>6.73</v>
      </c>
      <c r="G31" s="550">
        <v>6.66</v>
      </c>
      <c r="H31" s="551">
        <v>5.2686700000000002</v>
      </c>
      <c r="I31" s="550">
        <v>505100</v>
      </c>
    </row>
    <row r="32" spans="1:9" x14ac:dyDescent="0.2">
      <c r="A32" s="549">
        <v>2778</v>
      </c>
      <c r="B32" s="549">
        <v>8</v>
      </c>
      <c r="C32" s="548">
        <v>41151</v>
      </c>
      <c r="D32" s="550">
        <v>6.7</v>
      </c>
      <c r="E32" s="550">
        <v>6.66</v>
      </c>
      <c r="F32" s="550">
        <v>6.7</v>
      </c>
      <c r="G32" s="550">
        <v>6.65</v>
      </c>
      <c r="H32" s="551">
        <v>5.2528959999999998</v>
      </c>
      <c r="I32" s="550">
        <v>232700</v>
      </c>
    </row>
    <row r="33" spans="1:9" x14ac:dyDescent="0.2">
      <c r="A33" s="549">
        <v>2779</v>
      </c>
      <c r="B33" s="549">
        <v>8</v>
      </c>
      <c r="C33" s="548">
        <v>41152</v>
      </c>
      <c r="D33" s="550">
        <v>6.66</v>
      </c>
      <c r="E33" s="550">
        <v>6.66</v>
      </c>
      <c r="F33" s="550">
        <v>6.71</v>
      </c>
      <c r="G33" s="550">
        <v>6.63</v>
      </c>
      <c r="H33" s="551">
        <v>5.2528959999999998</v>
      </c>
      <c r="I33" s="550">
        <v>203600</v>
      </c>
    </row>
    <row r="34" spans="1:9" x14ac:dyDescent="0.2">
      <c r="A34" s="549">
        <v>2780</v>
      </c>
      <c r="B34" s="549">
        <v>8</v>
      </c>
      <c r="C34" s="548">
        <v>41156</v>
      </c>
      <c r="D34" s="550">
        <v>6.66</v>
      </c>
      <c r="E34" s="550">
        <v>6.64</v>
      </c>
      <c r="F34" s="550">
        <v>6.68</v>
      </c>
      <c r="G34" s="550">
        <v>6.6</v>
      </c>
      <c r="H34" s="551">
        <v>5.2371210000000001</v>
      </c>
      <c r="I34" s="550">
        <v>110300</v>
      </c>
    </row>
    <row r="35" spans="1:9" x14ac:dyDescent="0.2">
      <c r="A35" s="549">
        <v>2781</v>
      </c>
      <c r="B35" s="549">
        <v>8</v>
      </c>
      <c r="C35" s="548">
        <v>41157</v>
      </c>
      <c r="D35" s="550">
        <v>6.65</v>
      </c>
      <c r="E35" s="550">
        <v>6.65</v>
      </c>
      <c r="F35" s="550">
        <v>6.7</v>
      </c>
      <c r="G35" s="550">
        <v>6.63</v>
      </c>
      <c r="H35" s="551">
        <v>5.2450089999999996</v>
      </c>
      <c r="I35" s="550">
        <v>94300</v>
      </c>
    </row>
    <row r="36" spans="1:9" x14ac:dyDescent="0.2">
      <c r="A36" s="549">
        <v>2782</v>
      </c>
      <c r="B36" s="549">
        <v>8</v>
      </c>
      <c r="C36" s="548">
        <v>41158</v>
      </c>
      <c r="D36" s="550">
        <v>6.64</v>
      </c>
      <c r="E36" s="550">
        <v>6.64</v>
      </c>
      <c r="F36" s="550">
        <v>6.68</v>
      </c>
      <c r="G36" s="550">
        <v>6.58</v>
      </c>
      <c r="H36" s="551">
        <v>5.2371210000000001</v>
      </c>
      <c r="I36" s="550">
        <v>419500</v>
      </c>
    </row>
    <row r="37" spans="1:9" x14ac:dyDescent="0.2">
      <c r="A37" s="549">
        <v>2783</v>
      </c>
      <c r="B37" s="549">
        <v>8</v>
      </c>
      <c r="C37" s="548">
        <v>41159</v>
      </c>
      <c r="D37" s="550">
        <v>6.68</v>
      </c>
      <c r="E37" s="550">
        <v>6.63</v>
      </c>
      <c r="F37" s="550">
        <v>6.7</v>
      </c>
      <c r="G37" s="550">
        <v>6.62</v>
      </c>
      <c r="H37" s="551">
        <v>5.2292329999999998</v>
      </c>
      <c r="I37" s="550">
        <v>128600</v>
      </c>
    </row>
    <row r="38" spans="1:9" x14ac:dyDescent="0.2">
      <c r="A38" s="549">
        <v>2784</v>
      </c>
      <c r="B38" s="549">
        <v>8</v>
      </c>
      <c r="C38" s="548">
        <v>41162</v>
      </c>
      <c r="D38" s="550">
        <v>6.65</v>
      </c>
      <c r="E38" s="550">
        <v>6.64</v>
      </c>
      <c r="F38" s="550">
        <v>6.68</v>
      </c>
      <c r="G38" s="550">
        <v>6.61</v>
      </c>
      <c r="H38" s="551">
        <v>5.2371210000000001</v>
      </c>
      <c r="I38" s="550">
        <v>145500</v>
      </c>
    </row>
    <row r="39" spans="1:9" x14ac:dyDescent="0.2">
      <c r="A39" s="549">
        <v>2785</v>
      </c>
      <c r="B39" s="549">
        <v>8</v>
      </c>
      <c r="C39" s="548">
        <v>41163</v>
      </c>
      <c r="D39" s="550">
        <v>6.65</v>
      </c>
      <c r="E39" s="550">
        <v>6.69</v>
      </c>
      <c r="F39" s="550">
        <v>6.69</v>
      </c>
      <c r="G39" s="550">
        <v>6.61</v>
      </c>
      <c r="H39" s="551">
        <v>5.2765560000000002</v>
      </c>
      <c r="I39" s="550">
        <v>212700</v>
      </c>
    </row>
    <row r="40" spans="1:9" x14ac:dyDescent="0.2">
      <c r="A40" s="549">
        <v>2786</v>
      </c>
      <c r="B40" s="549">
        <v>8</v>
      </c>
      <c r="C40" s="548">
        <v>41164</v>
      </c>
      <c r="D40" s="550">
        <v>6.68</v>
      </c>
      <c r="E40" s="550">
        <v>6.69</v>
      </c>
      <c r="F40" s="550">
        <v>6.69</v>
      </c>
      <c r="G40" s="550">
        <v>6.64</v>
      </c>
      <c r="H40" s="551">
        <v>5.2765560000000002</v>
      </c>
      <c r="I40" s="550">
        <v>133000</v>
      </c>
    </row>
    <row r="41" spans="1:9" x14ac:dyDescent="0.2">
      <c r="A41" s="549">
        <v>2787</v>
      </c>
      <c r="B41" s="549">
        <v>8</v>
      </c>
      <c r="C41" s="548">
        <v>41165</v>
      </c>
      <c r="D41" s="550">
        <v>6.69</v>
      </c>
      <c r="E41" s="550">
        <v>6.62</v>
      </c>
      <c r="F41" s="550">
        <v>6.69</v>
      </c>
      <c r="G41" s="550">
        <v>6.61</v>
      </c>
      <c r="H41" s="551">
        <v>5.2213469999999997</v>
      </c>
      <c r="I41" s="550">
        <v>203700</v>
      </c>
    </row>
    <row r="42" spans="1:9" x14ac:dyDescent="0.2">
      <c r="A42" s="549">
        <v>2788</v>
      </c>
      <c r="B42" s="549">
        <v>8</v>
      </c>
      <c r="C42" s="548">
        <v>41166</v>
      </c>
      <c r="D42" s="550">
        <v>6.66</v>
      </c>
      <c r="E42" s="550">
        <v>6.62</v>
      </c>
      <c r="F42" s="550">
        <v>6.66</v>
      </c>
      <c r="G42" s="550">
        <v>6.61</v>
      </c>
      <c r="H42" s="551">
        <v>5.2213469999999997</v>
      </c>
      <c r="I42" s="550">
        <v>393500</v>
      </c>
    </row>
    <row r="43" spans="1:9" x14ac:dyDescent="0.2">
      <c r="A43" s="549">
        <v>2789</v>
      </c>
      <c r="B43" s="549">
        <v>8</v>
      </c>
      <c r="C43" s="548">
        <v>41169</v>
      </c>
      <c r="D43" s="550">
        <v>6.64</v>
      </c>
      <c r="E43" s="550">
        <v>6.61</v>
      </c>
      <c r="F43" s="550">
        <v>6.64</v>
      </c>
      <c r="G43" s="550">
        <v>6.61</v>
      </c>
      <c r="H43" s="551">
        <v>5.2134609999999997</v>
      </c>
      <c r="I43" s="550">
        <v>258000</v>
      </c>
    </row>
    <row r="44" spans="1:9" x14ac:dyDescent="0.2">
      <c r="A44" s="549">
        <v>2790</v>
      </c>
      <c r="B44" s="549">
        <v>8</v>
      </c>
      <c r="C44" s="548">
        <v>41170</v>
      </c>
      <c r="D44" s="550">
        <v>6.63</v>
      </c>
      <c r="E44" s="550">
        <v>6.56</v>
      </c>
      <c r="F44" s="550">
        <v>6.63</v>
      </c>
      <c r="G44" s="550">
        <v>6.55</v>
      </c>
      <c r="H44" s="551">
        <v>5.174023</v>
      </c>
      <c r="I44" s="550">
        <v>204900</v>
      </c>
    </row>
    <row r="45" spans="1:9" x14ac:dyDescent="0.2">
      <c r="A45" s="549">
        <v>2791</v>
      </c>
      <c r="B45" s="549">
        <v>8</v>
      </c>
      <c r="C45" s="548">
        <v>41171</v>
      </c>
      <c r="D45" s="550">
        <v>6.6</v>
      </c>
      <c r="E45" s="550">
        <v>6.64</v>
      </c>
      <c r="F45" s="550">
        <v>6.64</v>
      </c>
      <c r="G45" s="550">
        <v>6.54</v>
      </c>
      <c r="H45" s="551">
        <v>5.2371210000000001</v>
      </c>
      <c r="I45" s="550">
        <v>4097000</v>
      </c>
    </row>
    <row r="46" spans="1:9" x14ac:dyDescent="0.2">
      <c r="A46" s="549">
        <v>2792</v>
      </c>
      <c r="B46" s="549">
        <v>8</v>
      </c>
      <c r="C46" s="548">
        <v>41172</v>
      </c>
      <c r="D46" s="550">
        <v>6.65</v>
      </c>
      <c r="E46" s="550">
        <v>6.67</v>
      </c>
      <c r="F46" s="550">
        <v>6.7</v>
      </c>
      <c r="G46" s="550">
        <v>6.61</v>
      </c>
      <c r="H46" s="551">
        <v>5.2607819999999998</v>
      </c>
      <c r="I46" s="550">
        <v>379800</v>
      </c>
    </row>
    <row r="47" spans="1:9" x14ac:dyDescent="0.2">
      <c r="A47" s="549">
        <v>2793</v>
      </c>
      <c r="B47" s="549">
        <v>8</v>
      </c>
      <c r="C47" s="548">
        <v>41173</v>
      </c>
      <c r="D47" s="550">
        <v>6.68</v>
      </c>
      <c r="E47" s="550">
        <v>6.47</v>
      </c>
      <c r="F47" s="550">
        <v>6.68</v>
      </c>
      <c r="G47" s="550">
        <v>6.41</v>
      </c>
      <c r="H47" s="551">
        <v>5.1030369999999996</v>
      </c>
      <c r="I47" s="550">
        <v>2453700</v>
      </c>
    </row>
    <row r="48" spans="1:9" x14ac:dyDescent="0.2">
      <c r="A48" s="549">
        <v>2794</v>
      </c>
      <c r="B48" s="549">
        <v>8</v>
      </c>
      <c r="C48" s="548">
        <v>41176</v>
      </c>
      <c r="D48" s="550">
        <v>6.52</v>
      </c>
      <c r="E48" s="550">
        <v>6.58</v>
      </c>
      <c r="F48" s="550">
        <v>6.62</v>
      </c>
      <c r="G48" s="550">
        <v>6.48</v>
      </c>
      <c r="H48" s="551">
        <v>5.1897979999999997</v>
      </c>
      <c r="I48" s="550">
        <v>376400</v>
      </c>
    </row>
    <row r="49" spans="1:9" x14ac:dyDescent="0.2">
      <c r="A49" s="549">
        <v>2795</v>
      </c>
      <c r="B49" s="549">
        <v>8</v>
      </c>
      <c r="C49" s="548">
        <v>41177</v>
      </c>
      <c r="D49" s="550">
        <v>6.6</v>
      </c>
      <c r="E49" s="550">
        <v>6.58</v>
      </c>
      <c r="F49" s="550">
        <v>6.63</v>
      </c>
      <c r="G49" s="550">
        <v>6.56</v>
      </c>
      <c r="H49" s="551">
        <v>5.1897979999999997</v>
      </c>
      <c r="I49" s="550">
        <v>532000</v>
      </c>
    </row>
    <row r="50" spans="1:9" x14ac:dyDescent="0.2">
      <c r="A50" s="549">
        <v>2796</v>
      </c>
      <c r="B50" s="549">
        <v>8</v>
      </c>
      <c r="C50" s="548">
        <v>41178</v>
      </c>
      <c r="D50" s="550">
        <v>6.55</v>
      </c>
      <c r="E50" s="550">
        <v>6.56</v>
      </c>
      <c r="F50" s="550">
        <v>6.68</v>
      </c>
      <c r="G50" s="550">
        <v>6.51</v>
      </c>
      <c r="H50" s="551">
        <v>5.2356910000000001</v>
      </c>
      <c r="I50" s="550">
        <v>696300</v>
      </c>
    </row>
    <row r="51" spans="1:9" x14ac:dyDescent="0.2">
      <c r="A51" s="549">
        <v>2797</v>
      </c>
      <c r="B51" s="549">
        <v>8</v>
      </c>
      <c r="C51" s="548">
        <v>41179</v>
      </c>
      <c r="D51" s="550">
        <v>6.6</v>
      </c>
      <c r="E51" s="550">
        <v>6.56</v>
      </c>
      <c r="F51" s="550">
        <v>6.6</v>
      </c>
      <c r="G51" s="550">
        <v>6.54</v>
      </c>
      <c r="H51" s="551">
        <v>5.2356910000000001</v>
      </c>
      <c r="I51" s="550">
        <v>254600</v>
      </c>
    </row>
    <row r="52" spans="1:9" x14ac:dyDescent="0.2">
      <c r="A52" s="549">
        <v>2798</v>
      </c>
      <c r="B52" s="549">
        <v>8</v>
      </c>
      <c r="C52" s="548">
        <v>41180</v>
      </c>
      <c r="D52" s="550">
        <v>6.57</v>
      </c>
      <c r="E52" s="550">
        <v>6.67</v>
      </c>
      <c r="F52" s="550">
        <v>6.68</v>
      </c>
      <c r="G52" s="550">
        <v>6.56</v>
      </c>
      <c r="H52" s="551">
        <v>5.3234830000000004</v>
      </c>
      <c r="I52" s="550">
        <v>284600</v>
      </c>
    </row>
    <row r="53" spans="1:9" x14ac:dyDescent="0.2">
      <c r="A53" s="549">
        <v>2799</v>
      </c>
      <c r="B53" s="549">
        <v>8</v>
      </c>
      <c r="C53" s="548">
        <v>41183</v>
      </c>
      <c r="D53" s="550">
        <v>6.65</v>
      </c>
      <c r="E53" s="550">
        <v>6.74</v>
      </c>
      <c r="F53" s="550">
        <v>6.74</v>
      </c>
      <c r="G53" s="550">
        <v>6.64</v>
      </c>
      <c r="H53" s="551">
        <v>5.3793519999999999</v>
      </c>
      <c r="I53" s="550">
        <v>185300</v>
      </c>
    </row>
    <row r="54" spans="1:9" x14ac:dyDescent="0.2">
      <c r="A54" s="549">
        <v>2800</v>
      </c>
      <c r="B54" s="549">
        <v>8</v>
      </c>
      <c r="C54" s="548">
        <v>41184</v>
      </c>
      <c r="D54" s="550">
        <v>6.74</v>
      </c>
      <c r="E54" s="550">
        <v>6.64</v>
      </c>
      <c r="F54" s="550">
        <v>6.74</v>
      </c>
      <c r="G54" s="550">
        <v>6.61</v>
      </c>
      <c r="H54" s="551">
        <v>5.2995400000000004</v>
      </c>
      <c r="I54" s="550">
        <v>319100</v>
      </c>
    </row>
    <row r="55" spans="1:9" x14ac:dyDescent="0.2">
      <c r="A55" s="549">
        <v>2801</v>
      </c>
      <c r="B55" s="549">
        <v>8</v>
      </c>
      <c r="C55" s="548">
        <v>41185</v>
      </c>
      <c r="D55" s="550">
        <v>6.65</v>
      </c>
      <c r="E55" s="550">
        <v>6.75</v>
      </c>
      <c r="F55" s="550">
        <v>6.78</v>
      </c>
      <c r="G55" s="550">
        <v>6.65</v>
      </c>
      <c r="H55" s="551">
        <v>5.3873329999999999</v>
      </c>
      <c r="I55" s="550">
        <v>378300</v>
      </c>
    </row>
    <row r="56" spans="1:9" x14ac:dyDescent="0.2">
      <c r="A56" s="549">
        <v>2802</v>
      </c>
      <c r="B56" s="549">
        <v>8</v>
      </c>
      <c r="C56" s="548">
        <v>41186</v>
      </c>
      <c r="D56" s="550">
        <v>6.8</v>
      </c>
      <c r="E56" s="550">
        <v>6.74</v>
      </c>
      <c r="F56" s="550">
        <v>6.8</v>
      </c>
      <c r="G56" s="550">
        <v>6.71</v>
      </c>
      <c r="H56" s="551">
        <v>5.3793519999999999</v>
      </c>
      <c r="I56" s="550">
        <v>148900</v>
      </c>
    </row>
    <row r="57" spans="1:9" x14ac:dyDescent="0.2">
      <c r="A57" s="549">
        <v>2803</v>
      </c>
      <c r="B57" s="549">
        <v>8</v>
      </c>
      <c r="C57" s="548">
        <v>41187</v>
      </c>
      <c r="D57" s="550">
        <v>6.77</v>
      </c>
      <c r="E57" s="550">
        <v>6.74</v>
      </c>
      <c r="F57" s="550">
        <v>6.77</v>
      </c>
      <c r="G57" s="550">
        <v>6.71</v>
      </c>
      <c r="H57" s="551">
        <v>5.3793519999999999</v>
      </c>
      <c r="I57" s="550">
        <v>493200</v>
      </c>
    </row>
    <row r="58" spans="1:9" x14ac:dyDescent="0.2">
      <c r="A58" s="549">
        <v>2804</v>
      </c>
      <c r="B58" s="549">
        <v>8</v>
      </c>
      <c r="C58" s="548">
        <v>41191</v>
      </c>
      <c r="D58" s="550">
        <v>6.74</v>
      </c>
      <c r="E58" s="550">
        <v>6.73</v>
      </c>
      <c r="F58" s="550">
        <v>6.76</v>
      </c>
      <c r="G58" s="550">
        <v>6.72</v>
      </c>
      <c r="H58" s="551">
        <v>5.3713709999999999</v>
      </c>
      <c r="I58" s="550">
        <v>129900</v>
      </c>
    </row>
    <row r="59" spans="1:9" x14ac:dyDescent="0.2">
      <c r="A59" s="549">
        <v>2805</v>
      </c>
      <c r="B59" s="549">
        <v>8</v>
      </c>
      <c r="C59" s="548">
        <v>41192</v>
      </c>
      <c r="D59" s="550">
        <v>6.73</v>
      </c>
      <c r="E59" s="550">
        <v>6.8</v>
      </c>
      <c r="F59" s="550">
        <v>6.81</v>
      </c>
      <c r="G59" s="550">
        <v>6.72</v>
      </c>
      <c r="H59" s="551">
        <v>5.4272390000000001</v>
      </c>
      <c r="I59" s="550">
        <v>201400</v>
      </c>
    </row>
    <row r="60" spans="1:9" x14ac:dyDescent="0.2">
      <c r="A60" s="549">
        <v>2806</v>
      </c>
      <c r="B60" s="549">
        <v>8</v>
      </c>
      <c r="C60" s="548">
        <v>41193</v>
      </c>
      <c r="D60" s="550">
        <v>6.82</v>
      </c>
      <c r="E60" s="550">
        <v>6.68</v>
      </c>
      <c r="F60" s="550">
        <v>6.82</v>
      </c>
      <c r="G60" s="550">
        <v>6.68</v>
      </c>
      <c r="H60" s="551">
        <v>5.3314640000000004</v>
      </c>
      <c r="I60" s="550">
        <v>179200</v>
      </c>
    </row>
    <row r="61" spans="1:9" x14ac:dyDescent="0.2">
      <c r="A61" s="549">
        <v>2807</v>
      </c>
      <c r="B61" s="549">
        <v>8</v>
      </c>
      <c r="C61" s="548">
        <v>41194</v>
      </c>
      <c r="D61" s="550">
        <v>6.76</v>
      </c>
      <c r="E61" s="550">
        <v>6.64</v>
      </c>
      <c r="F61" s="550">
        <v>6.76</v>
      </c>
      <c r="G61" s="550">
        <v>6.6</v>
      </c>
      <c r="H61" s="551">
        <v>5.2995400000000004</v>
      </c>
      <c r="I61" s="550">
        <v>275200</v>
      </c>
    </row>
    <row r="62" spans="1:9" x14ac:dyDescent="0.2">
      <c r="A62" s="549">
        <v>2808</v>
      </c>
      <c r="B62" s="549">
        <v>8</v>
      </c>
      <c r="C62" s="548">
        <v>41197</v>
      </c>
      <c r="D62" s="550">
        <v>6.67</v>
      </c>
      <c r="E62" s="550">
        <v>6.76</v>
      </c>
      <c r="F62" s="550">
        <v>6.77</v>
      </c>
      <c r="G62" s="550">
        <v>6.64</v>
      </c>
      <c r="H62" s="551">
        <v>5.3953139999999999</v>
      </c>
      <c r="I62" s="550">
        <v>199300</v>
      </c>
    </row>
    <row r="63" spans="1:9" x14ac:dyDescent="0.2">
      <c r="A63" s="549">
        <v>2809</v>
      </c>
      <c r="B63" s="549">
        <v>8</v>
      </c>
      <c r="C63" s="548">
        <v>41198</v>
      </c>
      <c r="D63" s="550">
        <v>6.76</v>
      </c>
      <c r="E63" s="550">
        <v>6.8</v>
      </c>
      <c r="F63" s="550">
        <v>6.81</v>
      </c>
      <c r="G63" s="550">
        <v>6.74</v>
      </c>
      <c r="H63" s="551">
        <v>5.4272390000000001</v>
      </c>
      <c r="I63" s="550">
        <v>172200</v>
      </c>
    </row>
    <row r="64" spans="1:9" x14ac:dyDescent="0.2">
      <c r="A64" s="549">
        <v>2810</v>
      </c>
      <c r="B64" s="549">
        <v>8</v>
      </c>
      <c r="C64" s="548">
        <v>41199</v>
      </c>
      <c r="D64" s="550">
        <v>6.82</v>
      </c>
      <c r="E64" s="550">
        <v>6.9</v>
      </c>
      <c r="F64" s="550">
        <v>6.93</v>
      </c>
      <c r="G64" s="550">
        <v>6.8</v>
      </c>
      <c r="H64" s="551">
        <v>5.5070509999999997</v>
      </c>
      <c r="I64" s="550">
        <v>315600</v>
      </c>
    </row>
    <row r="65" spans="1:9" x14ac:dyDescent="0.2">
      <c r="A65" s="549">
        <v>2811</v>
      </c>
      <c r="B65" s="549">
        <v>8</v>
      </c>
      <c r="C65" s="548">
        <v>41200</v>
      </c>
      <c r="D65" s="550">
        <v>6.93</v>
      </c>
      <c r="E65" s="550">
        <v>6.87</v>
      </c>
      <c r="F65" s="550">
        <v>6.99</v>
      </c>
      <c r="G65" s="550">
        <v>6.85</v>
      </c>
      <c r="H65" s="551">
        <v>5.4831079999999996</v>
      </c>
      <c r="I65" s="550">
        <v>264500</v>
      </c>
    </row>
    <row r="66" spans="1:9" x14ac:dyDescent="0.2">
      <c r="A66" s="549">
        <v>2812</v>
      </c>
      <c r="B66" s="549">
        <v>8</v>
      </c>
      <c r="C66" s="548">
        <v>41201</v>
      </c>
      <c r="D66" s="550">
        <v>6.85</v>
      </c>
      <c r="E66" s="550">
        <v>6.82</v>
      </c>
      <c r="F66" s="550">
        <v>6.9</v>
      </c>
      <c r="G66" s="550">
        <v>6.78</v>
      </c>
      <c r="H66" s="551">
        <v>5.4432020000000003</v>
      </c>
      <c r="I66" s="550">
        <v>196400</v>
      </c>
    </row>
    <row r="67" spans="1:9" x14ac:dyDescent="0.2">
      <c r="A67" s="549">
        <v>2813</v>
      </c>
      <c r="B67" s="549">
        <v>8</v>
      </c>
      <c r="C67" s="548">
        <v>41204</v>
      </c>
      <c r="D67" s="550">
        <v>6.83</v>
      </c>
      <c r="E67" s="550">
        <v>6.93</v>
      </c>
      <c r="F67" s="550">
        <v>6.95</v>
      </c>
      <c r="G67" s="550">
        <v>6.82</v>
      </c>
      <c r="H67" s="551">
        <v>5.5309949999999999</v>
      </c>
      <c r="I67" s="550">
        <v>155100</v>
      </c>
    </row>
    <row r="68" spans="1:9" x14ac:dyDescent="0.2">
      <c r="A68" s="549">
        <v>2814</v>
      </c>
      <c r="B68" s="549">
        <v>8</v>
      </c>
      <c r="C68" s="548">
        <v>41205</v>
      </c>
      <c r="D68" s="550">
        <v>6.91</v>
      </c>
      <c r="E68" s="550">
        <v>6.81</v>
      </c>
      <c r="F68" s="550">
        <v>6.91</v>
      </c>
      <c r="G68" s="550">
        <v>6.75</v>
      </c>
      <c r="H68" s="551">
        <v>5.4352200000000002</v>
      </c>
      <c r="I68" s="550">
        <v>342700</v>
      </c>
    </row>
    <row r="69" spans="1:9" x14ac:dyDescent="0.2">
      <c r="A69" s="549">
        <v>2815</v>
      </c>
      <c r="B69" s="549">
        <v>8</v>
      </c>
      <c r="C69" s="548">
        <v>41206</v>
      </c>
      <c r="D69" s="550">
        <v>6.81</v>
      </c>
      <c r="E69" s="550">
        <v>6.86</v>
      </c>
      <c r="F69" s="550">
        <v>6.92</v>
      </c>
      <c r="G69" s="550">
        <v>6.81</v>
      </c>
      <c r="H69" s="551">
        <v>5.4751269999999996</v>
      </c>
      <c r="I69" s="550">
        <v>176000</v>
      </c>
    </row>
    <row r="70" spans="1:9" x14ac:dyDescent="0.2">
      <c r="A70" s="549">
        <v>2816</v>
      </c>
      <c r="B70" s="549">
        <v>8</v>
      </c>
      <c r="C70" s="548">
        <v>41207</v>
      </c>
      <c r="D70" s="550">
        <v>6.9</v>
      </c>
      <c r="E70" s="550">
        <v>6.82</v>
      </c>
      <c r="F70" s="550">
        <v>6.93</v>
      </c>
      <c r="G70" s="550">
        <v>6.81</v>
      </c>
      <c r="H70" s="551">
        <v>5.4432020000000003</v>
      </c>
      <c r="I70" s="550">
        <v>228600</v>
      </c>
    </row>
    <row r="71" spans="1:9" x14ac:dyDescent="0.2">
      <c r="A71" s="549">
        <v>2817</v>
      </c>
      <c r="B71" s="549">
        <v>8</v>
      </c>
      <c r="C71" s="548">
        <v>41208</v>
      </c>
      <c r="D71" s="550">
        <v>6.86</v>
      </c>
      <c r="E71" s="550">
        <v>6.86</v>
      </c>
      <c r="F71" s="550">
        <v>6.89</v>
      </c>
      <c r="G71" s="550">
        <v>6.83</v>
      </c>
      <c r="H71" s="551">
        <v>5.4751269999999996</v>
      </c>
      <c r="I71" s="550">
        <v>183900</v>
      </c>
    </row>
    <row r="72" spans="1:9" x14ac:dyDescent="0.2">
      <c r="A72" s="549">
        <v>2818</v>
      </c>
      <c r="B72" s="549">
        <v>8</v>
      </c>
      <c r="C72" s="548">
        <v>41211</v>
      </c>
      <c r="D72" s="550">
        <v>6.84</v>
      </c>
      <c r="E72" s="550">
        <v>6.91</v>
      </c>
      <c r="F72" s="550">
        <v>6.91</v>
      </c>
      <c r="G72" s="550">
        <v>6.81</v>
      </c>
      <c r="H72" s="551">
        <v>5.5150319999999997</v>
      </c>
      <c r="I72" s="550">
        <v>94000</v>
      </c>
    </row>
    <row r="73" spans="1:9" x14ac:dyDescent="0.2">
      <c r="A73" s="549">
        <v>2819</v>
      </c>
      <c r="B73" s="549">
        <v>8</v>
      </c>
      <c r="C73" s="548">
        <v>41212</v>
      </c>
      <c r="D73" s="550">
        <v>6.93</v>
      </c>
      <c r="E73" s="550">
        <v>6.97</v>
      </c>
      <c r="F73" s="550">
        <v>7.06</v>
      </c>
      <c r="G73" s="550">
        <v>6.9</v>
      </c>
      <c r="H73" s="551">
        <v>5.5629189999999999</v>
      </c>
      <c r="I73" s="550">
        <v>285100</v>
      </c>
    </row>
    <row r="74" spans="1:9" x14ac:dyDescent="0.2">
      <c r="A74" s="549">
        <v>2820</v>
      </c>
      <c r="B74" s="549">
        <v>8</v>
      </c>
      <c r="C74" s="548">
        <v>41213</v>
      </c>
      <c r="D74" s="550">
        <v>7.03</v>
      </c>
      <c r="E74" s="550">
        <v>6.91</v>
      </c>
      <c r="F74" s="550">
        <v>7.03</v>
      </c>
      <c r="G74" s="550">
        <v>6.88</v>
      </c>
      <c r="H74" s="551">
        <v>5.5150319999999997</v>
      </c>
      <c r="I74" s="550">
        <v>242800</v>
      </c>
    </row>
    <row r="75" spans="1:9" x14ac:dyDescent="0.2">
      <c r="A75" s="549">
        <v>2821</v>
      </c>
      <c r="B75" s="549">
        <v>8</v>
      </c>
      <c r="C75" s="548">
        <v>41214</v>
      </c>
      <c r="D75" s="550">
        <v>6.91</v>
      </c>
      <c r="E75" s="550">
        <v>6.86</v>
      </c>
      <c r="F75" s="550">
        <v>6.98</v>
      </c>
      <c r="G75" s="550">
        <v>6.81</v>
      </c>
      <c r="H75" s="551">
        <v>5.4751269999999996</v>
      </c>
      <c r="I75" s="550">
        <v>302500</v>
      </c>
    </row>
    <row r="76" spans="1:9" x14ac:dyDescent="0.2">
      <c r="A76" s="549">
        <v>2822</v>
      </c>
      <c r="B76" s="549">
        <v>8</v>
      </c>
      <c r="C76" s="548">
        <v>41215</v>
      </c>
      <c r="D76" s="550">
        <v>6.86</v>
      </c>
      <c r="E76" s="550">
        <v>6.89</v>
      </c>
      <c r="F76" s="550">
        <v>6.92</v>
      </c>
      <c r="G76" s="550">
        <v>6.86</v>
      </c>
      <c r="H76" s="551">
        <v>5.4990699999999997</v>
      </c>
      <c r="I76" s="550">
        <v>114600</v>
      </c>
    </row>
    <row r="77" spans="1:9" x14ac:dyDescent="0.2">
      <c r="A77" s="549">
        <v>2823</v>
      </c>
      <c r="B77" s="549">
        <v>8</v>
      </c>
      <c r="C77" s="548">
        <v>41218</v>
      </c>
      <c r="D77" s="550">
        <v>6.88</v>
      </c>
      <c r="E77" s="550">
        <v>6.85</v>
      </c>
      <c r="F77" s="550">
        <v>6.94</v>
      </c>
      <c r="G77" s="550">
        <v>6.85</v>
      </c>
      <c r="H77" s="551">
        <v>5.4671450000000004</v>
      </c>
      <c r="I77" s="550">
        <v>120000</v>
      </c>
    </row>
    <row r="78" spans="1:9" x14ac:dyDescent="0.2">
      <c r="A78" s="549">
        <v>2824</v>
      </c>
      <c r="B78" s="549">
        <v>8</v>
      </c>
      <c r="C78" s="548">
        <v>41219</v>
      </c>
      <c r="D78" s="550">
        <v>6.89</v>
      </c>
      <c r="E78" s="550">
        <v>6.85</v>
      </c>
      <c r="F78" s="550">
        <v>6.9</v>
      </c>
      <c r="G78" s="550">
        <v>6.83</v>
      </c>
      <c r="H78" s="551">
        <v>5.4671450000000004</v>
      </c>
      <c r="I78" s="550">
        <v>167300</v>
      </c>
    </row>
    <row r="79" spans="1:9" x14ac:dyDescent="0.2">
      <c r="A79" s="549">
        <v>2825</v>
      </c>
      <c r="B79" s="549">
        <v>8</v>
      </c>
      <c r="C79" s="548">
        <v>41220</v>
      </c>
      <c r="D79" s="550">
        <v>6.85</v>
      </c>
      <c r="E79" s="550">
        <v>6.82</v>
      </c>
      <c r="F79" s="550">
        <v>6.86</v>
      </c>
      <c r="G79" s="550">
        <v>6.79</v>
      </c>
      <c r="H79" s="551">
        <v>5.4432020000000003</v>
      </c>
      <c r="I79" s="550">
        <v>195700</v>
      </c>
    </row>
    <row r="80" spans="1:9" x14ac:dyDescent="0.2">
      <c r="A80" s="549">
        <v>2826</v>
      </c>
      <c r="B80" s="549">
        <v>8</v>
      </c>
      <c r="C80" s="548">
        <v>41221</v>
      </c>
      <c r="D80" s="550">
        <v>6.86</v>
      </c>
      <c r="E80" s="550">
        <v>6.77</v>
      </c>
      <c r="F80" s="550">
        <v>6.86</v>
      </c>
      <c r="G80" s="550">
        <v>6.72</v>
      </c>
      <c r="H80" s="551">
        <v>5.4032960000000001</v>
      </c>
      <c r="I80" s="550">
        <v>221100</v>
      </c>
    </row>
    <row r="81" spans="1:9" x14ac:dyDescent="0.2">
      <c r="A81" s="549">
        <v>2827</v>
      </c>
      <c r="B81" s="549">
        <v>8</v>
      </c>
      <c r="C81" s="548">
        <v>41222</v>
      </c>
      <c r="D81" s="550">
        <v>6.78</v>
      </c>
      <c r="E81" s="550">
        <v>6.81</v>
      </c>
      <c r="F81" s="550">
        <v>6.84</v>
      </c>
      <c r="G81" s="550">
        <v>6.77</v>
      </c>
      <c r="H81" s="551">
        <v>5.4352200000000002</v>
      </c>
      <c r="I81" s="550">
        <v>85400</v>
      </c>
    </row>
    <row r="82" spans="1:9" x14ac:dyDescent="0.2">
      <c r="A82" s="549">
        <v>2828</v>
      </c>
      <c r="B82" s="549">
        <v>8</v>
      </c>
      <c r="C82" s="548">
        <v>41225</v>
      </c>
      <c r="D82" s="550">
        <v>6.8</v>
      </c>
      <c r="E82" s="550">
        <v>6.83</v>
      </c>
      <c r="F82" s="550">
        <v>6.83</v>
      </c>
      <c r="G82" s="550">
        <v>6.78</v>
      </c>
      <c r="H82" s="551">
        <v>5.4511839999999996</v>
      </c>
      <c r="I82" s="550">
        <v>66400</v>
      </c>
    </row>
    <row r="83" spans="1:9" x14ac:dyDescent="0.2">
      <c r="A83" s="549">
        <v>2829</v>
      </c>
      <c r="B83" s="549">
        <v>8</v>
      </c>
      <c r="C83" s="548">
        <v>41226</v>
      </c>
      <c r="D83" s="550">
        <v>6.83</v>
      </c>
      <c r="E83" s="550">
        <v>6.8</v>
      </c>
      <c r="F83" s="550">
        <v>6.83</v>
      </c>
      <c r="G83" s="550">
        <v>6.73</v>
      </c>
      <c r="H83" s="551">
        <v>5.4272390000000001</v>
      </c>
      <c r="I83" s="550">
        <v>164900</v>
      </c>
    </row>
    <row r="84" spans="1:9" x14ac:dyDescent="0.2">
      <c r="A84" s="549">
        <v>2830</v>
      </c>
      <c r="B84" s="549">
        <v>8</v>
      </c>
      <c r="C84" s="548">
        <v>41227</v>
      </c>
      <c r="D84" s="550">
        <v>6.8</v>
      </c>
      <c r="E84" s="550">
        <v>6.72</v>
      </c>
      <c r="F84" s="550">
        <v>6.8</v>
      </c>
      <c r="G84" s="550">
        <v>6.69</v>
      </c>
      <c r="H84" s="551">
        <v>5.3633889999999997</v>
      </c>
      <c r="I84" s="550">
        <v>231300</v>
      </c>
    </row>
    <row r="85" spans="1:9" x14ac:dyDescent="0.2">
      <c r="A85" s="549">
        <v>2831</v>
      </c>
      <c r="B85" s="549">
        <v>8</v>
      </c>
      <c r="C85" s="548">
        <v>41228</v>
      </c>
      <c r="D85" s="550">
        <v>6.65</v>
      </c>
      <c r="E85" s="550">
        <v>6.62</v>
      </c>
      <c r="F85" s="550">
        <v>6.73</v>
      </c>
      <c r="G85" s="550">
        <v>5.93</v>
      </c>
      <c r="H85" s="551">
        <v>5.2835760000000001</v>
      </c>
      <c r="I85" s="550">
        <v>604400</v>
      </c>
    </row>
    <row r="86" spans="1:9" x14ac:dyDescent="0.2">
      <c r="A86" s="549">
        <v>2832</v>
      </c>
      <c r="B86" s="549">
        <v>8</v>
      </c>
      <c r="C86" s="548">
        <v>41229</v>
      </c>
      <c r="D86" s="550">
        <v>6.62</v>
      </c>
      <c r="E86" s="550">
        <v>6.68</v>
      </c>
      <c r="F86" s="550">
        <v>6.79</v>
      </c>
      <c r="G86" s="550">
        <v>6.53</v>
      </c>
      <c r="H86" s="551">
        <v>5.3314640000000004</v>
      </c>
      <c r="I86" s="550">
        <v>434300</v>
      </c>
    </row>
    <row r="87" spans="1:9" x14ac:dyDescent="0.2">
      <c r="A87" s="549">
        <v>2833</v>
      </c>
      <c r="B87" s="549">
        <v>8</v>
      </c>
      <c r="C87" s="548">
        <v>41232</v>
      </c>
      <c r="D87" s="550">
        <v>6.75</v>
      </c>
      <c r="E87" s="550">
        <v>6.89</v>
      </c>
      <c r="F87" s="550">
        <v>6.89</v>
      </c>
      <c r="G87" s="550">
        <v>6.71</v>
      </c>
      <c r="H87" s="551">
        <v>5.4990699999999997</v>
      </c>
      <c r="I87" s="550">
        <v>224600</v>
      </c>
    </row>
    <row r="88" spans="1:9" x14ac:dyDescent="0.2">
      <c r="A88" s="549">
        <v>2834</v>
      </c>
      <c r="B88" s="549">
        <v>8</v>
      </c>
      <c r="C88" s="548">
        <v>41233</v>
      </c>
      <c r="D88" s="550">
        <v>6.85</v>
      </c>
      <c r="E88" s="550">
        <v>6.6</v>
      </c>
      <c r="F88" s="550">
        <v>6.85</v>
      </c>
      <c r="G88" s="550">
        <v>6.56</v>
      </c>
      <c r="H88" s="551">
        <v>5.267614</v>
      </c>
      <c r="I88" s="550">
        <v>4947200</v>
      </c>
    </row>
    <row r="89" spans="1:9" x14ac:dyDescent="0.2">
      <c r="A89" s="549">
        <v>2835</v>
      </c>
      <c r="B89" s="549">
        <v>8</v>
      </c>
      <c r="C89" s="548">
        <v>41234</v>
      </c>
      <c r="D89" s="550">
        <v>6.64</v>
      </c>
      <c r="E89" s="550">
        <v>6.66</v>
      </c>
      <c r="F89" s="550">
        <v>6.66</v>
      </c>
      <c r="G89" s="550">
        <v>6.46</v>
      </c>
      <c r="H89" s="551">
        <v>5.3155010000000003</v>
      </c>
      <c r="I89" s="550">
        <v>1323600</v>
      </c>
    </row>
    <row r="90" spans="1:9" x14ac:dyDescent="0.2">
      <c r="A90" s="549">
        <v>2836</v>
      </c>
      <c r="B90" s="549">
        <v>8</v>
      </c>
      <c r="C90" s="548">
        <v>41235</v>
      </c>
      <c r="D90" s="550">
        <v>6.65</v>
      </c>
      <c r="E90" s="550">
        <v>6.67</v>
      </c>
      <c r="F90" s="550">
        <v>6.69</v>
      </c>
      <c r="G90" s="550">
        <v>6.59</v>
      </c>
      <c r="H90" s="551">
        <v>5.3234830000000004</v>
      </c>
      <c r="I90" s="550">
        <v>101100</v>
      </c>
    </row>
    <row r="91" spans="1:9" x14ac:dyDescent="0.2">
      <c r="A91" s="549">
        <v>2837</v>
      </c>
      <c r="B91" s="549">
        <v>8</v>
      </c>
      <c r="C91" s="548">
        <v>41236</v>
      </c>
      <c r="D91" s="550">
        <v>6.61</v>
      </c>
      <c r="E91" s="550">
        <v>6.64</v>
      </c>
      <c r="F91" s="550">
        <v>6.66</v>
      </c>
      <c r="G91" s="550">
        <v>6.6</v>
      </c>
      <c r="H91" s="551">
        <v>5.2995400000000004</v>
      </c>
      <c r="I91" s="550">
        <v>187400</v>
      </c>
    </row>
    <row r="92" spans="1:9" x14ac:dyDescent="0.2">
      <c r="A92" s="549">
        <v>2838</v>
      </c>
      <c r="B92" s="549">
        <v>8</v>
      </c>
      <c r="C92" s="548">
        <v>41239</v>
      </c>
      <c r="D92" s="550">
        <v>6.64</v>
      </c>
      <c r="E92" s="550">
        <v>6.7</v>
      </c>
      <c r="F92" s="550">
        <v>6.7</v>
      </c>
      <c r="G92" s="550">
        <v>6.63</v>
      </c>
      <c r="H92" s="551">
        <v>5.3474269999999997</v>
      </c>
      <c r="I92" s="550">
        <v>154200</v>
      </c>
    </row>
    <row r="93" spans="1:9" x14ac:dyDescent="0.2">
      <c r="A93" s="549">
        <v>2839</v>
      </c>
      <c r="B93" s="549">
        <v>8</v>
      </c>
      <c r="C93" s="548">
        <v>41240</v>
      </c>
      <c r="D93" s="550">
        <v>6.69</v>
      </c>
      <c r="E93" s="550">
        <v>6.61</v>
      </c>
      <c r="F93" s="550">
        <v>6.69</v>
      </c>
      <c r="G93" s="550">
        <v>6.6</v>
      </c>
      <c r="H93" s="551">
        <v>5.275595</v>
      </c>
      <c r="I93" s="550">
        <v>225200</v>
      </c>
    </row>
    <row r="94" spans="1:9" x14ac:dyDescent="0.2">
      <c r="A94" s="549">
        <v>2840</v>
      </c>
      <c r="B94" s="549">
        <v>8</v>
      </c>
      <c r="C94" s="548">
        <v>41241</v>
      </c>
      <c r="D94" s="550">
        <v>6.58</v>
      </c>
      <c r="E94" s="550">
        <v>6.6</v>
      </c>
      <c r="F94" s="550">
        <v>6.63</v>
      </c>
      <c r="G94" s="550">
        <v>6.58</v>
      </c>
      <c r="H94" s="551">
        <v>5.267614</v>
      </c>
      <c r="I94" s="550">
        <v>253000</v>
      </c>
    </row>
    <row r="95" spans="1:9" x14ac:dyDescent="0.2">
      <c r="A95" s="549">
        <v>2841</v>
      </c>
      <c r="B95" s="549">
        <v>8</v>
      </c>
      <c r="C95" s="548">
        <v>41242</v>
      </c>
      <c r="D95" s="550">
        <v>6.64</v>
      </c>
      <c r="E95" s="550">
        <v>6.63</v>
      </c>
      <c r="F95" s="550">
        <v>6.64</v>
      </c>
      <c r="G95" s="550">
        <v>6.52</v>
      </c>
      <c r="H95" s="551">
        <v>5.2915580000000002</v>
      </c>
      <c r="I95" s="550">
        <v>380600</v>
      </c>
    </row>
    <row r="96" spans="1:9" x14ac:dyDescent="0.2">
      <c r="A96" s="549">
        <v>2842</v>
      </c>
      <c r="B96" s="549">
        <v>8</v>
      </c>
      <c r="C96" s="548">
        <v>41243</v>
      </c>
      <c r="D96" s="550">
        <v>6.64</v>
      </c>
      <c r="E96" s="550">
        <v>6.74</v>
      </c>
      <c r="F96" s="550">
        <v>6.75</v>
      </c>
      <c r="G96" s="550">
        <v>6.58</v>
      </c>
      <c r="H96" s="551">
        <v>5.3793519999999999</v>
      </c>
      <c r="I96" s="550">
        <v>337100</v>
      </c>
    </row>
    <row r="97" spans="1:9" x14ac:dyDescent="0.2">
      <c r="A97" s="549">
        <v>2843</v>
      </c>
      <c r="B97" s="549">
        <v>8</v>
      </c>
      <c r="C97" s="548">
        <v>41246</v>
      </c>
      <c r="D97" s="550">
        <v>6.74</v>
      </c>
      <c r="E97" s="550">
        <v>6.61</v>
      </c>
      <c r="F97" s="550">
        <v>6.74</v>
      </c>
      <c r="G97" s="550">
        <v>6.55</v>
      </c>
      <c r="H97" s="551">
        <v>5.275595</v>
      </c>
      <c r="I97" s="550">
        <v>247400</v>
      </c>
    </row>
    <row r="98" spans="1:9" x14ac:dyDescent="0.2">
      <c r="A98" s="549">
        <v>2844</v>
      </c>
      <c r="B98" s="549">
        <v>8</v>
      </c>
      <c r="C98" s="548">
        <v>41247</v>
      </c>
      <c r="D98" s="550">
        <v>6.62</v>
      </c>
      <c r="E98" s="550">
        <v>6.58</v>
      </c>
      <c r="F98" s="550">
        <v>6.65</v>
      </c>
      <c r="G98" s="550">
        <v>6.54</v>
      </c>
      <c r="H98" s="551">
        <v>5.251652</v>
      </c>
      <c r="I98" s="550">
        <v>300500</v>
      </c>
    </row>
    <row r="99" spans="1:9" x14ac:dyDescent="0.2">
      <c r="A99" s="549">
        <v>2845</v>
      </c>
      <c r="B99" s="549">
        <v>8</v>
      </c>
      <c r="C99" s="548">
        <v>41248</v>
      </c>
      <c r="D99" s="550">
        <v>6.6</v>
      </c>
      <c r="E99" s="550">
        <v>6.65</v>
      </c>
      <c r="F99" s="550">
        <v>6.68</v>
      </c>
      <c r="G99" s="550">
        <v>6.6</v>
      </c>
      <c r="H99" s="551">
        <v>5.3075200000000002</v>
      </c>
      <c r="I99" s="550">
        <v>331900</v>
      </c>
    </row>
    <row r="100" spans="1:9" x14ac:dyDescent="0.2">
      <c r="A100" s="549">
        <v>2846</v>
      </c>
      <c r="B100" s="549">
        <v>8</v>
      </c>
      <c r="C100" s="548">
        <v>41249</v>
      </c>
      <c r="D100" s="550">
        <v>6.62</v>
      </c>
      <c r="E100" s="550">
        <v>6.61</v>
      </c>
      <c r="F100" s="550">
        <v>6.65</v>
      </c>
      <c r="G100" s="550">
        <v>6.53</v>
      </c>
      <c r="H100" s="551">
        <v>5.275595</v>
      </c>
      <c r="I100" s="550">
        <v>591900</v>
      </c>
    </row>
    <row r="101" spans="1:9" x14ac:dyDescent="0.2">
      <c r="A101" s="549">
        <v>2847</v>
      </c>
      <c r="B101" s="549">
        <v>8</v>
      </c>
      <c r="C101" s="548">
        <v>41250</v>
      </c>
      <c r="D101" s="550">
        <v>6.58</v>
      </c>
      <c r="E101" s="550">
        <v>6.72</v>
      </c>
      <c r="F101" s="550">
        <v>6.73</v>
      </c>
      <c r="G101" s="550">
        <v>6.58</v>
      </c>
      <c r="H101" s="551">
        <v>5.3633889999999997</v>
      </c>
      <c r="I101" s="550">
        <v>299200</v>
      </c>
    </row>
    <row r="102" spans="1:9" x14ac:dyDescent="0.2">
      <c r="A102" s="549">
        <v>2848</v>
      </c>
      <c r="B102" s="549">
        <v>8</v>
      </c>
      <c r="C102" s="548">
        <v>41253</v>
      </c>
      <c r="D102" s="550">
        <v>6.72</v>
      </c>
      <c r="E102" s="550">
        <v>6.82</v>
      </c>
      <c r="F102" s="550">
        <v>6.82</v>
      </c>
      <c r="G102" s="550">
        <v>6.65</v>
      </c>
      <c r="H102" s="551">
        <v>5.4432020000000003</v>
      </c>
      <c r="I102" s="550">
        <v>379400</v>
      </c>
    </row>
    <row r="103" spans="1:9" x14ac:dyDescent="0.2">
      <c r="A103" s="549">
        <v>2849</v>
      </c>
      <c r="B103" s="549">
        <v>8</v>
      </c>
      <c r="C103" s="548">
        <v>41254</v>
      </c>
      <c r="D103" s="550">
        <v>6.81</v>
      </c>
      <c r="E103" s="550">
        <v>6.75</v>
      </c>
      <c r="F103" s="550">
        <v>6.85</v>
      </c>
      <c r="G103" s="550">
        <v>6.68</v>
      </c>
      <c r="H103" s="551">
        <v>5.3873329999999999</v>
      </c>
      <c r="I103" s="550">
        <v>517600</v>
      </c>
    </row>
    <row r="104" spans="1:9" x14ac:dyDescent="0.2">
      <c r="A104" s="549">
        <v>2850</v>
      </c>
      <c r="B104" s="549">
        <v>8</v>
      </c>
      <c r="C104" s="548">
        <v>41255</v>
      </c>
      <c r="D104" s="550">
        <v>6.75</v>
      </c>
      <c r="E104" s="550">
        <v>6.76</v>
      </c>
      <c r="F104" s="550">
        <v>6.83</v>
      </c>
      <c r="G104" s="550">
        <v>6.7</v>
      </c>
      <c r="H104" s="551">
        <v>5.3953139999999999</v>
      </c>
      <c r="I104" s="550">
        <v>387100</v>
      </c>
    </row>
    <row r="105" spans="1:9" x14ac:dyDescent="0.2">
      <c r="A105" s="549">
        <v>2851</v>
      </c>
      <c r="B105" s="549">
        <v>8</v>
      </c>
      <c r="C105" s="548">
        <v>41256</v>
      </c>
      <c r="D105" s="550">
        <v>6.76</v>
      </c>
      <c r="E105" s="550">
        <v>6.72</v>
      </c>
      <c r="F105" s="550">
        <v>6.8</v>
      </c>
      <c r="G105" s="550">
        <v>6.72</v>
      </c>
      <c r="H105" s="551">
        <v>5.3633889999999997</v>
      </c>
      <c r="I105" s="550">
        <v>330400</v>
      </c>
    </row>
    <row r="106" spans="1:9" x14ac:dyDescent="0.2">
      <c r="A106" s="549">
        <v>2852</v>
      </c>
      <c r="B106" s="549">
        <v>8</v>
      </c>
      <c r="C106" s="548">
        <v>41257</v>
      </c>
      <c r="D106" s="550">
        <v>6.75</v>
      </c>
      <c r="E106" s="550">
        <v>6.69</v>
      </c>
      <c r="F106" s="550">
        <v>6.78</v>
      </c>
      <c r="G106" s="550">
        <v>6.66</v>
      </c>
      <c r="H106" s="551">
        <v>5.3394459999999997</v>
      </c>
      <c r="I106" s="550">
        <v>257300</v>
      </c>
    </row>
    <row r="107" spans="1:9" x14ac:dyDescent="0.2">
      <c r="A107" s="549">
        <v>2853</v>
      </c>
      <c r="B107" s="549">
        <v>8</v>
      </c>
      <c r="C107" s="548">
        <v>41260</v>
      </c>
      <c r="D107" s="550">
        <v>6.7</v>
      </c>
      <c r="E107" s="550">
        <v>6.77</v>
      </c>
      <c r="F107" s="550">
        <v>6.77</v>
      </c>
      <c r="G107" s="550">
        <v>6.66</v>
      </c>
      <c r="H107" s="551">
        <v>5.4032960000000001</v>
      </c>
      <c r="I107" s="550">
        <v>390000</v>
      </c>
    </row>
    <row r="108" spans="1:9" x14ac:dyDescent="0.2">
      <c r="A108" s="549">
        <v>2854</v>
      </c>
      <c r="B108" s="549">
        <v>8</v>
      </c>
      <c r="C108" s="548">
        <v>41261</v>
      </c>
      <c r="D108" s="550">
        <v>6.76</v>
      </c>
      <c r="E108" s="550">
        <v>6.66</v>
      </c>
      <c r="F108" s="550">
        <v>6.76</v>
      </c>
      <c r="G108" s="550">
        <v>6.63</v>
      </c>
      <c r="H108" s="551">
        <v>5.3155010000000003</v>
      </c>
      <c r="I108" s="550">
        <v>649900</v>
      </c>
    </row>
    <row r="109" spans="1:9" x14ac:dyDescent="0.2">
      <c r="A109" s="549">
        <v>2855</v>
      </c>
      <c r="B109" s="549">
        <v>8</v>
      </c>
      <c r="C109" s="548">
        <v>41262</v>
      </c>
      <c r="D109" s="550">
        <v>6.71</v>
      </c>
      <c r="E109" s="550">
        <v>6.74</v>
      </c>
      <c r="F109" s="550">
        <v>6.79</v>
      </c>
      <c r="G109" s="550">
        <v>6.66</v>
      </c>
      <c r="H109" s="551">
        <v>5.3793519999999999</v>
      </c>
      <c r="I109" s="550">
        <v>482200</v>
      </c>
    </row>
    <row r="110" spans="1:9" x14ac:dyDescent="0.2">
      <c r="A110" s="549">
        <v>2856</v>
      </c>
      <c r="B110" s="549">
        <v>8</v>
      </c>
      <c r="C110" s="548">
        <v>41263</v>
      </c>
      <c r="D110" s="550">
        <v>6.75</v>
      </c>
      <c r="E110" s="550">
        <v>6.89</v>
      </c>
      <c r="F110" s="550">
        <v>6.89</v>
      </c>
      <c r="G110" s="550">
        <v>6.74</v>
      </c>
      <c r="H110" s="551">
        <v>5.4990699999999997</v>
      </c>
      <c r="I110" s="550">
        <v>854800</v>
      </c>
    </row>
    <row r="111" spans="1:9" x14ac:dyDescent="0.2">
      <c r="A111" s="549">
        <v>2857</v>
      </c>
      <c r="B111" s="549">
        <v>8</v>
      </c>
      <c r="C111" s="548">
        <v>41264</v>
      </c>
      <c r="D111" s="550">
        <v>6.87</v>
      </c>
      <c r="E111" s="550">
        <v>6.77</v>
      </c>
      <c r="F111" s="550">
        <v>6.89</v>
      </c>
      <c r="G111" s="550">
        <v>6.76</v>
      </c>
      <c r="H111" s="551">
        <v>5.4032960000000001</v>
      </c>
      <c r="I111" s="550">
        <v>444800</v>
      </c>
    </row>
    <row r="112" spans="1:9" x14ac:dyDescent="0.2">
      <c r="A112" s="549">
        <v>2858</v>
      </c>
      <c r="B112" s="549">
        <v>8</v>
      </c>
      <c r="C112" s="548">
        <v>41267</v>
      </c>
      <c r="D112" s="550">
        <v>6.85</v>
      </c>
      <c r="E112" s="550">
        <v>6.81</v>
      </c>
      <c r="F112" s="550">
        <v>6.88</v>
      </c>
      <c r="G112" s="550">
        <v>6.78</v>
      </c>
      <c r="H112" s="551">
        <v>5.4352200000000002</v>
      </c>
      <c r="I112" s="550">
        <v>124600</v>
      </c>
    </row>
    <row r="113" spans="1:9" x14ac:dyDescent="0.2">
      <c r="A113" s="549">
        <v>2859</v>
      </c>
      <c r="B113" s="549">
        <v>8</v>
      </c>
      <c r="C113" s="548">
        <v>41270</v>
      </c>
      <c r="D113" s="550">
        <v>6.81</v>
      </c>
      <c r="E113" s="550">
        <v>6.8</v>
      </c>
      <c r="F113" s="550">
        <v>6.85</v>
      </c>
      <c r="G113" s="550">
        <v>6.78</v>
      </c>
      <c r="H113" s="551">
        <v>5.4897140000000002</v>
      </c>
      <c r="I113" s="550">
        <v>204600</v>
      </c>
    </row>
    <row r="114" spans="1:9" x14ac:dyDescent="0.2">
      <c r="A114" s="549">
        <v>2860</v>
      </c>
      <c r="B114" s="549">
        <v>8</v>
      </c>
      <c r="C114" s="548">
        <v>41271</v>
      </c>
      <c r="D114" s="550">
        <v>6.76</v>
      </c>
      <c r="E114" s="550">
        <v>6.86</v>
      </c>
      <c r="F114" s="550">
        <v>6.88</v>
      </c>
      <c r="G114" s="550">
        <v>6.76</v>
      </c>
      <c r="H114" s="551">
        <v>5.5381530000000003</v>
      </c>
      <c r="I114" s="550">
        <v>134500</v>
      </c>
    </row>
    <row r="115" spans="1:9" x14ac:dyDescent="0.2">
      <c r="A115" s="549">
        <v>2861</v>
      </c>
      <c r="B115" s="549">
        <v>8</v>
      </c>
      <c r="C115" s="548">
        <v>41274</v>
      </c>
      <c r="D115" s="550">
        <v>6.85</v>
      </c>
      <c r="E115" s="550">
        <v>6.84</v>
      </c>
      <c r="F115" s="550">
        <v>6.9</v>
      </c>
      <c r="G115" s="550">
        <v>6.81</v>
      </c>
      <c r="H115" s="551">
        <v>5.5220070000000003</v>
      </c>
      <c r="I115" s="550">
        <v>225000</v>
      </c>
    </row>
    <row r="116" spans="1:9" x14ac:dyDescent="0.2">
      <c r="A116" s="549">
        <v>2862</v>
      </c>
      <c r="B116" s="549">
        <v>8</v>
      </c>
      <c r="C116" s="548">
        <v>41276</v>
      </c>
      <c r="D116" s="550">
        <v>6.84</v>
      </c>
      <c r="E116" s="550">
        <v>7.09</v>
      </c>
      <c r="F116" s="550">
        <v>7.1</v>
      </c>
      <c r="G116" s="550">
        <v>6.84</v>
      </c>
      <c r="H116" s="551">
        <v>5.7238350000000002</v>
      </c>
      <c r="I116" s="550">
        <v>609700</v>
      </c>
    </row>
    <row r="117" spans="1:9" x14ac:dyDescent="0.2">
      <c r="A117" s="549">
        <v>2863</v>
      </c>
      <c r="B117" s="549">
        <v>8</v>
      </c>
      <c r="C117" s="548">
        <v>41277</v>
      </c>
      <c r="D117" s="550">
        <v>7.05</v>
      </c>
      <c r="E117" s="550">
        <v>7.15</v>
      </c>
      <c r="F117" s="550">
        <v>7.25</v>
      </c>
      <c r="G117" s="550">
        <v>7</v>
      </c>
      <c r="H117" s="551">
        <v>5.7722730000000002</v>
      </c>
      <c r="I117" s="550">
        <v>752900</v>
      </c>
    </row>
    <row r="118" spans="1:9" x14ac:dyDescent="0.2">
      <c r="A118" s="549">
        <v>2864</v>
      </c>
      <c r="B118" s="549">
        <v>8</v>
      </c>
      <c r="C118" s="548">
        <v>41278</v>
      </c>
      <c r="D118" s="550">
        <v>7.2</v>
      </c>
      <c r="E118" s="550">
        <v>7.14</v>
      </c>
      <c r="F118" s="550">
        <v>7.2</v>
      </c>
      <c r="G118" s="550">
        <v>7.12</v>
      </c>
      <c r="H118" s="551">
        <v>5.7641989999999996</v>
      </c>
      <c r="I118" s="550">
        <v>537000</v>
      </c>
    </row>
    <row r="119" spans="1:9" x14ac:dyDescent="0.2">
      <c r="A119" s="549">
        <v>2865</v>
      </c>
      <c r="B119" s="549">
        <v>8</v>
      </c>
      <c r="C119" s="548">
        <v>41281</v>
      </c>
      <c r="D119" s="550">
        <v>7.15</v>
      </c>
      <c r="E119" s="550">
        <v>7.2</v>
      </c>
      <c r="F119" s="550">
        <v>7.23</v>
      </c>
      <c r="G119" s="550">
        <v>7.15</v>
      </c>
      <c r="H119" s="551">
        <v>5.8126379999999997</v>
      </c>
      <c r="I119" s="550">
        <v>448100</v>
      </c>
    </row>
    <row r="120" spans="1:9" x14ac:dyDescent="0.2">
      <c r="A120" s="549">
        <v>2866</v>
      </c>
      <c r="B120" s="549">
        <v>8</v>
      </c>
      <c r="C120" s="548">
        <v>41282</v>
      </c>
      <c r="D120" s="550">
        <v>7.2</v>
      </c>
      <c r="E120" s="550">
        <v>7.16</v>
      </c>
      <c r="F120" s="550">
        <v>7.2</v>
      </c>
      <c r="G120" s="550">
        <v>7.13</v>
      </c>
      <c r="H120" s="551">
        <v>5.7803449999999996</v>
      </c>
      <c r="I120" s="550">
        <v>642400</v>
      </c>
    </row>
    <row r="121" spans="1:9" x14ac:dyDescent="0.2">
      <c r="A121" s="549">
        <v>2867</v>
      </c>
      <c r="B121" s="549">
        <v>8</v>
      </c>
      <c r="C121" s="548">
        <v>41283</v>
      </c>
      <c r="D121" s="550">
        <v>7.19</v>
      </c>
      <c r="E121" s="550">
        <v>7.2</v>
      </c>
      <c r="F121" s="550">
        <v>7.22</v>
      </c>
      <c r="G121" s="550">
        <v>7.16</v>
      </c>
      <c r="H121" s="551">
        <v>5.8126379999999997</v>
      </c>
      <c r="I121" s="550">
        <v>457500</v>
      </c>
    </row>
    <row r="122" spans="1:9" x14ac:dyDescent="0.2">
      <c r="A122" s="549">
        <v>2868</v>
      </c>
      <c r="B122" s="549">
        <v>8</v>
      </c>
      <c r="C122" s="548">
        <v>41284</v>
      </c>
      <c r="D122" s="550">
        <v>7.18</v>
      </c>
      <c r="E122" s="550">
        <v>7.26</v>
      </c>
      <c r="F122" s="550">
        <v>7.28</v>
      </c>
      <c r="G122" s="550">
        <v>7.18</v>
      </c>
      <c r="H122" s="551">
        <v>5.8610769999999999</v>
      </c>
      <c r="I122" s="550">
        <v>1155100</v>
      </c>
    </row>
    <row r="123" spans="1:9" x14ac:dyDescent="0.2">
      <c r="A123" s="549">
        <v>2869</v>
      </c>
      <c r="B123" s="549">
        <v>8</v>
      </c>
      <c r="C123" s="548">
        <v>41285</v>
      </c>
      <c r="D123" s="550">
        <v>7.24</v>
      </c>
      <c r="E123" s="550">
        <v>7.31</v>
      </c>
      <c r="F123" s="550">
        <v>7.31</v>
      </c>
      <c r="G123" s="550">
        <v>7.23</v>
      </c>
      <c r="H123" s="551">
        <v>5.9014420000000003</v>
      </c>
      <c r="I123" s="550">
        <v>561500</v>
      </c>
    </row>
    <row r="124" spans="1:9" x14ac:dyDescent="0.2">
      <c r="A124" s="549">
        <v>2870</v>
      </c>
      <c r="B124" s="549">
        <v>8</v>
      </c>
      <c r="C124" s="548">
        <v>41288</v>
      </c>
      <c r="D124" s="550">
        <v>7.32</v>
      </c>
      <c r="E124" s="550">
        <v>7.31</v>
      </c>
      <c r="F124" s="550">
        <v>7.32</v>
      </c>
      <c r="G124" s="550">
        <v>7.25</v>
      </c>
      <c r="H124" s="551">
        <v>5.9014420000000003</v>
      </c>
      <c r="I124" s="550">
        <v>329000</v>
      </c>
    </row>
    <row r="125" spans="1:9" x14ac:dyDescent="0.2">
      <c r="A125" s="549">
        <v>2871</v>
      </c>
      <c r="B125" s="549">
        <v>8</v>
      </c>
      <c r="C125" s="548">
        <v>41289</v>
      </c>
      <c r="D125" s="550">
        <v>7.32</v>
      </c>
      <c r="E125" s="550">
        <v>7.38</v>
      </c>
      <c r="F125" s="550">
        <v>7.42</v>
      </c>
      <c r="G125" s="550">
        <v>7.29</v>
      </c>
      <c r="H125" s="551">
        <v>5.957954</v>
      </c>
      <c r="I125" s="550">
        <v>749700</v>
      </c>
    </row>
    <row r="126" spans="1:9" x14ac:dyDescent="0.2">
      <c r="A126" s="549">
        <v>2872</v>
      </c>
      <c r="B126" s="549">
        <v>8</v>
      </c>
      <c r="C126" s="548">
        <v>41290</v>
      </c>
      <c r="D126" s="550">
        <v>7.42</v>
      </c>
      <c r="E126" s="550">
        <v>7.3</v>
      </c>
      <c r="F126" s="550">
        <v>7.42</v>
      </c>
      <c r="G126" s="550">
        <v>7.25</v>
      </c>
      <c r="H126" s="551">
        <v>5.8933689999999999</v>
      </c>
      <c r="I126" s="550">
        <v>662400</v>
      </c>
    </row>
    <row r="127" spans="1:9" x14ac:dyDescent="0.2">
      <c r="A127" s="549">
        <v>2873</v>
      </c>
      <c r="B127" s="549">
        <v>8</v>
      </c>
      <c r="C127" s="548">
        <v>41291</v>
      </c>
      <c r="D127" s="550">
        <v>7.34</v>
      </c>
      <c r="E127" s="550">
        <v>7.3</v>
      </c>
      <c r="F127" s="550">
        <v>7.37</v>
      </c>
      <c r="G127" s="550">
        <v>7.24</v>
      </c>
      <c r="H127" s="551">
        <v>5.8933689999999999</v>
      </c>
      <c r="I127" s="550">
        <v>577200</v>
      </c>
    </row>
    <row r="128" spans="1:9" x14ac:dyDescent="0.2">
      <c r="A128" s="549">
        <v>2874</v>
      </c>
      <c r="B128" s="549">
        <v>8</v>
      </c>
      <c r="C128" s="548">
        <v>41292</v>
      </c>
      <c r="D128" s="550">
        <v>7.31</v>
      </c>
      <c r="E128" s="550">
        <v>7.32</v>
      </c>
      <c r="F128" s="550">
        <v>7.34</v>
      </c>
      <c r="G128" s="550">
        <v>7.28</v>
      </c>
      <c r="H128" s="551">
        <v>5.9095149999999999</v>
      </c>
      <c r="I128" s="550">
        <v>417600</v>
      </c>
    </row>
    <row r="129" spans="1:9" x14ac:dyDescent="0.2">
      <c r="A129" s="549">
        <v>2875</v>
      </c>
      <c r="B129" s="549">
        <v>8</v>
      </c>
      <c r="C129" s="548">
        <v>41295</v>
      </c>
      <c r="D129" s="550">
        <v>7.35</v>
      </c>
      <c r="E129" s="550">
        <v>7.39</v>
      </c>
      <c r="F129" s="550">
        <v>7.44</v>
      </c>
      <c r="G129" s="550">
        <v>7.34</v>
      </c>
      <c r="H129" s="551">
        <v>5.9660260000000003</v>
      </c>
      <c r="I129" s="550">
        <v>128300</v>
      </c>
    </row>
    <row r="130" spans="1:9" x14ac:dyDescent="0.2">
      <c r="A130" s="549">
        <v>2876</v>
      </c>
      <c r="B130" s="549">
        <v>8</v>
      </c>
      <c r="C130" s="548">
        <v>41296</v>
      </c>
      <c r="D130" s="550">
        <v>7.4</v>
      </c>
      <c r="E130" s="550">
        <v>7.41</v>
      </c>
      <c r="F130" s="550">
        <v>7.5</v>
      </c>
      <c r="G130" s="550">
        <v>7.38</v>
      </c>
      <c r="H130" s="551">
        <v>5.9821739999999997</v>
      </c>
      <c r="I130" s="550">
        <v>482200</v>
      </c>
    </row>
    <row r="131" spans="1:9" x14ac:dyDescent="0.2">
      <c r="A131" s="549">
        <v>2877</v>
      </c>
      <c r="B131" s="549">
        <v>8</v>
      </c>
      <c r="C131" s="548">
        <v>41297</v>
      </c>
      <c r="D131" s="550">
        <v>7.4</v>
      </c>
      <c r="E131" s="550">
        <v>7.52</v>
      </c>
      <c r="F131" s="550">
        <v>7.55</v>
      </c>
      <c r="G131" s="550">
        <v>7.39</v>
      </c>
      <c r="H131" s="551">
        <v>6.0709770000000001</v>
      </c>
      <c r="I131" s="550">
        <v>268400</v>
      </c>
    </row>
    <row r="132" spans="1:9" x14ac:dyDescent="0.2">
      <c r="A132" s="549">
        <v>2878</v>
      </c>
      <c r="B132" s="549">
        <v>8</v>
      </c>
      <c r="C132" s="548">
        <v>41298</v>
      </c>
      <c r="D132" s="550">
        <v>7.57</v>
      </c>
      <c r="E132" s="550">
        <v>7.48</v>
      </c>
      <c r="F132" s="550">
        <v>7.6</v>
      </c>
      <c r="G132" s="550">
        <v>7.48</v>
      </c>
      <c r="H132" s="551">
        <v>6.0386850000000001</v>
      </c>
      <c r="I132" s="550">
        <v>326700</v>
      </c>
    </row>
    <row r="133" spans="1:9" x14ac:dyDescent="0.2">
      <c r="A133" s="549">
        <v>2879</v>
      </c>
      <c r="B133" s="549">
        <v>8</v>
      </c>
      <c r="C133" s="548">
        <v>41299</v>
      </c>
      <c r="D133" s="550">
        <v>7.5</v>
      </c>
      <c r="E133" s="550">
        <v>7.48</v>
      </c>
      <c r="F133" s="550">
        <v>7.58</v>
      </c>
      <c r="G133" s="550">
        <v>7.44</v>
      </c>
      <c r="H133" s="551">
        <v>6.0386850000000001</v>
      </c>
      <c r="I133" s="550">
        <v>390000</v>
      </c>
    </row>
    <row r="134" spans="1:9" x14ac:dyDescent="0.2">
      <c r="A134" s="549">
        <v>2880</v>
      </c>
      <c r="B134" s="549">
        <v>8</v>
      </c>
      <c r="C134" s="548">
        <v>41302</v>
      </c>
      <c r="D134" s="550">
        <v>7.5</v>
      </c>
      <c r="E134" s="550">
        <v>7.49</v>
      </c>
      <c r="F134" s="550">
        <v>7.51</v>
      </c>
      <c r="G134" s="550">
        <v>7.43</v>
      </c>
      <c r="H134" s="551">
        <v>6.0467579999999996</v>
      </c>
      <c r="I134" s="550">
        <v>328700</v>
      </c>
    </row>
    <row r="135" spans="1:9" x14ac:dyDescent="0.2">
      <c r="A135" s="549">
        <v>2881</v>
      </c>
      <c r="B135" s="549">
        <v>8</v>
      </c>
      <c r="C135" s="548">
        <v>41303</v>
      </c>
      <c r="D135" s="550">
        <v>7.49</v>
      </c>
      <c r="E135" s="550">
        <v>7.37</v>
      </c>
      <c r="F135" s="550">
        <v>7.49</v>
      </c>
      <c r="G135" s="550">
        <v>7.37</v>
      </c>
      <c r="H135" s="551">
        <v>5.9498810000000004</v>
      </c>
      <c r="I135" s="550">
        <v>502500</v>
      </c>
    </row>
    <row r="136" spans="1:9" x14ac:dyDescent="0.2">
      <c r="A136" s="549">
        <v>2882</v>
      </c>
      <c r="B136" s="549">
        <v>8</v>
      </c>
      <c r="C136" s="548">
        <v>41304</v>
      </c>
      <c r="D136" s="550">
        <v>7.39</v>
      </c>
      <c r="E136" s="550">
        <v>7.42</v>
      </c>
      <c r="F136" s="550">
        <v>7.44</v>
      </c>
      <c r="G136" s="550">
        <v>7.37</v>
      </c>
      <c r="H136" s="551">
        <v>5.9902470000000001</v>
      </c>
      <c r="I136" s="550">
        <v>377600</v>
      </c>
    </row>
    <row r="137" spans="1:9" x14ac:dyDescent="0.2">
      <c r="A137" s="549">
        <v>2883</v>
      </c>
      <c r="B137" s="549">
        <v>8</v>
      </c>
      <c r="C137" s="548">
        <v>41305</v>
      </c>
      <c r="D137" s="550">
        <v>7.45</v>
      </c>
      <c r="E137" s="550">
        <v>7.33</v>
      </c>
      <c r="F137" s="550">
        <v>7.45</v>
      </c>
      <c r="G137" s="550">
        <v>7.26</v>
      </c>
      <c r="H137" s="551">
        <v>5.9175880000000003</v>
      </c>
      <c r="I137" s="550">
        <v>335500</v>
      </c>
    </row>
    <row r="138" spans="1:9" x14ac:dyDescent="0.2">
      <c r="A138" s="549">
        <v>2884</v>
      </c>
      <c r="B138" s="549">
        <v>8</v>
      </c>
      <c r="C138" s="548">
        <v>41306</v>
      </c>
      <c r="D138" s="550">
        <v>7.3</v>
      </c>
      <c r="E138" s="550">
        <v>7.38</v>
      </c>
      <c r="F138" s="550">
        <v>7.43</v>
      </c>
      <c r="G138" s="550">
        <v>7.3</v>
      </c>
      <c r="H138" s="551">
        <v>5.957954</v>
      </c>
      <c r="I138" s="550">
        <v>243800</v>
      </c>
    </row>
    <row r="139" spans="1:9" x14ac:dyDescent="0.2">
      <c r="A139" s="549">
        <v>2885</v>
      </c>
      <c r="B139" s="549">
        <v>8</v>
      </c>
      <c r="C139" s="548">
        <v>41309</v>
      </c>
      <c r="D139" s="550">
        <v>7.36</v>
      </c>
      <c r="E139" s="550">
        <v>7.21</v>
      </c>
      <c r="F139" s="550">
        <v>7.36</v>
      </c>
      <c r="G139" s="550">
        <v>7.21</v>
      </c>
      <c r="H139" s="551">
        <v>5.8207120000000003</v>
      </c>
      <c r="I139" s="550">
        <v>393500</v>
      </c>
    </row>
    <row r="140" spans="1:9" x14ac:dyDescent="0.2">
      <c r="A140" s="549">
        <v>2886</v>
      </c>
      <c r="B140" s="549">
        <v>8</v>
      </c>
      <c r="C140" s="548">
        <v>41310</v>
      </c>
      <c r="D140" s="550">
        <v>7.27</v>
      </c>
      <c r="E140" s="550">
        <v>7.4</v>
      </c>
      <c r="F140" s="550">
        <v>7.45</v>
      </c>
      <c r="G140" s="550">
        <v>7.25</v>
      </c>
      <c r="H140" s="551">
        <v>5.9741010000000001</v>
      </c>
      <c r="I140" s="550">
        <v>988800</v>
      </c>
    </row>
    <row r="141" spans="1:9" x14ac:dyDescent="0.2">
      <c r="A141" s="549">
        <v>2887</v>
      </c>
      <c r="B141" s="549">
        <v>8</v>
      </c>
      <c r="C141" s="548">
        <v>41311</v>
      </c>
      <c r="D141" s="550">
        <v>7.39</v>
      </c>
      <c r="E141" s="550">
        <v>7.32</v>
      </c>
      <c r="F141" s="550">
        <v>7.39</v>
      </c>
      <c r="G141" s="550">
        <v>7.32</v>
      </c>
      <c r="H141" s="551">
        <v>5.9095149999999999</v>
      </c>
      <c r="I141" s="550">
        <v>333000</v>
      </c>
    </row>
    <row r="142" spans="1:9" x14ac:dyDescent="0.2">
      <c r="A142" s="549">
        <v>2888</v>
      </c>
      <c r="B142" s="549">
        <v>8</v>
      </c>
      <c r="C142" s="548">
        <v>41312</v>
      </c>
      <c r="D142" s="550">
        <v>7.35</v>
      </c>
      <c r="E142" s="550">
        <v>7.35</v>
      </c>
      <c r="F142" s="550">
        <v>7.38</v>
      </c>
      <c r="G142" s="550">
        <v>7.29</v>
      </c>
      <c r="H142" s="551">
        <v>5.9337340000000003</v>
      </c>
      <c r="I142" s="550">
        <v>305700</v>
      </c>
    </row>
    <row r="143" spans="1:9" x14ac:dyDescent="0.2">
      <c r="A143" s="549">
        <v>2889</v>
      </c>
      <c r="B143" s="549">
        <v>8</v>
      </c>
      <c r="C143" s="548">
        <v>41313</v>
      </c>
      <c r="D143" s="550">
        <v>7.35</v>
      </c>
      <c r="E143" s="550">
        <v>7.33</v>
      </c>
      <c r="F143" s="550">
        <v>7.38</v>
      </c>
      <c r="G143" s="550">
        <v>7.32</v>
      </c>
      <c r="H143" s="551">
        <v>5.9175880000000003</v>
      </c>
      <c r="I143" s="550">
        <v>131600</v>
      </c>
    </row>
    <row r="144" spans="1:9" x14ac:dyDescent="0.2">
      <c r="A144" s="549">
        <v>2890</v>
      </c>
      <c r="B144" s="549">
        <v>8</v>
      </c>
      <c r="C144" s="548">
        <v>41316</v>
      </c>
      <c r="D144" s="550">
        <v>7.35</v>
      </c>
      <c r="E144" s="550">
        <v>7.47</v>
      </c>
      <c r="F144" s="550">
        <v>7.54</v>
      </c>
      <c r="G144" s="550">
        <v>7.3</v>
      </c>
      <c r="H144" s="551">
        <v>6.0306110000000004</v>
      </c>
      <c r="I144" s="550">
        <v>1118400</v>
      </c>
    </row>
    <row r="145" spans="1:9" x14ac:dyDescent="0.2">
      <c r="A145" s="549">
        <v>2891</v>
      </c>
      <c r="B145" s="549">
        <v>8</v>
      </c>
      <c r="C145" s="548">
        <v>41317</v>
      </c>
      <c r="D145" s="550">
        <v>7.5</v>
      </c>
      <c r="E145" s="550">
        <v>7.41</v>
      </c>
      <c r="F145" s="550">
        <v>7.58</v>
      </c>
      <c r="G145" s="550">
        <v>7.33</v>
      </c>
      <c r="H145" s="551">
        <v>5.9821739999999997</v>
      </c>
      <c r="I145" s="550">
        <v>1235800</v>
      </c>
    </row>
    <row r="146" spans="1:9" x14ac:dyDescent="0.2">
      <c r="A146" s="549">
        <v>2892</v>
      </c>
      <c r="B146" s="549">
        <v>8</v>
      </c>
      <c r="C146" s="548">
        <v>41318</v>
      </c>
      <c r="D146" s="550">
        <v>7.44</v>
      </c>
      <c r="E146" s="550">
        <v>7.37</v>
      </c>
      <c r="F146" s="550">
        <v>7.44</v>
      </c>
      <c r="G146" s="550">
        <v>7.25</v>
      </c>
      <c r="H146" s="551">
        <v>5.9498810000000004</v>
      </c>
      <c r="I146" s="550">
        <v>515100</v>
      </c>
    </row>
    <row r="147" spans="1:9" x14ac:dyDescent="0.2">
      <c r="A147" s="549">
        <v>2893</v>
      </c>
      <c r="B147" s="549">
        <v>8</v>
      </c>
      <c r="C147" s="548">
        <v>41319</v>
      </c>
      <c r="D147" s="550">
        <v>7.37</v>
      </c>
      <c r="E147" s="550">
        <v>7.32</v>
      </c>
      <c r="F147" s="550">
        <v>7.38</v>
      </c>
      <c r="G147" s="550">
        <v>7.27</v>
      </c>
      <c r="H147" s="551">
        <v>5.9095149999999999</v>
      </c>
      <c r="I147" s="550">
        <v>690800</v>
      </c>
    </row>
    <row r="148" spans="1:9" x14ac:dyDescent="0.2">
      <c r="A148" s="549">
        <v>2894</v>
      </c>
      <c r="B148" s="549">
        <v>8</v>
      </c>
      <c r="C148" s="548">
        <v>41320</v>
      </c>
      <c r="D148" s="550">
        <v>7.29</v>
      </c>
      <c r="E148" s="550">
        <v>7.36</v>
      </c>
      <c r="F148" s="550">
        <v>7.42</v>
      </c>
      <c r="G148" s="550">
        <v>7.29</v>
      </c>
      <c r="H148" s="551">
        <v>5.941808</v>
      </c>
      <c r="I148" s="550">
        <v>555400</v>
      </c>
    </row>
    <row r="149" spans="1:9" x14ac:dyDescent="0.2">
      <c r="A149" s="549">
        <v>2895</v>
      </c>
      <c r="B149" s="549">
        <v>8</v>
      </c>
      <c r="C149" s="548">
        <v>41324</v>
      </c>
      <c r="D149" s="550">
        <v>7.36</v>
      </c>
      <c r="E149" s="550">
        <v>7.42</v>
      </c>
      <c r="F149" s="550">
        <v>7.43</v>
      </c>
      <c r="G149" s="550">
        <v>7.31</v>
      </c>
      <c r="H149" s="551">
        <v>5.9902470000000001</v>
      </c>
      <c r="I149" s="550">
        <v>516100</v>
      </c>
    </row>
    <row r="150" spans="1:9" x14ac:dyDescent="0.2">
      <c r="A150" s="549">
        <v>2896</v>
      </c>
      <c r="B150" s="549">
        <v>8</v>
      </c>
      <c r="C150" s="548">
        <v>41325</v>
      </c>
      <c r="D150" s="550">
        <v>7.37</v>
      </c>
      <c r="E150" s="550">
        <v>7.39</v>
      </c>
      <c r="F150" s="550">
        <v>7.41</v>
      </c>
      <c r="G150" s="550">
        <v>7.29</v>
      </c>
      <c r="H150" s="551">
        <v>5.9660260000000003</v>
      </c>
      <c r="I150" s="550">
        <v>633400</v>
      </c>
    </row>
    <row r="151" spans="1:9" x14ac:dyDescent="0.2">
      <c r="A151" s="549">
        <v>2897</v>
      </c>
      <c r="B151" s="549">
        <v>8</v>
      </c>
      <c r="C151" s="548">
        <v>41326</v>
      </c>
      <c r="D151" s="550">
        <v>7.37</v>
      </c>
      <c r="E151" s="550">
        <v>7.4</v>
      </c>
      <c r="F151" s="550">
        <v>7.41</v>
      </c>
      <c r="G151" s="550">
        <v>7.32</v>
      </c>
      <c r="H151" s="551">
        <v>5.9741010000000001</v>
      </c>
      <c r="I151" s="550">
        <v>388500</v>
      </c>
    </row>
    <row r="152" spans="1:9" x14ac:dyDescent="0.2">
      <c r="A152" s="549">
        <v>2898</v>
      </c>
      <c r="B152" s="549">
        <v>8</v>
      </c>
      <c r="C152" s="548">
        <v>41327</v>
      </c>
      <c r="D152" s="550">
        <v>7.41</v>
      </c>
      <c r="E152" s="550">
        <v>7.51</v>
      </c>
      <c r="F152" s="550">
        <v>7.58</v>
      </c>
      <c r="G152" s="550">
        <v>7.41</v>
      </c>
      <c r="H152" s="551">
        <v>6.0629049999999998</v>
      </c>
      <c r="I152" s="550">
        <v>566700</v>
      </c>
    </row>
    <row r="153" spans="1:9" x14ac:dyDescent="0.2">
      <c r="A153" s="549">
        <v>2899</v>
      </c>
      <c r="B153" s="549">
        <v>8</v>
      </c>
      <c r="C153" s="548">
        <v>41330</v>
      </c>
      <c r="D153" s="550">
        <v>7.51</v>
      </c>
      <c r="E153" s="550">
        <v>7.54</v>
      </c>
      <c r="F153" s="550">
        <v>7.66</v>
      </c>
      <c r="G153" s="550">
        <v>7.51</v>
      </c>
      <c r="H153" s="551">
        <v>6.0871240000000002</v>
      </c>
      <c r="I153" s="550">
        <v>759700</v>
      </c>
    </row>
    <row r="154" spans="1:9" x14ac:dyDescent="0.2">
      <c r="A154" s="549">
        <v>2900</v>
      </c>
      <c r="B154" s="549">
        <v>8</v>
      </c>
      <c r="C154" s="548">
        <v>41331</v>
      </c>
      <c r="D154" s="550">
        <v>7.54</v>
      </c>
      <c r="E154" s="550">
        <v>7.56</v>
      </c>
      <c r="F154" s="550">
        <v>7.63</v>
      </c>
      <c r="G154" s="550">
        <v>7.54</v>
      </c>
      <c r="H154" s="551">
        <v>6.1032700000000002</v>
      </c>
      <c r="I154" s="550">
        <v>446600</v>
      </c>
    </row>
    <row r="155" spans="1:9" x14ac:dyDescent="0.2">
      <c r="A155" s="549">
        <v>2901</v>
      </c>
      <c r="B155" s="549">
        <v>8</v>
      </c>
      <c r="C155" s="548">
        <v>41332</v>
      </c>
      <c r="D155" s="550">
        <v>7.58</v>
      </c>
      <c r="E155" s="550">
        <v>7.63</v>
      </c>
      <c r="F155" s="550">
        <v>7.66</v>
      </c>
      <c r="G155" s="550">
        <v>7.55</v>
      </c>
      <c r="H155" s="551">
        <v>6.1597819999999999</v>
      </c>
      <c r="I155" s="550">
        <v>519000</v>
      </c>
    </row>
    <row r="156" spans="1:9" x14ac:dyDescent="0.2">
      <c r="A156" s="549">
        <v>2902</v>
      </c>
      <c r="B156" s="549">
        <v>8</v>
      </c>
      <c r="C156" s="548">
        <v>41333</v>
      </c>
      <c r="D156" s="550">
        <v>7.67</v>
      </c>
      <c r="E156" s="550">
        <v>7.64</v>
      </c>
      <c r="F156" s="550">
        <v>7.69</v>
      </c>
      <c r="G156" s="550">
        <v>7.6</v>
      </c>
      <c r="H156" s="551">
        <v>6.1678550000000003</v>
      </c>
      <c r="I156" s="550">
        <v>335900</v>
      </c>
    </row>
    <row r="157" spans="1:9" x14ac:dyDescent="0.2">
      <c r="A157" s="549">
        <v>2903</v>
      </c>
      <c r="B157" s="549">
        <v>8</v>
      </c>
      <c r="C157" s="548">
        <v>41334</v>
      </c>
      <c r="D157" s="550">
        <v>7.61</v>
      </c>
      <c r="E157" s="550">
        <v>7.73</v>
      </c>
      <c r="F157" s="550">
        <v>7.77</v>
      </c>
      <c r="G157" s="550">
        <v>7.61</v>
      </c>
      <c r="H157" s="551">
        <v>6.240513</v>
      </c>
      <c r="I157" s="550">
        <v>491500</v>
      </c>
    </row>
    <row r="158" spans="1:9" x14ac:dyDescent="0.2">
      <c r="A158" s="549">
        <v>2904</v>
      </c>
      <c r="B158" s="549">
        <v>8</v>
      </c>
      <c r="C158" s="548">
        <v>41337</v>
      </c>
      <c r="D158" s="550">
        <v>7.76</v>
      </c>
      <c r="E158" s="550">
        <v>7.7</v>
      </c>
      <c r="F158" s="550">
        <v>7.78</v>
      </c>
      <c r="G158" s="550">
        <v>7.67</v>
      </c>
      <c r="H158" s="551">
        <v>6.2162930000000003</v>
      </c>
      <c r="I158" s="550">
        <v>641500</v>
      </c>
    </row>
    <row r="159" spans="1:9" x14ac:dyDescent="0.2">
      <c r="A159" s="549">
        <v>2905</v>
      </c>
      <c r="B159" s="549">
        <v>8</v>
      </c>
      <c r="C159" s="548">
        <v>41338</v>
      </c>
      <c r="D159" s="550">
        <v>7.71</v>
      </c>
      <c r="E159" s="550">
        <v>7.6</v>
      </c>
      <c r="F159" s="550">
        <v>7.72</v>
      </c>
      <c r="G159" s="550">
        <v>7.52</v>
      </c>
      <c r="H159" s="551">
        <v>6.1355620000000002</v>
      </c>
      <c r="I159" s="550">
        <v>448200</v>
      </c>
    </row>
    <row r="160" spans="1:9" x14ac:dyDescent="0.2">
      <c r="A160" s="549">
        <v>2906</v>
      </c>
      <c r="B160" s="549">
        <v>8</v>
      </c>
      <c r="C160" s="548">
        <v>41339</v>
      </c>
      <c r="D160" s="550">
        <v>7.65</v>
      </c>
      <c r="E160" s="550">
        <v>7.6</v>
      </c>
      <c r="F160" s="550">
        <v>7.65</v>
      </c>
      <c r="G160" s="550">
        <v>7.55</v>
      </c>
      <c r="H160" s="551">
        <v>6.1355620000000002</v>
      </c>
      <c r="I160" s="550">
        <v>325600</v>
      </c>
    </row>
    <row r="161" spans="1:9" x14ac:dyDescent="0.2">
      <c r="A161" s="549">
        <v>2907</v>
      </c>
      <c r="B161" s="549">
        <v>8</v>
      </c>
      <c r="C161" s="548">
        <v>41340</v>
      </c>
      <c r="D161" s="550">
        <v>7.62</v>
      </c>
      <c r="E161" s="550">
        <v>7.73</v>
      </c>
      <c r="F161" s="550">
        <v>7.74</v>
      </c>
      <c r="G161" s="550">
        <v>7.58</v>
      </c>
      <c r="H161" s="551">
        <v>6.240513</v>
      </c>
      <c r="I161" s="550">
        <v>351700</v>
      </c>
    </row>
    <row r="162" spans="1:9" x14ac:dyDescent="0.2">
      <c r="A162" s="549">
        <v>2908</v>
      </c>
      <c r="B162" s="549">
        <v>8</v>
      </c>
      <c r="C162" s="548">
        <v>41341</v>
      </c>
      <c r="D162" s="550">
        <v>7.77</v>
      </c>
      <c r="E162" s="550">
        <v>7.72</v>
      </c>
      <c r="F162" s="550">
        <v>7.77</v>
      </c>
      <c r="G162" s="550">
        <v>7.69</v>
      </c>
      <c r="H162" s="551">
        <v>6.2324400000000004</v>
      </c>
      <c r="I162" s="550">
        <v>256900</v>
      </c>
    </row>
    <row r="163" spans="1:9" x14ac:dyDescent="0.2">
      <c r="A163" s="549">
        <v>2909</v>
      </c>
      <c r="B163" s="549">
        <v>8</v>
      </c>
      <c r="C163" s="548">
        <v>41344</v>
      </c>
      <c r="D163" s="550">
        <v>7.73</v>
      </c>
      <c r="E163" s="550">
        <v>7.78</v>
      </c>
      <c r="F163" s="550">
        <v>7.83</v>
      </c>
      <c r="G163" s="550">
        <v>7.71</v>
      </c>
      <c r="H163" s="551">
        <v>6.2808789999999997</v>
      </c>
      <c r="I163" s="550">
        <v>384300</v>
      </c>
    </row>
    <row r="164" spans="1:9" x14ac:dyDescent="0.2">
      <c r="A164" s="549">
        <v>2910</v>
      </c>
      <c r="B164" s="549">
        <v>8</v>
      </c>
      <c r="C164" s="548">
        <v>41345</v>
      </c>
      <c r="D164" s="550">
        <v>7.8</v>
      </c>
      <c r="E164" s="550">
        <v>7.65</v>
      </c>
      <c r="F164" s="550">
        <v>7.83</v>
      </c>
      <c r="G164" s="550">
        <v>7.63</v>
      </c>
      <c r="H164" s="551">
        <v>6.1759279999999999</v>
      </c>
      <c r="I164" s="550">
        <v>314600</v>
      </c>
    </row>
    <row r="165" spans="1:9" x14ac:dyDescent="0.2">
      <c r="A165" s="549">
        <v>2911</v>
      </c>
      <c r="B165" s="549">
        <v>8</v>
      </c>
      <c r="C165" s="548">
        <v>41346</v>
      </c>
      <c r="D165" s="550">
        <v>7.7</v>
      </c>
      <c r="E165" s="550">
        <v>7.73</v>
      </c>
      <c r="F165" s="550">
        <v>7.75</v>
      </c>
      <c r="G165" s="550">
        <v>7.62</v>
      </c>
      <c r="H165" s="551">
        <v>6.240513</v>
      </c>
      <c r="I165" s="550">
        <v>249100</v>
      </c>
    </row>
    <row r="166" spans="1:9" x14ac:dyDescent="0.2">
      <c r="A166" s="549">
        <v>2912</v>
      </c>
      <c r="B166" s="549">
        <v>8</v>
      </c>
      <c r="C166" s="548">
        <v>41347</v>
      </c>
      <c r="D166" s="550">
        <v>7.72</v>
      </c>
      <c r="E166" s="550">
        <v>7.74</v>
      </c>
      <c r="F166" s="550">
        <v>7.75</v>
      </c>
      <c r="G166" s="550">
        <v>7.58</v>
      </c>
      <c r="H166" s="551">
        <v>6.2485860000000004</v>
      </c>
      <c r="I166" s="550">
        <v>449300</v>
      </c>
    </row>
    <row r="167" spans="1:9" x14ac:dyDescent="0.2">
      <c r="A167" s="549">
        <v>2913</v>
      </c>
      <c r="B167" s="549">
        <v>8</v>
      </c>
      <c r="C167" s="548">
        <v>41348</v>
      </c>
      <c r="D167" s="550">
        <v>7.74</v>
      </c>
      <c r="E167" s="550">
        <v>7.78</v>
      </c>
      <c r="F167" s="550">
        <v>7.82</v>
      </c>
      <c r="G167" s="550">
        <v>7.63</v>
      </c>
      <c r="H167" s="551">
        <v>6.2808789999999997</v>
      </c>
      <c r="I167" s="550">
        <v>2283600</v>
      </c>
    </row>
    <row r="168" spans="1:9" x14ac:dyDescent="0.2">
      <c r="A168" s="549">
        <v>2914</v>
      </c>
      <c r="B168" s="549">
        <v>8</v>
      </c>
      <c r="C168" s="548">
        <v>41351</v>
      </c>
      <c r="D168" s="550">
        <v>7.72</v>
      </c>
      <c r="E168" s="550">
        <v>7.61</v>
      </c>
      <c r="F168" s="550">
        <v>7.74</v>
      </c>
      <c r="G168" s="550">
        <v>7.6</v>
      </c>
      <c r="H168" s="551">
        <v>6.1436349999999997</v>
      </c>
      <c r="I168" s="550">
        <v>429100</v>
      </c>
    </row>
    <row r="169" spans="1:9" x14ac:dyDescent="0.2">
      <c r="A169" s="549">
        <v>2915</v>
      </c>
      <c r="B169" s="549">
        <v>8</v>
      </c>
      <c r="C169" s="548">
        <v>41352</v>
      </c>
      <c r="D169" s="550">
        <v>7.63</v>
      </c>
      <c r="E169" s="550">
        <v>7.52</v>
      </c>
      <c r="F169" s="550">
        <v>7.64</v>
      </c>
      <c r="G169" s="550">
        <v>7.36</v>
      </c>
      <c r="H169" s="551">
        <v>6.0709770000000001</v>
      </c>
      <c r="I169" s="550">
        <v>786200</v>
      </c>
    </row>
    <row r="170" spans="1:9" x14ac:dyDescent="0.2">
      <c r="A170" s="549">
        <v>2916</v>
      </c>
      <c r="B170" s="549">
        <v>8</v>
      </c>
      <c r="C170" s="548">
        <v>41353</v>
      </c>
      <c r="D170" s="550">
        <v>7.51</v>
      </c>
      <c r="E170" s="550">
        <v>7.53</v>
      </c>
      <c r="F170" s="550">
        <v>7.57</v>
      </c>
      <c r="G170" s="550">
        <v>7.43</v>
      </c>
      <c r="H170" s="551">
        <v>6.0790509999999998</v>
      </c>
      <c r="I170" s="550">
        <v>320500</v>
      </c>
    </row>
    <row r="171" spans="1:9" x14ac:dyDescent="0.2">
      <c r="A171" s="549">
        <v>2917</v>
      </c>
      <c r="B171" s="549">
        <v>8</v>
      </c>
      <c r="C171" s="548">
        <v>41354</v>
      </c>
      <c r="D171" s="550">
        <v>7.56</v>
      </c>
      <c r="E171" s="550">
        <v>7.51</v>
      </c>
      <c r="F171" s="550">
        <v>7.56</v>
      </c>
      <c r="G171" s="550">
        <v>7.48</v>
      </c>
      <c r="H171" s="551">
        <v>6.0629049999999998</v>
      </c>
      <c r="I171" s="550">
        <v>172900</v>
      </c>
    </row>
    <row r="172" spans="1:9" x14ac:dyDescent="0.2">
      <c r="A172" s="549">
        <v>2918</v>
      </c>
      <c r="B172" s="549">
        <v>8</v>
      </c>
      <c r="C172" s="548">
        <v>41355</v>
      </c>
      <c r="D172" s="550">
        <v>7.5</v>
      </c>
      <c r="E172" s="550">
        <v>7.5</v>
      </c>
      <c r="F172" s="550">
        <v>7.59</v>
      </c>
      <c r="G172" s="550">
        <v>7.49</v>
      </c>
      <c r="H172" s="551">
        <v>6.0548320000000002</v>
      </c>
      <c r="I172" s="550">
        <v>238400</v>
      </c>
    </row>
    <row r="173" spans="1:9" x14ac:dyDescent="0.2">
      <c r="A173" s="549">
        <v>2919</v>
      </c>
      <c r="B173" s="549">
        <v>8</v>
      </c>
      <c r="C173" s="548">
        <v>41358</v>
      </c>
      <c r="D173" s="550">
        <v>7.52</v>
      </c>
      <c r="E173" s="550">
        <v>7.53</v>
      </c>
      <c r="F173" s="550">
        <v>7.58</v>
      </c>
      <c r="G173" s="550">
        <v>7.46</v>
      </c>
      <c r="H173" s="551">
        <v>6.0790509999999998</v>
      </c>
      <c r="I173" s="550">
        <v>298600</v>
      </c>
    </row>
    <row r="174" spans="1:9" x14ac:dyDescent="0.2">
      <c r="A174" s="549">
        <v>2920</v>
      </c>
      <c r="B174" s="549">
        <v>8</v>
      </c>
      <c r="C174" s="548">
        <v>41359</v>
      </c>
      <c r="D174" s="550">
        <v>7.49</v>
      </c>
      <c r="E174" s="550">
        <v>7.4</v>
      </c>
      <c r="F174" s="550">
        <v>7.49</v>
      </c>
      <c r="G174" s="550">
        <v>7.37</v>
      </c>
      <c r="H174" s="551">
        <v>6.0362260000000001</v>
      </c>
      <c r="I174" s="550">
        <v>339200</v>
      </c>
    </row>
    <row r="175" spans="1:9" x14ac:dyDescent="0.2">
      <c r="A175" s="549">
        <v>2921</v>
      </c>
      <c r="B175" s="549">
        <v>8</v>
      </c>
      <c r="C175" s="548">
        <v>41360</v>
      </c>
      <c r="D175" s="550">
        <v>7.35</v>
      </c>
      <c r="E175" s="550">
        <v>7.42</v>
      </c>
      <c r="F175" s="550">
        <v>7.43</v>
      </c>
      <c r="G175" s="550">
        <v>7.3</v>
      </c>
      <c r="H175" s="551">
        <v>6.0525409999999997</v>
      </c>
      <c r="I175" s="550">
        <v>471600</v>
      </c>
    </row>
    <row r="176" spans="1:9" x14ac:dyDescent="0.2">
      <c r="A176" s="549">
        <v>2922</v>
      </c>
      <c r="B176" s="549">
        <v>8</v>
      </c>
      <c r="C176" s="548">
        <v>41361</v>
      </c>
      <c r="D176" s="550">
        <v>7.39</v>
      </c>
      <c r="E176" s="550">
        <v>7.44</v>
      </c>
      <c r="F176" s="550">
        <v>7.5</v>
      </c>
      <c r="G176" s="550">
        <v>7.36</v>
      </c>
      <c r="H176" s="551">
        <v>6.0688550000000001</v>
      </c>
      <c r="I176" s="550">
        <v>241500</v>
      </c>
    </row>
    <row r="177" spans="1:9" x14ac:dyDescent="0.2">
      <c r="A177" s="549">
        <v>2923</v>
      </c>
      <c r="B177" s="549">
        <v>8</v>
      </c>
      <c r="C177" s="548">
        <v>41365</v>
      </c>
      <c r="D177" s="550">
        <v>7.44</v>
      </c>
      <c r="E177" s="550">
        <v>7.36</v>
      </c>
      <c r="F177" s="550">
        <v>7.49</v>
      </c>
      <c r="G177" s="550">
        <v>7.35</v>
      </c>
      <c r="H177" s="551">
        <v>6.0035980000000002</v>
      </c>
      <c r="I177" s="550">
        <v>330400</v>
      </c>
    </row>
    <row r="178" spans="1:9" x14ac:dyDescent="0.2">
      <c r="A178" s="549">
        <v>2924</v>
      </c>
      <c r="B178" s="549">
        <v>8</v>
      </c>
      <c r="C178" s="548">
        <v>41366</v>
      </c>
      <c r="D178" s="550">
        <v>7.37</v>
      </c>
      <c r="E178" s="550">
        <v>7.39</v>
      </c>
      <c r="F178" s="550">
        <v>7.44</v>
      </c>
      <c r="G178" s="550">
        <v>7.33</v>
      </c>
      <c r="H178" s="551">
        <v>6.0280699999999996</v>
      </c>
      <c r="I178" s="550">
        <v>127800</v>
      </c>
    </row>
    <row r="179" spans="1:9" x14ac:dyDescent="0.2">
      <c r="A179" s="549">
        <v>2925</v>
      </c>
      <c r="B179" s="549">
        <v>8</v>
      </c>
      <c r="C179" s="548">
        <v>41367</v>
      </c>
      <c r="D179" s="550">
        <v>7.4</v>
      </c>
      <c r="E179" s="550">
        <v>7.47</v>
      </c>
      <c r="F179" s="550">
        <v>7.49</v>
      </c>
      <c r="G179" s="550">
        <v>7.37</v>
      </c>
      <c r="H179" s="551">
        <v>6.093324</v>
      </c>
      <c r="I179" s="550">
        <v>447000</v>
      </c>
    </row>
    <row r="180" spans="1:9" x14ac:dyDescent="0.2">
      <c r="A180" s="549">
        <v>2926</v>
      </c>
      <c r="B180" s="549">
        <v>8</v>
      </c>
      <c r="C180" s="548">
        <v>41368</v>
      </c>
      <c r="D180" s="550">
        <v>7.48</v>
      </c>
      <c r="E180" s="550">
        <v>7.37</v>
      </c>
      <c r="F180" s="550">
        <v>7.51</v>
      </c>
      <c r="G180" s="550">
        <v>7.34</v>
      </c>
      <c r="H180" s="551">
        <v>6.0117539999999998</v>
      </c>
      <c r="I180" s="550">
        <v>304500</v>
      </c>
    </row>
    <row r="181" spans="1:9" x14ac:dyDescent="0.2">
      <c r="A181" s="549">
        <v>2927</v>
      </c>
      <c r="B181" s="549">
        <v>8</v>
      </c>
      <c r="C181" s="548">
        <v>41369</v>
      </c>
      <c r="D181" s="550">
        <v>7.29</v>
      </c>
      <c r="E181" s="550">
        <v>7.4</v>
      </c>
      <c r="F181" s="550">
        <v>7.44</v>
      </c>
      <c r="G181" s="550">
        <v>6.98</v>
      </c>
      <c r="H181" s="551">
        <v>6.0362260000000001</v>
      </c>
      <c r="I181" s="550">
        <v>471700</v>
      </c>
    </row>
    <row r="182" spans="1:9" x14ac:dyDescent="0.2">
      <c r="A182" s="549">
        <v>2928</v>
      </c>
      <c r="B182" s="549">
        <v>8</v>
      </c>
      <c r="C182" s="548">
        <v>41372</v>
      </c>
      <c r="D182" s="550">
        <v>7.38</v>
      </c>
      <c r="E182" s="550">
        <v>7.51</v>
      </c>
      <c r="F182" s="550">
        <v>7.53</v>
      </c>
      <c r="G182" s="550">
        <v>7.35</v>
      </c>
      <c r="H182" s="551">
        <v>6.1259540000000001</v>
      </c>
      <c r="I182" s="550">
        <v>364600</v>
      </c>
    </row>
    <row r="183" spans="1:9" x14ac:dyDescent="0.2">
      <c r="A183" s="549">
        <v>2929</v>
      </c>
      <c r="B183" s="549">
        <v>8</v>
      </c>
      <c r="C183" s="548">
        <v>41373</v>
      </c>
      <c r="D183" s="550">
        <v>7.5</v>
      </c>
      <c r="E183" s="550">
        <v>7.56</v>
      </c>
      <c r="F183" s="550">
        <v>7.63</v>
      </c>
      <c r="G183" s="550">
        <v>7.5</v>
      </c>
      <c r="H183" s="551">
        <v>6.1667389999999997</v>
      </c>
      <c r="I183" s="550">
        <v>409700</v>
      </c>
    </row>
    <row r="184" spans="1:9" x14ac:dyDescent="0.2">
      <c r="A184" s="549">
        <v>2930</v>
      </c>
      <c r="B184" s="549">
        <v>8</v>
      </c>
      <c r="C184" s="548">
        <v>41374</v>
      </c>
      <c r="D184" s="550">
        <v>7.62</v>
      </c>
      <c r="E184" s="550">
        <v>7.65</v>
      </c>
      <c r="F184" s="550">
        <v>7.72</v>
      </c>
      <c r="G184" s="550">
        <v>7.58</v>
      </c>
      <c r="H184" s="551">
        <v>6.2401530000000003</v>
      </c>
      <c r="I184" s="550">
        <v>245000</v>
      </c>
    </row>
    <row r="185" spans="1:9" x14ac:dyDescent="0.2">
      <c r="A185" s="549">
        <v>2931</v>
      </c>
      <c r="B185" s="549">
        <v>8</v>
      </c>
      <c r="C185" s="548">
        <v>41375</v>
      </c>
      <c r="D185" s="550">
        <v>7.65</v>
      </c>
      <c r="E185" s="550">
        <v>7.7</v>
      </c>
      <c r="F185" s="550">
        <v>7.71</v>
      </c>
      <c r="G185" s="550">
        <v>7.57</v>
      </c>
      <c r="H185" s="551">
        <v>6.280939</v>
      </c>
      <c r="I185" s="550">
        <v>307100</v>
      </c>
    </row>
    <row r="186" spans="1:9" x14ac:dyDescent="0.2">
      <c r="A186" s="549">
        <v>2932</v>
      </c>
      <c r="B186" s="549">
        <v>8</v>
      </c>
      <c r="C186" s="548">
        <v>41376</v>
      </c>
      <c r="D186" s="550">
        <v>7.58</v>
      </c>
      <c r="E186" s="550">
        <v>7.52</v>
      </c>
      <c r="F186" s="550">
        <v>7.64</v>
      </c>
      <c r="G186" s="550">
        <v>7.51</v>
      </c>
      <c r="H186" s="551">
        <v>6.1341109999999999</v>
      </c>
      <c r="I186" s="550">
        <v>203000</v>
      </c>
    </row>
    <row r="187" spans="1:9" x14ac:dyDescent="0.2">
      <c r="A187" s="549">
        <v>2933</v>
      </c>
      <c r="B187" s="549">
        <v>8</v>
      </c>
      <c r="C187" s="548">
        <v>41379</v>
      </c>
      <c r="D187" s="550">
        <v>7.49</v>
      </c>
      <c r="E187" s="550">
        <v>7.6</v>
      </c>
      <c r="F187" s="550">
        <v>7.62</v>
      </c>
      <c r="G187" s="550">
        <v>7.47</v>
      </c>
      <c r="H187" s="551">
        <v>6.1993660000000004</v>
      </c>
      <c r="I187" s="550">
        <v>283900</v>
      </c>
    </row>
    <row r="188" spans="1:9" x14ac:dyDescent="0.2">
      <c r="A188" s="549">
        <v>2934</v>
      </c>
      <c r="B188" s="549">
        <v>8</v>
      </c>
      <c r="C188" s="548">
        <v>41380</v>
      </c>
      <c r="D188" s="550">
        <v>7.65</v>
      </c>
      <c r="E188" s="550">
        <v>7.63</v>
      </c>
      <c r="F188" s="550">
        <v>7.7</v>
      </c>
      <c r="G188" s="550">
        <v>7.61</v>
      </c>
      <c r="H188" s="551">
        <v>6.2238389999999999</v>
      </c>
      <c r="I188" s="550">
        <v>349000</v>
      </c>
    </row>
    <row r="189" spans="1:9" x14ac:dyDescent="0.2">
      <c r="A189" s="549">
        <v>2935</v>
      </c>
      <c r="B189" s="549">
        <v>8</v>
      </c>
      <c r="C189" s="548">
        <v>41381</v>
      </c>
      <c r="D189" s="550">
        <v>7.64</v>
      </c>
      <c r="E189" s="550">
        <v>7.57</v>
      </c>
      <c r="F189" s="550">
        <v>7.64</v>
      </c>
      <c r="G189" s="550">
        <v>7.49</v>
      </c>
      <c r="H189" s="551">
        <v>6.1748960000000004</v>
      </c>
      <c r="I189" s="550">
        <v>183900</v>
      </c>
    </row>
    <row r="190" spans="1:9" x14ac:dyDescent="0.2">
      <c r="A190" s="549">
        <v>2936</v>
      </c>
      <c r="B190" s="549">
        <v>8</v>
      </c>
      <c r="C190" s="548">
        <v>41382</v>
      </c>
      <c r="D190" s="550">
        <v>7.6</v>
      </c>
      <c r="E190" s="550">
        <v>7.6</v>
      </c>
      <c r="F190" s="550">
        <v>7.61</v>
      </c>
      <c r="G190" s="550">
        <v>7.45</v>
      </c>
      <c r="H190" s="551">
        <v>6.1993660000000004</v>
      </c>
      <c r="I190" s="550">
        <v>449900</v>
      </c>
    </row>
    <row r="191" spans="1:9" x14ac:dyDescent="0.2">
      <c r="A191" s="549">
        <v>2937</v>
      </c>
      <c r="B191" s="549">
        <v>8</v>
      </c>
      <c r="C191" s="548">
        <v>41383</v>
      </c>
      <c r="D191" s="550">
        <v>7.64</v>
      </c>
      <c r="E191" s="550">
        <v>7.73</v>
      </c>
      <c r="F191" s="550">
        <v>7.77</v>
      </c>
      <c r="G191" s="550">
        <v>7.61</v>
      </c>
      <c r="H191" s="551">
        <v>6.305409</v>
      </c>
      <c r="I191" s="550">
        <v>299000</v>
      </c>
    </row>
    <row r="192" spans="1:9" x14ac:dyDescent="0.2">
      <c r="A192" s="549">
        <v>2938</v>
      </c>
      <c r="B192" s="549">
        <v>8</v>
      </c>
      <c r="C192" s="548">
        <v>41386</v>
      </c>
      <c r="D192" s="550">
        <v>7.75</v>
      </c>
      <c r="E192" s="550">
        <v>7.81</v>
      </c>
      <c r="F192" s="550">
        <v>7.82</v>
      </c>
      <c r="G192" s="550">
        <v>7.74</v>
      </c>
      <c r="H192" s="551">
        <v>6.3706659999999999</v>
      </c>
      <c r="I192" s="550">
        <v>316300</v>
      </c>
    </row>
    <row r="193" spans="1:9" x14ac:dyDescent="0.2">
      <c r="A193" s="549">
        <v>2939</v>
      </c>
      <c r="B193" s="549">
        <v>8</v>
      </c>
      <c r="C193" s="548">
        <v>41387</v>
      </c>
      <c r="D193" s="550">
        <v>7.81</v>
      </c>
      <c r="E193" s="550">
        <v>7.88</v>
      </c>
      <c r="F193" s="550">
        <v>7.95</v>
      </c>
      <c r="G193" s="550">
        <v>7.72</v>
      </c>
      <c r="H193" s="551">
        <v>6.427765</v>
      </c>
      <c r="I193" s="550">
        <v>547000</v>
      </c>
    </row>
    <row r="194" spans="1:9" x14ac:dyDescent="0.2">
      <c r="A194" s="549">
        <v>2940</v>
      </c>
      <c r="B194" s="549">
        <v>8</v>
      </c>
      <c r="C194" s="548">
        <v>41388</v>
      </c>
      <c r="D194" s="550">
        <v>7.9</v>
      </c>
      <c r="E194" s="550">
        <v>8.07</v>
      </c>
      <c r="F194" s="550">
        <v>8.07</v>
      </c>
      <c r="G194" s="550">
        <v>7.88</v>
      </c>
      <c r="H194" s="551">
        <v>6.5827489999999997</v>
      </c>
      <c r="I194" s="550">
        <v>471700</v>
      </c>
    </row>
    <row r="195" spans="1:9" x14ac:dyDescent="0.2">
      <c r="A195" s="549">
        <v>2941</v>
      </c>
      <c r="B195" s="549">
        <v>8</v>
      </c>
      <c r="C195" s="548">
        <v>41389</v>
      </c>
      <c r="D195" s="550">
        <v>7.95</v>
      </c>
      <c r="E195" s="550">
        <v>7.87</v>
      </c>
      <c r="F195" s="550">
        <v>7.97</v>
      </c>
      <c r="G195" s="550">
        <v>7.79</v>
      </c>
      <c r="H195" s="551">
        <v>6.4196080000000002</v>
      </c>
      <c r="I195" s="550">
        <v>606500</v>
      </c>
    </row>
    <row r="196" spans="1:9" x14ac:dyDescent="0.2">
      <c r="A196" s="549">
        <v>2942</v>
      </c>
      <c r="B196" s="549">
        <v>8</v>
      </c>
      <c r="C196" s="548">
        <v>41390</v>
      </c>
      <c r="D196" s="550">
        <v>7.81</v>
      </c>
      <c r="E196" s="550">
        <v>7.84</v>
      </c>
      <c r="F196" s="550">
        <v>7.87</v>
      </c>
      <c r="G196" s="550">
        <v>7.81</v>
      </c>
      <c r="H196" s="551">
        <v>6.3951370000000001</v>
      </c>
      <c r="I196" s="550">
        <v>188300</v>
      </c>
    </row>
    <row r="197" spans="1:9" x14ac:dyDescent="0.2">
      <c r="A197" s="549">
        <v>2943</v>
      </c>
      <c r="B197" s="549">
        <v>8</v>
      </c>
      <c r="C197" s="548">
        <v>41393</v>
      </c>
      <c r="D197" s="550">
        <v>7.81</v>
      </c>
      <c r="E197" s="550">
        <v>7.86</v>
      </c>
      <c r="F197" s="550">
        <v>7.87</v>
      </c>
      <c r="G197" s="550">
        <v>7.81</v>
      </c>
      <c r="H197" s="551">
        <v>6.4114509999999996</v>
      </c>
      <c r="I197" s="550">
        <v>353900</v>
      </c>
    </row>
    <row r="198" spans="1:9" x14ac:dyDescent="0.2">
      <c r="A198" s="549">
        <v>2944</v>
      </c>
      <c r="B198" s="549">
        <v>8</v>
      </c>
      <c r="C198" s="548">
        <v>41394</v>
      </c>
      <c r="D198" s="550">
        <v>7.85</v>
      </c>
      <c r="E198" s="550">
        <v>7.96</v>
      </c>
      <c r="F198" s="550">
        <v>7.97</v>
      </c>
      <c r="G198" s="550">
        <v>7.83</v>
      </c>
      <c r="H198" s="551">
        <v>6.4930209999999997</v>
      </c>
      <c r="I198" s="550">
        <v>722000</v>
      </c>
    </row>
    <row r="199" spans="1:9" x14ac:dyDescent="0.2">
      <c r="A199" s="549">
        <v>2945</v>
      </c>
      <c r="B199" s="549">
        <v>8</v>
      </c>
      <c r="C199" s="548">
        <v>41395</v>
      </c>
      <c r="D199" s="550">
        <v>7.95</v>
      </c>
      <c r="E199" s="550">
        <v>7.95</v>
      </c>
      <c r="F199" s="550">
        <v>7.97</v>
      </c>
      <c r="G199" s="550">
        <v>7.89</v>
      </c>
      <c r="H199" s="551">
        <v>6.4848650000000001</v>
      </c>
      <c r="I199" s="550">
        <v>233900</v>
      </c>
    </row>
    <row r="200" spans="1:9" x14ac:dyDescent="0.2">
      <c r="A200" s="549">
        <v>2946</v>
      </c>
      <c r="B200" s="549">
        <v>8</v>
      </c>
      <c r="C200" s="548">
        <v>41396</v>
      </c>
      <c r="D200" s="550">
        <v>7.95</v>
      </c>
      <c r="E200" s="550">
        <v>7.92</v>
      </c>
      <c r="F200" s="550">
        <v>7.95</v>
      </c>
      <c r="G200" s="550">
        <v>7.87</v>
      </c>
      <c r="H200" s="551">
        <v>6.4603929999999998</v>
      </c>
      <c r="I200" s="550">
        <v>297100</v>
      </c>
    </row>
    <row r="201" spans="1:9" x14ac:dyDescent="0.2">
      <c r="A201" s="549">
        <v>2947</v>
      </c>
      <c r="B201" s="549">
        <v>8</v>
      </c>
      <c r="C201" s="548">
        <v>41397</v>
      </c>
      <c r="D201" s="550">
        <v>7.89</v>
      </c>
      <c r="E201" s="550">
        <v>7.83</v>
      </c>
      <c r="F201" s="550">
        <v>7.92</v>
      </c>
      <c r="G201" s="550">
        <v>7.82</v>
      </c>
      <c r="H201" s="551">
        <v>6.3869800000000003</v>
      </c>
      <c r="I201" s="550">
        <v>139000</v>
      </c>
    </row>
    <row r="202" spans="1:9" x14ac:dyDescent="0.2">
      <c r="A202" s="549">
        <v>2948</v>
      </c>
      <c r="B202" s="549">
        <v>8</v>
      </c>
      <c r="C202" s="548">
        <v>41400</v>
      </c>
      <c r="D202" s="550">
        <v>7.83</v>
      </c>
      <c r="E202" s="550">
        <v>7.89</v>
      </c>
      <c r="F202" s="550">
        <v>7.89</v>
      </c>
      <c r="G202" s="550">
        <v>7.83</v>
      </c>
      <c r="H202" s="551">
        <v>6.4359219999999997</v>
      </c>
      <c r="I202" s="550">
        <v>188000</v>
      </c>
    </row>
    <row r="203" spans="1:9" x14ac:dyDescent="0.2">
      <c r="A203" s="549">
        <v>2949</v>
      </c>
      <c r="B203" s="549">
        <v>8</v>
      </c>
      <c r="C203" s="548">
        <v>41401</v>
      </c>
      <c r="D203" s="550">
        <v>7.88</v>
      </c>
      <c r="E203" s="550">
        <v>7.89</v>
      </c>
      <c r="F203" s="550">
        <v>7.91</v>
      </c>
      <c r="G203" s="550">
        <v>7.83</v>
      </c>
      <c r="H203" s="551">
        <v>6.4359219999999997</v>
      </c>
      <c r="I203" s="550">
        <v>217100</v>
      </c>
    </row>
    <row r="204" spans="1:9" x14ac:dyDescent="0.2">
      <c r="A204" s="549">
        <v>2950</v>
      </c>
      <c r="B204" s="549">
        <v>8</v>
      </c>
      <c r="C204" s="548">
        <v>41402</v>
      </c>
      <c r="D204" s="550">
        <v>7.92</v>
      </c>
      <c r="E204" s="550">
        <v>7.91</v>
      </c>
      <c r="F204" s="550">
        <v>7.92</v>
      </c>
      <c r="G204" s="550">
        <v>7.87</v>
      </c>
      <c r="H204" s="551">
        <v>6.4522370000000002</v>
      </c>
      <c r="I204" s="550">
        <v>291400</v>
      </c>
    </row>
    <row r="205" spans="1:9" x14ac:dyDescent="0.2">
      <c r="A205" s="549">
        <v>2951</v>
      </c>
      <c r="B205" s="549">
        <v>8</v>
      </c>
      <c r="C205" s="548">
        <v>41403</v>
      </c>
      <c r="D205" s="550">
        <v>7.92</v>
      </c>
      <c r="E205" s="550">
        <v>7.91</v>
      </c>
      <c r="F205" s="550">
        <v>7.94</v>
      </c>
      <c r="G205" s="550">
        <v>7.88</v>
      </c>
      <c r="H205" s="551">
        <v>6.4522370000000002</v>
      </c>
      <c r="I205" s="550">
        <v>180300</v>
      </c>
    </row>
    <row r="206" spans="1:9" x14ac:dyDescent="0.2">
      <c r="A206" s="549">
        <v>2952</v>
      </c>
      <c r="B206" s="549">
        <v>8</v>
      </c>
      <c r="C206" s="548">
        <v>41404</v>
      </c>
      <c r="D206" s="550">
        <v>7.95</v>
      </c>
      <c r="E206" s="550">
        <v>8.2799999999999994</v>
      </c>
      <c r="F206" s="550">
        <v>8.33</v>
      </c>
      <c r="G206" s="550">
        <v>7.95</v>
      </c>
      <c r="H206" s="551">
        <v>6.7540469999999999</v>
      </c>
      <c r="I206" s="550">
        <v>960000</v>
      </c>
    </row>
    <row r="207" spans="1:9" x14ac:dyDescent="0.2">
      <c r="A207" s="549">
        <v>2953</v>
      </c>
      <c r="B207" s="549">
        <v>8</v>
      </c>
      <c r="C207" s="548">
        <v>41407</v>
      </c>
      <c r="D207" s="550">
        <v>8.25</v>
      </c>
      <c r="E207" s="550">
        <v>8.1199999999999992</v>
      </c>
      <c r="F207" s="550">
        <v>8.25</v>
      </c>
      <c r="G207" s="550">
        <v>8.0299999999999994</v>
      </c>
      <c r="H207" s="551">
        <v>6.6235350000000004</v>
      </c>
      <c r="I207" s="550">
        <v>415100</v>
      </c>
    </row>
    <row r="208" spans="1:9" x14ac:dyDescent="0.2">
      <c r="A208" s="549">
        <v>2954</v>
      </c>
      <c r="B208" s="549">
        <v>8</v>
      </c>
      <c r="C208" s="548">
        <v>41408</v>
      </c>
      <c r="D208" s="550">
        <v>8.15</v>
      </c>
      <c r="E208" s="550">
        <v>8.0299999999999994</v>
      </c>
      <c r="F208" s="550">
        <v>8.19</v>
      </c>
      <c r="G208" s="550">
        <v>7.99</v>
      </c>
      <c r="H208" s="551">
        <v>6.5501209999999999</v>
      </c>
      <c r="I208" s="550">
        <v>690800</v>
      </c>
    </row>
    <row r="209" spans="1:9" x14ac:dyDescent="0.2">
      <c r="A209" s="549">
        <v>2955</v>
      </c>
      <c r="B209" s="549">
        <v>8</v>
      </c>
      <c r="C209" s="548">
        <v>41409</v>
      </c>
      <c r="D209" s="550">
        <v>8.06</v>
      </c>
      <c r="E209" s="550">
        <v>8.0399999999999991</v>
      </c>
      <c r="F209" s="550">
        <v>8.14</v>
      </c>
      <c r="G209" s="550">
        <v>7.99</v>
      </c>
      <c r="H209" s="551">
        <v>6.5582779999999996</v>
      </c>
      <c r="I209" s="550">
        <v>592500</v>
      </c>
    </row>
    <row r="210" spans="1:9" x14ac:dyDescent="0.2">
      <c r="A210" s="549">
        <v>2956</v>
      </c>
      <c r="B210" s="549">
        <v>8</v>
      </c>
      <c r="C210" s="548">
        <v>41410</v>
      </c>
      <c r="D210" s="550">
        <v>8.0500000000000007</v>
      </c>
      <c r="E210" s="550">
        <v>7.96</v>
      </c>
      <c r="F210" s="550">
        <v>8.07</v>
      </c>
      <c r="G210" s="550">
        <v>7.94</v>
      </c>
      <c r="H210" s="551">
        <v>6.4930209999999997</v>
      </c>
      <c r="I210" s="550">
        <v>559400</v>
      </c>
    </row>
    <row r="211" spans="1:9" x14ac:dyDescent="0.2">
      <c r="A211" s="549">
        <v>2957</v>
      </c>
      <c r="B211" s="549">
        <v>8</v>
      </c>
      <c r="C211" s="548">
        <v>41411</v>
      </c>
      <c r="D211" s="550">
        <v>7.95</v>
      </c>
      <c r="E211" s="550">
        <v>8.01</v>
      </c>
      <c r="F211" s="550">
        <v>8.0299999999999994</v>
      </c>
      <c r="G211" s="550">
        <v>7.93</v>
      </c>
      <c r="H211" s="551">
        <v>6.5338070000000004</v>
      </c>
      <c r="I211" s="550">
        <v>780200</v>
      </c>
    </row>
    <row r="212" spans="1:9" x14ac:dyDescent="0.2">
      <c r="A212" s="549">
        <v>2958</v>
      </c>
      <c r="B212" s="549">
        <v>8</v>
      </c>
      <c r="C212" s="548">
        <v>41415</v>
      </c>
      <c r="D212" s="550">
        <v>8.01</v>
      </c>
      <c r="E212" s="550">
        <v>8.1</v>
      </c>
      <c r="F212" s="550">
        <v>8.1199999999999992</v>
      </c>
      <c r="G212" s="550">
        <v>7.98</v>
      </c>
      <c r="H212" s="551">
        <v>6.6072199999999999</v>
      </c>
      <c r="I212" s="550">
        <v>299700</v>
      </c>
    </row>
    <row r="213" spans="1:9" x14ac:dyDescent="0.2">
      <c r="A213" s="549">
        <v>2959</v>
      </c>
      <c r="B213" s="549">
        <v>8</v>
      </c>
      <c r="C213" s="548">
        <v>41416</v>
      </c>
      <c r="D213" s="550">
        <v>8.1</v>
      </c>
      <c r="E213" s="550">
        <v>8.08</v>
      </c>
      <c r="F213" s="550">
        <v>8.18</v>
      </c>
      <c r="G213" s="550">
        <v>8.0399999999999991</v>
      </c>
      <c r="H213" s="551">
        <v>6.5909060000000004</v>
      </c>
      <c r="I213" s="550">
        <v>369900</v>
      </c>
    </row>
    <row r="214" spans="1:9" x14ac:dyDescent="0.2">
      <c r="A214" s="549">
        <v>2960</v>
      </c>
      <c r="B214" s="549">
        <v>8</v>
      </c>
      <c r="C214" s="548">
        <v>41417</v>
      </c>
      <c r="D214" s="550">
        <v>8</v>
      </c>
      <c r="E214" s="550">
        <v>8.07</v>
      </c>
      <c r="F214" s="550">
        <v>8.24</v>
      </c>
      <c r="G214" s="550">
        <v>7.97</v>
      </c>
      <c r="H214" s="551">
        <v>6.5827489999999997</v>
      </c>
      <c r="I214" s="550">
        <v>412600</v>
      </c>
    </row>
    <row r="215" spans="1:9" x14ac:dyDescent="0.2">
      <c r="A215" s="549">
        <v>2961</v>
      </c>
      <c r="B215" s="549">
        <v>8</v>
      </c>
      <c r="C215" s="548">
        <v>41418</v>
      </c>
      <c r="D215" s="550">
        <v>8.1</v>
      </c>
      <c r="E215" s="550">
        <v>8.06</v>
      </c>
      <c r="F215" s="550">
        <v>8.1199999999999992</v>
      </c>
      <c r="G215" s="550">
        <v>8.0299999999999994</v>
      </c>
      <c r="H215" s="551">
        <v>6.574592</v>
      </c>
      <c r="I215" s="550">
        <v>159600</v>
      </c>
    </row>
    <row r="216" spans="1:9" x14ac:dyDescent="0.2">
      <c r="A216" s="549">
        <v>2962</v>
      </c>
      <c r="B216" s="549">
        <v>8</v>
      </c>
      <c r="C216" s="548">
        <v>41421</v>
      </c>
      <c r="D216" s="550">
        <v>8.08</v>
      </c>
      <c r="E216" s="550">
        <v>8.02</v>
      </c>
      <c r="F216" s="550">
        <v>8.08</v>
      </c>
      <c r="G216" s="550">
        <v>7.97</v>
      </c>
      <c r="H216" s="551">
        <v>6.5419650000000003</v>
      </c>
      <c r="I216" s="550">
        <v>167500</v>
      </c>
    </row>
    <row r="217" spans="1:9" x14ac:dyDescent="0.2">
      <c r="A217" s="549">
        <v>2963</v>
      </c>
      <c r="B217" s="549">
        <v>8</v>
      </c>
      <c r="C217" s="548">
        <v>41422</v>
      </c>
      <c r="D217" s="550">
        <v>8.0399999999999991</v>
      </c>
      <c r="E217" s="550">
        <v>7.96</v>
      </c>
      <c r="F217" s="550">
        <v>8.0500000000000007</v>
      </c>
      <c r="G217" s="550">
        <v>7.92</v>
      </c>
      <c r="H217" s="551">
        <v>6.4930209999999997</v>
      </c>
      <c r="I217" s="550">
        <v>327900</v>
      </c>
    </row>
    <row r="218" spans="1:9" x14ac:dyDescent="0.2">
      <c r="A218" s="549">
        <v>2964</v>
      </c>
      <c r="B218" s="549">
        <v>8</v>
      </c>
      <c r="C218" s="548">
        <v>41423</v>
      </c>
      <c r="D218" s="550">
        <v>7.97</v>
      </c>
      <c r="E218" s="550">
        <v>7.69</v>
      </c>
      <c r="F218" s="550">
        <v>7.97</v>
      </c>
      <c r="G218" s="550">
        <v>7.62</v>
      </c>
      <c r="H218" s="551">
        <v>6.27278</v>
      </c>
      <c r="I218" s="550">
        <v>690300</v>
      </c>
    </row>
    <row r="219" spans="1:9" x14ac:dyDescent="0.2">
      <c r="A219" s="549">
        <v>2965</v>
      </c>
      <c r="B219" s="549">
        <v>8</v>
      </c>
      <c r="C219" s="548">
        <v>41424</v>
      </c>
      <c r="D219" s="550">
        <v>7.69</v>
      </c>
      <c r="E219" s="550">
        <v>7.71</v>
      </c>
      <c r="F219" s="550">
        <v>7.87</v>
      </c>
      <c r="G219" s="550">
        <v>7.66</v>
      </c>
      <c r="H219" s="551">
        <v>6.2890949999999997</v>
      </c>
      <c r="I219" s="550">
        <v>481900</v>
      </c>
    </row>
    <row r="220" spans="1:9" x14ac:dyDescent="0.2">
      <c r="A220" s="549">
        <v>2966</v>
      </c>
      <c r="B220" s="549">
        <v>8</v>
      </c>
      <c r="C220" s="548">
        <v>41425</v>
      </c>
      <c r="D220" s="550">
        <v>7.7</v>
      </c>
      <c r="E220" s="550">
        <v>7.73</v>
      </c>
      <c r="F220" s="550">
        <v>7.73</v>
      </c>
      <c r="G220" s="550">
        <v>7.57</v>
      </c>
      <c r="H220" s="551">
        <v>6.305409</v>
      </c>
      <c r="I220" s="550">
        <v>512900</v>
      </c>
    </row>
    <row r="221" spans="1:9" x14ac:dyDescent="0.2">
      <c r="A221" s="549">
        <v>2967</v>
      </c>
      <c r="B221" s="549">
        <v>8</v>
      </c>
      <c r="C221" s="548">
        <v>41428</v>
      </c>
      <c r="D221" s="550">
        <v>7.7</v>
      </c>
      <c r="E221" s="550">
        <v>7.57</v>
      </c>
      <c r="F221" s="550">
        <v>7.72</v>
      </c>
      <c r="G221" s="550">
        <v>7.54</v>
      </c>
      <c r="H221" s="551">
        <v>6.1748960000000004</v>
      </c>
      <c r="I221" s="550">
        <v>323000</v>
      </c>
    </row>
    <row r="222" spans="1:9" x14ac:dyDescent="0.2">
      <c r="A222" s="549">
        <v>2968</v>
      </c>
      <c r="B222" s="549">
        <v>8</v>
      </c>
      <c r="C222" s="548">
        <v>41429</v>
      </c>
      <c r="D222" s="550">
        <v>7.6</v>
      </c>
      <c r="E222" s="550">
        <v>7.55</v>
      </c>
      <c r="F222" s="550">
        <v>7.7</v>
      </c>
      <c r="G222" s="550">
        <v>7.52</v>
      </c>
      <c r="H222" s="551">
        <v>6.158582</v>
      </c>
      <c r="I222" s="550">
        <v>239400</v>
      </c>
    </row>
    <row r="223" spans="1:9" x14ac:dyDescent="0.2">
      <c r="A223" s="549">
        <v>2969</v>
      </c>
      <c r="B223" s="549">
        <v>8</v>
      </c>
      <c r="C223" s="548">
        <v>41430</v>
      </c>
      <c r="D223" s="550">
        <v>7.51</v>
      </c>
      <c r="E223" s="550">
        <v>7.54</v>
      </c>
      <c r="F223" s="550">
        <v>7.65</v>
      </c>
      <c r="G223" s="550">
        <v>7.51</v>
      </c>
      <c r="H223" s="551">
        <v>6.1504250000000003</v>
      </c>
      <c r="I223" s="550">
        <v>411900</v>
      </c>
    </row>
    <row r="224" spans="1:9" x14ac:dyDescent="0.2">
      <c r="A224" s="549">
        <v>2970</v>
      </c>
      <c r="B224" s="549">
        <v>8</v>
      </c>
      <c r="C224" s="548">
        <v>41431</v>
      </c>
      <c r="D224" s="550">
        <v>7.53</v>
      </c>
      <c r="E224" s="550">
        <v>7.55</v>
      </c>
      <c r="F224" s="550">
        <v>7.62</v>
      </c>
      <c r="G224" s="550">
        <v>7.51</v>
      </c>
      <c r="H224" s="551">
        <v>6.158582</v>
      </c>
      <c r="I224" s="550">
        <v>474900</v>
      </c>
    </row>
    <row r="225" spans="1:9" x14ac:dyDescent="0.2">
      <c r="A225" s="549">
        <v>2971</v>
      </c>
      <c r="B225" s="549">
        <v>8</v>
      </c>
      <c r="C225" s="548">
        <v>41432</v>
      </c>
      <c r="D225" s="550">
        <v>7.61</v>
      </c>
      <c r="E225" s="550">
        <v>7.47</v>
      </c>
      <c r="F225" s="550">
        <v>7.61</v>
      </c>
      <c r="G225" s="550">
        <v>7.35</v>
      </c>
      <c r="H225" s="551">
        <v>6.093324</v>
      </c>
      <c r="I225" s="550">
        <v>427000</v>
      </c>
    </row>
    <row r="226" spans="1:9" x14ac:dyDescent="0.2">
      <c r="A226" s="549">
        <v>2972</v>
      </c>
      <c r="B226" s="549">
        <v>8</v>
      </c>
      <c r="C226" s="548">
        <v>41435</v>
      </c>
      <c r="D226" s="550">
        <v>7.41</v>
      </c>
      <c r="E226" s="550">
        <v>7.35</v>
      </c>
      <c r="F226" s="550">
        <v>7.48</v>
      </c>
      <c r="G226" s="550">
        <v>7.26</v>
      </c>
      <c r="H226" s="551">
        <v>5.9954400000000003</v>
      </c>
      <c r="I226" s="550">
        <v>1245400</v>
      </c>
    </row>
    <row r="227" spans="1:9" x14ac:dyDescent="0.2">
      <c r="A227" s="549">
        <v>2973</v>
      </c>
      <c r="B227" s="549">
        <v>8</v>
      </c>
      <c r="C227" s="548">
        <v>41436</v>
      </c>
      <c r="D227" s="550">
        <v>7.28</v>
      </c>
      <c r="E227" s="550">
        <v>7.49</v>
      </c>
      <c r="F227" s="550">
        <v>7.54</v>
      </c>
      <c r="G227" s="550">
        <v>7.27</v>
      </c>
      <c r="H227" s="551">
        <v>6.1096399999999997</v>
      </c>
      <c r="I227" s="550">
        <v>870400</v>
      </c>
    </row>
    <row r="228" spans="1:9" x14ac:dyDescent="0.2">
      <c r="A228" s="549">
        <v>2974</v>
      </c>
      <c r="B228" s="549">
        <v>8</v>
      </c>
      <c r="C228" s="548">
        <v>41437</v>
      </c>
      <c r="D228" s="550">
        <v>7.5</v>
      </c>
      <c r="E228" s="550">
        <v>7.24</v>
      </c>
      <c r="F228" s="550">
        <v>7.5</v>
      </c>
      <c r="G228" s="550">
        <v>7.22</v>
      </c>
      <c r="H228" s="551">
        <v>5.9057130000000004</v>
      </c>
      <c r="I228" s="550">
        <v>627300</v>
      </c>
    </row>
    <row r="229" spans="1:9" x14ac:dyDescent="0.2">
      <c r="A229" s="549">
        <v>2975</v>
      </c>
      <c r="B229" s="549">
        <v>8</v>
      </c>
      <c r="C229" s="548">
        <v>41438</v>
      </c>
      <c r="D229" s="550">
        <v>7.2</v>
      </c>
      <c r="E229" s="550">
        <v>7.51</v>
      </c>
      <c r="F229" s="550">
        <v>7.54</v>
      </c>
      <c r="G229" s="550">
        <v>7.16</v>
      </c>
      <c r="H229" s="551">
        <v>6.1259540000000001</v>
      </c>
      <c r="I229" s="550">
        <v>538600</v>
      </c>
    </row>
    <row r="230" spans="1:9" x14ac:dyDescent="0.2">
      <c r="A230" s="549">
        <v>2976</v>
      </c>
      <c r="B230" s="549">
        <v>8</v>
      </c>
      <c r="C230" s="548">
        <v>41439</v>
      </c>
      <c r="D230" s="550">
        <v>7.5</v>
      </c>
      <c r="E230" s="550">
        <v>7.53</v>
      </c>
      <c r="F230" s="550">
        <v>7.58</v>
      </c>
      <c r="G230" s="550">
        <v>7.47</v>
      </c>
      <c r="H230" s="551">
        <v>6.1422679999999996</v>
      </c>
      <c r="I230" s="550">
        <v>346800</v>
      </c>
    </row>
    <row r="231" spans="1:9" x14ac:dyDescent="0.2">
      <c r="A231" s="549">
        <v>2977</v>
      </c>
      <c r="B231" s="549">
        <v>8</v>
      </c>
      <c r="C231" s="548">
        <v>41442</v>
      </c>
      <c r="D231" s="550">
        <v>7.57</v>
      </c>
      <c r="E231" s="550">
        <v>7.44</v>
      </c>
      <c r="F231" s="550">
        <v>7.62</v>
      </c>
      <c r="G231" s="550">
        <v>7.43</v>
      </c>
      <c r="H231" s="551">
        <v>6.0688550000000001</v>
      </c>
      <c r="I231" s="550">
        <v>308100</v>
      </c>
    </row>
    <row r="232" spans="1:9" x14ac:dyDescent="0.2">
      <c r="A232" s="549">
        <v>2978</v>
      </c>
      <c r="B232" s="549">
        <v>8</v>
      </c>
      <c r="C232" s="548">
        <v>41443</v>
      </c>
      <c r="D232" s="550">
        <v>7.42</v>
      </c>
      <c r="E232" s="550">
        <v>7.43</v>
      </c>
      <c r="F232" s="550">
        <v>7.45</v>
      </c>
      <c r="G232" s="550">
        <v>7.32</v>
      </c>
      <c r="H232" s="551">
        <v>6.0606970000000002</v>
      </c>
      <c r="I232" s="550">
        <v>374900</v>
      </c>
    </row>
    <row r="233" spans="1:9" x14ac:dyDescent="0.2">
      <c r="A233" s="549">
        <v>2979</v>
      </c>
      <c r="B233" s="549">
        <v>8</v>
      </c>
      <c r="C233" s="548">
        <v>41444</v>
      </c>
      <c r="D233" s="550">
        <v>7.43</v>
      </c>
      <c r="E233" s="550">
        <v>7.2</v>
      </c>
      <c r="F233" s="550">
        <v>7.48</v>
      </c>
      <c r="G233" s="550">
        <v>7.19</v>
      </c>
      <c r="H233" s="551">
        <v>5.8730849999999997</v>
      </c>
      <c r="I233" s="550">
        <v>300700</v>
      </c>
    </row>
    <row r="234" spans="1:9" x14ac:dyDescent="0.2">
      <c r="A234" s="549">
        <v>2980</v>
      </c>
      <c r="B234" s="549">
        <v>8</v>
      </c>
      <c r="C234" s="548">
        <v>41445</v>
      </c>
      <c r="D234" s="550">
        <v>7.18</v>
      </c>
      <c r="E234" s="550">
        <v>6.9</v>
      </c>
      <c r="F234" s="550">
        <v>7.19</v>
      </c>
      <c r="G234" s="550">
        <v>6.85</v>
      </c>
      <c r="H234" s="551">
        <v>5.6283719999999997</v>
      </c>
      <c r="I234" s="550">
        <v>734200</v>
      </c>
    </row>
    <row r="235" spans="1:9" x14ac:dyDescent="0.2">
      <c r="A235" s="549">
        <v>2981</v>
      </c>
      <c r="B235" s="549">
        <v>8</v>
      </c>
      <c r="C235" s="548">
        <v>41446</v>
      </c>
      <c r="D235" s="550">
        <v>6.98</v>
      </c>
      <c r="E235" s="550">
        <v>7.2</v>
      </c>
      <c r="F235" s="550">
        <v>7.27</v>
      </c>
      <c r="G235" s="550">
        <v>6.97</v>
      </c>
      <c r="H235" s="551">
        <v>5.8730849999999997</v>
      </c>
      <c r="I235" s="550">
        <v>967300</v>
      </c>
    </row>
    <row r="236" spans="1:9" x14ac:dyDescent="0.2">
      <c r="A236" s="549">
        <v>2982</v>
      </c>
      <c r="B236" s="549">
        <v>8</v>
      </c>
      <c r="C236" s="548">
        <v>41449</v>
      </c>
      <c r="D236" s="550">
        <v>7.25</v>
      </c>
      <c r="E236" s="550">
        <v>7.16</v>
      </c>
      <c r="F236" s="550">
        <v>7.25</v>
      </c>
      <c r="G236" s="550">
        <v>7.03</v>
      </c>
      <c r="H236" s="551">
        <v>5.8404579999999999</v>
      </c>
      <c r="I236" s="550">
        <v>476600</v>
      </c>
    </row>
    <row r="237" spans="1:9" x14ac:dyDescent="0.2">
      <c r="A237" s="549">
        <v>2983</v>
      </c>
      <c r="B237" s="549">
        <v>8</v>
      </c>
      <c r="C237" s="548">
        <v>41450</v>
      </c>
      <c r="D237" s="550">
        <v>7.2</v>
      </c>
      <c r="E237" s="550">
        <v>7.33</v>
      </c>
      <c r="F237" s="550">
        <v>7.33</v>
      </c>
      <c r="G237" s="550">
        <v>7.18</v>
      </c>
      <c r="H237" s="551">
        <v>5.9791280000000002</v>
      </c>
      <c r="I237" s="550">
        <v>581000</v>
      </c>
    </row>
    <row r="238" spans="1:9" x14ac:dyDescent="0.2">
      <c r="A238" s="549">
        <v>2984</v>
      </c>
      <c r="B238" s="549">
        <v>8</v>
      </c>
      <c r="C238" s="548">
        <v>41451</v>
      </c>
      <c r="D238" s="550">
        <v>7.31</v>
      </c>
      <c r="E238" s="550">
        <v>7.3</v>
      </c>
      <c r="F238" s="550">
        <v>7.35</v>
      </c>
      <c r="G238" s="550">
        <v>7.27</v>
      </c>
      <c r="H238" s="551">
        <v>6.0245179999999996</v>
      </c>
      <c r="I238" s="550">
        <v>387400</v>
      </c>
    </row>
    <row r="239" spans="1:9" x14ac:dyDescent="0.2">
      <c r="A239" s="549">
        <v>2985</v>
      </c>
      <c r="B239" s="549">
        <v>8</v>
      </c>
      <c r="C239" s="548">
        <v>41452</v>
      </c>
      <c r="D239" s="550">
        <v>7.31</v>
      </c>
      <c r="E239" s="550">
        <v>7.08</v>
      </c>
      <c r="F239" s="550">
        <v>7.31</v>
      </c>
      <c r="G239" s="550">
        <v>7.04</v>
      </c>
      <c r="H239" s="551">
        <v>5.842956</v>
      </c>
      <c r="I239" s="550">
        <v>479400</v>
      </c>
    </row>
    <row r="240" spans="1:9" x14ac:dyDescent="0.2">
      <c r="A240" s="549">
        <v>2986</v>
      </c>
      <c r="B240" s="549">
        <v>8</v>
      </c>
      <c r="C240" s="548">
        <v>41453</v>
      </c>
      <c r="D240" s="550">
        <v>7.01</v>
      </c>
      <c r="E240" s="550">
        <v>7.25</v>
      </c>
      <c r="F240" s="550">
        <v>7.3</v>
      </c>
      <c r="G240" s="550">
        <v>6.96</v>
      </c>
      <c r="H240" s="551">
        <v>5.9832530000000004</v>
      </c>
      <c r="I240" s="550">
        <v>576400</v>
      </c>
    </row>
    <row r="241" spans="1:9" x14ac:dyDescent="0.2">
      <c r="A241" s="549">
        <v>2987</v>
      </c>
      <c r="B241" s="549">
        <v>8</v>
      </c>
      <c r="C241" s="548">
        <v>41457</v>
      </c>
      <c r="D241" s="550">
        <v>7.25</v>
      </c>
      <c r="E241" s="550">
        <v>7.04</v>
      </c>
      <c r="F241" s="550">
        <v>7.32</v>
      </c>
      <c r="G241" s="550">
        <v>7.03</v>
      </c>
      <c r="H241" s="551">
        <v>5.8099449999999999</v>
      </c>
      <c r="I241" s="550">
        <v>413600</v>
      </c>
    </row>
    <row r="242" spans="1:9" x14ac:dyDescent="0.2">
      <c r="A242" s="549">
        <v>2988</v>
      </c>
      <c r="B242" s="549">
        <v>8</v>
      </c>
      <c r="C242" s="548">
        <v>41458</v>
      </c>
      <c r="D242" s="550">
        <v>7.01</v>
      </c>
      <c r="E242" s="550">
        <v>7.07</v>
      </c>
      <c r="F242" s="550">
        <v>7.15</v>
      </c>
      <c r="G242" s="550">
        <v>7.01</v>
      </c>
      <c r="H242" s="551">
        <v>5.8347040000000003</v>
      </c>
      <c r="I242" s="550">
        <v>570400</v>
      </c>
    </row>
    <row r="243" spans="1:9" x14ac:dyDescent="0.2">
      <c r="A243" s="549">
        <v>2989</v>
      </c>
      <c r="B243" s="549">
        <v>8</v>
      </c>
      <c r="C243" s="548">
        <v>41459</v>
      </c>
      <c r="D243" s="550">
        <v>7.08</v>
      </c>
      <c r="E243" s="550">
        <v>7.11</v>
      </c>
      <c r="F243" s="550">
        <v>7.22</v>
      </c>
      <c r="G243" s="550">
        <v>7.08</v>
      </c>
      <c r="H243" s="551">
        <v>5.8677149999999996</v>
      </c>
      <c r="I243" s="550">
        <v>143300</v>
      </c>
    </row>
    <row r="244" spans="1:9" x14ac:dyDescent="0.2">
      <c r="A244" s="549">
        <v>2990</v>
      </c>
      <c r="B244" s="549">
        <v>8</v>
      </c>
      <c r="C244" s="548">
        <v>41460</v>
      </c>
      <c r="D244" s="550">
        <v>7.05</v>
      </c>
      <c r="E244" s="550">
        <v>7</v>
      </c>
      <c r="F244" s="550">
        <v>7.05</v>
      </c>
      <c r="G244" s="550">
        <v>6.84</v>
      </c>
      <c r="H244" s="551">
        <v>5.7769329999999997</v>
      </c>
      <c r="I244" s="550">
        <v>689200</v>
      </c>
    </row>
    <row r="245" spans="1:9" x14ac:dyDescent="0.2">
      <c r="A245" s="549">
        <v>2991</v>
      </c>
      <c r="B245" s="549">
        <v>8</v>
      </c>
      <c r="C245" s="548">
        <v>41463</v>
      </c>
      <c r="D245" s="550">
        <v>7</v>
      </c>
      <c r="E245" s="550">
        <v>7.22</v>
      </c>
      <c r="F245" s="550">
        <v>7.22</v>
      </c>
      <c r="G245" s="550">
        <v>6.98</v>
      </c>
      <c r="H245" s="551">
        <v>5.9584950000000001</v>
      </c>
      <c r="I245" s="550">
        <v>745000</v>
      </c>
    </row>
    <row r="246" spans="1:9" x14ac:dyDescent="0.2">
      <c r="A246" s="549">
        <v>2992</v>
      </c>
      <c r="B246" s="549">
        <v>8</v>
      </c>
      <c r="C246" s="548">
        <v>41464</v>
      </c>
      <c r="D246" s="550">
        <v>7.25</v>
      </c>
      <c r="E246" s="550">
        <v>7.1</v>
      </c>
      <c r="F246" s="550">
        <v>7.25</v>
      </c>
      <c r="G246" s="550">
        <v>7.05</v>
      </c>
      <c r="H246" s="551">
        <v>5.8594619999999997</v>
      </c>
      <c r="I246" s="550">
        <v>516100</v>
      </c>
    </row>
    <row r="247" spans="1:9" x14ac:dyDescent="0.2">
      <c r="A247" s="549">
        <v>2993</v>
      </c>
      <c r="B247" s="549">
        <v>8</v>
      </c>
      <c r="C247" s="548">
        <v>41465</v>
      </c>
      <c r="D247" s="550">
        <v>7.1</v>
      </c>
      <c r="E247" s="550">
        <v>6.98</v>
      </c>
      <c r="F247" s="550">
        <v>7.1</v>
      </c>
      <c r="G247" s="550">
        <v>6.95</v>
      </c>
      <c r="H247" s="551">
        <v>5.7604290000000002</v>
      </c>
      <c r="I247" s="550">
        <v>420500</v>
      </c>
    </row>
    <row r="248" spans="1:9" x14ac:dyDescent="0.2">
      <c r="A248" s="549">
        <v>2994</v>
      </c>
      <c r="B248" s="549">
        <v>8</v>
      </c>
      <c r="C248" s="548">
        <v>41466</v>
      </c>
      <c r="D248" s="550">
        <v>7.01</v>
      </c>
      <c r="E248" s="550">
        <v>7.14</v>
      </c>
      <c r="F248" s="550">
        <v>7.21</v>
      </c>
      <c r="G248" s="550">
        <v>7.01</v>
      </c>
      <c r="H248" s="551">
        <v>5.8924729999999998</v>
      </c>
      <c r="I248" s="550">
        <v>552900</v>
      </c>
    </row>
    <row r="249" spans="1:9" x14ac:dyDescent="0.2">
      <c r="A249" s="549">
        <v>2995</v>
      </c>
      <c r="B249" s="549">
        <v>8</v>
      </c>
      <c r="C249" s="548">
        <v>41467</v>
      </c>
      <c r="D249" s="550">
        <v>7.17</v>
      </c>
      <c r="E249" s="550">
        <v>7.25</v>
      </c>
      <c r="F249" s="550">
        <v>7.26</v>
      </c>
      <c r="G249" s="550">
        <v>7.11</v>
      </c>
      <c r="H249" s="551">
        <v>5.9832530000000004</v>
      </c>
      <c r="I249" s="550">
        <v>561800</v>
      </c>
    </row>
    <row r="250" spans="1:9" x14ac:dyDescent="0.2">
      <c r="A250" s="549">
        <v>2996</v>
      </c>
      <c r="B250" s="549">
        <v>8</v>
      </c>
      <c r="C250" s="548">
        <v>41470</v>
      </c>
      <c r="D250" s="550">
        <v>7.3</v>
      </c>
      <c r="E250" s="550">
        <v>7.39</v>
      </c>
      <c r="F250" s="550">
        <v>7.45</v>
      </c>
      <c r="G250" s="550">
        <v>7.28</v>
      </c>
      <c r="H250" s="551">
        <v>6.0987920000000004</v>
      </c>
      <c r="I250" s="550">
        <v>509500</v>
      </c>
    </row>
    <row r="251" spans="1:9" x14ac:dyDescent="0.2">
      <c r="A251" s="549">
        <v>2997</v>
      </c>
      <c r="B251" s="549">
        <v>8</v>
      </c>
      <c r="C251" s="548">
        <v>41471</v>
      </c>
      <c r="D251" s="550">
        <v>7.44</v>
      </c>
      <c r="E251" s="550">
        <v>7.25</v>
      </c>
      <c r="F251" s="550">
        <v>7.46</v>
      </c>
      <c r="G251" s="550">
        <v>7.22</v>
      </c>
      <c r="H251" s="551">
        <v>5.9832530000000004</v>
      </c>
      <c r="I251" s="550">
        <v>381500</v>
      </c>
    </row>
    <row r="252" spans="1:9" x14ac:dyDescent="0.2">
      <c r="A252" s="549">
        <v>2998</v>
      </c>
      <c r="B252" s="549">
        <v>8</v>
      </c>
      <c r="C252" s="548">
        <v>41472</v>
      </c>
      <c r="D252" s="550">
        <v>7.25</v>
      </c>
      <c r="E252" s="550">
        <v>7.21</v>
      </c>
      <c r="F252" s="550">
        <v>7.25</v>
      </c>
      <c r="G252" s="550">
        <v>7.02</v>
      </c>
      <c r="H252" s="551">
        <v>5.9502410000000001</v>
      </c>
      <c r="I252" s="550">
        <v>575000</v>
      </c>
    </row>
    <row r="253" spans="1:9" x14ac:dyDescent="0.2">
      <c r="A253" s="549">
        <v>2999</v>
      </c>
      <c r="B253" s="549">
        <v>8</v>
      </c>
      <c r="C253" s="548">
        <v>41473</v>
      </c>
      <c r="D253" s="550">
        <v>7.25</v>
      </c>
      <c r="E253" s="550">
        <v>7.24</v>
      </c>
      <c r="F253" s="550">
        <v>7.39</v>
      </c>
      <c r="G253" s="550">
        <v>7.22</v>
      </c>
      <c r="H253" s="551">
        <v>5.9750009999999998</v>
      </c>
      <c r="I253" s="550">
        <v>729000</v>
      </c>
    </row>
    <row r="254" spans="1:9" x14ac:dyDescent="0.2">
      <c r="A254" s="549">
        <v>3000</v>
      </c>
      <c r="B254" s="549">
        <v>8</v>
      </c>
      <c r="C254" s="548">
        <v>41474</v>
      </c>
      <c r="D254" s="550">
        <v>7.27</v>
      </c>
      <c r="E254" s="550">
        <v>7.13</v>
      </c>
      <c r="F254" s="550">
        <v>7.28</v>
      </c>
      <c r="G254" s="550">
        <v>7.13</v>
      </c>
      <c r="H254" s="551">
        <v>5.8842210000000001</v>
      </c>
      <c r="I254" s="550">
        <v>271500</v>
      </c>
    </row>
    <row r="255" spans="1:9" x14ac:dyDescent="0.2">
      <c r="A255" s="549">
        <v>3001</v>
      </c>
      <c r="B255" s="549">
        <v>8</v>
      </c>
      <c r="C255" s="548">
        <v>41477</v>
      </c>
      <c r="D255" s="550">
        <v>7.2</v>
      </c>
      <c r="E255" s="550">
        <v>7.06</v>
      </c>
      <c r="F255" s="550">
        <v>7.2</v>
      </c>
      <c r="G255" s="550">
        <v>7.01</v>
      </c>
      <c r="H255" s="551">
        <v>5.8264509999999996</v>
      </c>
      <c r="I255" s="550">
        <v>392200</v>
      </c>
    </row>
    <row r="256" spans="1:9" x14ac:dyDescent="0.2">
      <c r="A256" s="549">
        <v>3002</v>
      </c>
      <c r="B256" s="549">
        <v>8</v>
      </c>
      <c r="C256" s="548">
        <v>41478</v>
      </c>
      <c r="D256" s="550">
        <v>7.09</v>
      </c>
      <c r="E256" s="550">
        <v>7.17</v>
      </c>
      <c r="F256" s="550">
        <v>7.19</v>
      </c>
      <c r="G256" s="550">
        <v>7.03</v>
      </c>
      <c r="H256" s="551">
        <v>5.9172310000000001</v>
      </c>
      <c r="I256" s="550">
        <v>368800</v>
      </c>
    </row>
    <row r="257" spans="1:9" x14ac:dyDescent="0.2">
      <c r="A257" s="549">
        <v>3003</v>
      </c>
      <c r="B257" s="549">
        <v>8</v>
      </c>
      <c r="C257" s="548">
        <v>41479</v>
      </c>
      <c r="D257" s="550">
        <v>7.17</v>
      </c>
      <c r="E257" s="550">
        <v>7.03</v>
      </c>
      <c r="F257" s="550">
        <v>7.17</v>
      </c>
      <c r="G257" s="550">
        <v>7</v>
      </c>
      <c r="H257" s="551">
        <v>5.8016930000000002</v>
      </c>
      <c r="I257" s="550">
        <v>411400</v>
      </c>
    </row>
    <row r="258" spans="1:9" x14ac:dyDescent="0.2">
      <c r="A258" s="549">
        <v>3004</v>
      </c>
      <c r="B258" s="549">
        <v>8</v>
      </c>
      <c r="C258" s="548">
        <v>41480</v>
      </c>
      <c r="D258" s="550">
        <v>7.03</v>
      </c>
      <c r="E258" s="550">
        <v>7.04</v>
      </c>
      <c r="F258" s="550">
        <v>7.07</v>
      </c>
      <c r="G258" s="550">
        <v>7.01</v>
      </c>
      <c r="H258" s="551">
        <v>5.8099449999999999</v>
      </c>
      <c r="I258" s="550">
        <v>357900</v>
      </c>
    </row>
    <row r="259" spans="1:9" x14ac:dyDescent="0.2">
      <c r="A259" s="549">
        <v>3005</v>
      </c>
      <c r="B259" s="549">
        <v>8</v>
      </c>
      <c r="C259" s="548">
        <v>41481</v>
      </c>
      <c r="D259" s="550">
        <v>7.02</v>
      </c>
      <c r="E259" s="550">
        <v>7.1</v>
      </c>
      <c r="F259" s="550">
        <v>7.13</v>
      </c>
      <c r="G259" s="550">
        <v>7.01</v>
      </c>
      <c r="H259" s="551">
        <v>5.8594619999999997</v>
      </c>
      <c r="I259" s="550">
        <v>218800</v>
      </c>
    </row>
    <row r="260" spans="1:9" x14ac:dyDescent="0.2">
      <c r="A260" s="549">
        <v>3006</v>
      </c>
      <c r="B260" s="549">
        <v>8</v>
      </c>
      <c r="C260" s="548">
        <v>41484</v>
      </c>
      <c r="D260" s="550">
        <v>7.11</v>
      </c>
      <c r="E260" s="550">
        <v>7.16</v>
      </c>
      <c r="F260" s="550">
        <v>7.17</v>
      </c>
      <c r="G260" s="550">
        <v>7.09</v>
      </c>
      <c r="H260" s="551">
        <v>5.9089780000000003</v>
      </c>
      <c r="I260" s="550">
        <v>162100</v>
      </c>
    </row>
    <row r="261" spans="1:9" x14ac:dyDescent="0.2">
      <c r="A261" s="549">
        <v>3007</v>
      </c>
      <c r="B261" s="549">
        <v>8</v>
      </c>
      <c r="C261" s="548">
        <v>41485</v>
      </c>
      <c r="D261" s="550">
        <v>7.15</v>
      </c>
      <c r="E261" s="550">
        <v>7.13</v>
      </c>
      <c r="F261" s="550">
        <v>7.17</v>
      </c>
      <c r="G261" s="550">
        <v>7.1</v>
      </c>
      <c r="H261" s="551">
        <v>5.8842210000000001</v>
      </c>
      <c r="I261" s="550">
        <v>414500</v>
      </c>
    </row>
    <row r="262" spans="1:9" x14ac:dyDescent="0.2">
      <c r="A262" s="549">
        <v>3008</v>
      </c>
      <c r="B262" s="549">
        <v>8</v>
      </c>
      <c r="C262" s="548">
        <v>41486</v>
      </c>
      <c r="D262" s="550">
        <v>7.12</v>
      </c>
      <c r="E262" s="550">
        <v>6.98</v>
      </c>
      <c r="F262" s="550">
        <v>7.12</v>
      </c>
      <c r="G262" s="550">
        <v>6.96</v>
      </c>
      <c r="H262" s="551">
        <v>5.7604290000000002</v>
      </c>
      <c r="I262" s="550">
        <v>450900</v>
      </c>
    </row>
    <row r="263" spans="1:9" x14ac:dyDescent="0.2">
      <c r="A263" s="549">
        <v>3009</v>
      </c>
      <c r="B263" s="549">
        <v>8</v>
      </c>
      <c r="C263" s="548">
        <v>41487</v>
      </c>
      <c r="D263" s="550">
        <v>7</v>
      </c>
      <c r="E263" s="550">
        <v>6.92</v>
      </c>
      <c r="F263" s="550">
        <v>7</v>
      </c>
      <c r="G263" s="550">
        <v>6.9</v>
      </c>
      <c r="H263" s="551">
        <v>5.7109120000000004</v>
      </c>
      <c r="I263" s="550">
        <v>365300</v>
      </c>
    </row>
    <row r="264" spans="1:9" x14ac:dyDescent="0.2">
      <c r="A264" s="549">
        <v>3010</v>
      </c>
      <c r="B264" s="549">
        <v>8</v>
      </c>
      <c r="C264" s="548">
        <v>41488</v>
      </c>
      <c r="D264" s="550">
        <v>6.92</v>
      </c>
      <c r="E264" s="550">
        <v>6.87</v>
      </c>
      <c r="F264" s="550">
        <v>6.94</v>
      </c>
      <c r="G264" s="550">
        <v>6.86</v>
      </c>
      <c r="H264" s="551">
        <v>5.6696479999999996</v>
      </c>
      <c r="I264" s="550">
        <v>294400</v>
      </c>
    </row>
    <row r="265" spans="1:9" x14ac:dyDescent="0.2">
      <c r="A265" s="549">
        <v>3011</v>
      </c>
      <c r="B265" s="549">
        <v>8</v>
      </c>
      <c r="C265" s="548">
        <v>41492</v>
      </c>
      <c r="D265" s="550">
        <v>6.87</v>
      </c>
      <c r="E265" s="550">
        <v>6.75</v>
      </c>
      <c r="F265" s="550">
        <v>6.9</v>
      </c>
      <c r="G265" s="550">
        <v>6.72</v>
      </c>
      <c r="H265" s="551">
        <v>5.5706160000000002</v>
      </c>
      <c r="I265" s="550">
        <v>554700</v>
      </c>
    </row>
    <row r="266" spans="1:9" x14ac:dyDescent="0.2">
      <c r="A266" s="549">
        <v>3012</v>
      </c>
      <c r="B266" s="549">
        <v>8</v>
      </c>
      <c r="C266" s="548">
        <v>41493</v>
      </c>
      <c r="D266" s="550">
        <v>6.79</v>
      </c>
      <c r="E266" s="550">
        <v>6.96</v>
      </c>
      <c r="F266" s="550">
        <v>7</v>
      </c>
      <c r="G266" s="550">
        <v>6.77</v>
      </c>
      <c r="H266" s="551">
        <v>5.7439229999999997</v>
      </c>
      <c r="I266" s="550">
        <v>459300</v>
      </c>
    </row>
    <row r="267" spans="1:9" x14ac:dyDescent="0.2">
      <c r="A267" s="549">
        <v>3013</v>
      </c>
      <c r="B267" s="549">
        <v>8</v>
      </c>
      <c r="C267" s="548">
        <v>41494</v>
      </c>
      <c r="D267" s="550">
        <v>6.98</v>
      </c>
      <c r="E267" s="550">
        <v>6.83</v>
      </c>
      <c r="F267" s="550">
        <v>7</v>
      </c>
      <c r="G267" s="550">
        <v>6.8</v>
      </c>
      <c r="H267" s="551">
        <v>5.6366370000000003</v>
      </c>
      <c r="I267" s="550">
        <v>589600</v>
      </c>
    </row>
    <row r="268" spans="1:9" x14ac:dyDescent="0.2">
      <c r="A268" s="549">
        <v>3014</v>
      </c>
      <c r="B268" s="549">
        <v>8</v>
      </c>
      <c r="C268" s="548">
        <v>41495</v>
      </c>
      <c r="D268" s="550">
        <v>6.87</v>
      </c>
      <c r="E268" s="550">
        <v>6.84</v>
      </c>
      <c r="F268" s="550">
        <v>6.87</v>
      </c>
      <c r="G268" s="550">
        <v>6.77</v>
      </c>
      <c r="H268" s="551">
        <v>5.6448910000000003</v>
      </c>
      <c r="I268" s="550">
        <v>450800</v>
      </c>
    </row>
    <row r="269" spans="1:9" x14ac:dyDescent="0.2">
      <c r="A269" s="549">
        <v>3015</v>
      </c>
      <c r="B269" s="549">
        <v>8</v>
      </c>
      <c r="C269" s="548">
        <v>41498</v>
      </c>
      <c r="D269" s="550">
        <v>6.88</v>
      </c>
      <c r="E269" s="550">
        <v>6.89</v>
      </c>
      <c r="F269" s="550">
        <v>6.94</v>
      </c>
      <c r="G269" s="550">
        <v>6.79</v>
      </c>
      <c r="H269" s="551">
        <v>5.6861540000000002</v>
      </c>
      <c r="I269" s="550">
        <v>321400</v>
      </c>
    </row>
    <row r="270" spans="1:9" x14ac:dyDescent="0.2">
      <c r="A270" s="549">
        <v>3016</v>
      </c>
      <c r="B270" s="549">
        <v>8</v>
      </c>
      <c r="C270" s="548">
        <v>41499</v>
      </c>
      <c r="D270" s="550">
        <v>6.9</v>
      </c>
      <c r="E270" s="550">
        <v>6.78</v>
      </c>
      <c r="F270" s="550">
        <v>6.9</v>
      </c>
      <c r="G270" s="550">
        <v>6.71</v>
      </c>
      <c r="H270" s="551">
        <v>5.5953730000000004</v>
      </c>
      <c r="I270" s="550">
        <v>420900</v>
      </c>
    </row>
    <row r="271" spans="1:9" x14ac:dyDescent="0.2">
      <c r="A271" s="549">
        <v>3017</v>
      </c>
      <c r="B271" s="549">
        <v>8</v>
      </c>
      <c r="C271" s="548">
        <v>41500</v>
      </c>
      <c r="D271" s="550">
        <v>6.83</v>
      </c>
      <c r="E271" s="550">
        <v>6.68</v>
      </c>
      <c r="F271" s="550">
        <v>6.83</v>
      </c>
      <c r="G271" s="550">
        <v>6.68</v>
      </c>
      <c r="H271" s="551">
        <v>5.5128459999999997</v>
      </c>
      <c r="I271" s="550">
        <v>580000</v>
      </c>
    </row>
    <row r="272" spans="1:9" x14ac:dyDescent="0.2">
      <c r="A272" s="549">
        <v>3018</v>
      </c>
      <c r="B272" s="549">
        <v>8</v>
      </c>
      <c r="C272" s="548">
        <v>41501</v>
      </c>
      <c r="D272" s="550">
        <v>6.62</v>
      </c>
      <c r="E272" s="550">
        <v>6.69</v>
      </c>
      <c r="F272" s="550">
        <v>6.84</v>
      </c>
      <c r="G272" s="550">
        <v>6.6</v>
      </c>
      <c r="H272" s="551">
        <v>5.5210999999999997</v>
      </c>
      <c r="I272" s="550">
        <v>527100</v>
      </c>
    </row>
    <row r="273" spans="1:9" x14ac:dyDescent="0.2">
      <c r="A273" s="549">
        <v>3019</v>
      </c>
      <c r="B273" s="549">
        <v>8</v>
      </c>
      <c r="C273" s="548">
        <v>41502</v>
      </c>
      <c r="D273" s="550">
        <v>6.78</v>
      </c>
      <c r="E273" s="550">
        <v>6.94</v>
      </c>
      <c r="F273" s="550">
        <v>6.97</v>
      </c>
      <c r="G273" s="550">
        <v>6.76</v>
      </c>
      <c r="H273" s="551">
        <v>5.727417</v>
      </c>
      <c r="I273" s="550">
        <v>262900</v>
      </c>
    </row>
    <row r="274" spans="1:9" x14ac:dyDescent="0.2">
      <c r="A274" s="549">
        <v>3020</v>
      </c>
      <c r="B274" s="549">
        <v>8</v>
      </c>
      <c r="C274" s="548">
        <v>41505</v>
      </c>
      <c r="D274" s="550">
        <v>6.99</v>
      </c>
      <c r="E274" s="550">
        <v>6.64</v>
      </c>
      <c r="F274" s="550">
        <v>6.99</v>
      </c>
      <c r="G274" s="550">
        <v>6.64</v>
      </c>
      <c r="H274" s="551">
        <v>5.4798359999999997</v>
      </c>
      <c r="I274" s="550">
        <v>491100</v>
      </c>
    </row>
    <row r="275" spans="1:9" x14ac:dyDescent="0.2">
      <c r="A275" s="549">
        <v>3021</v>
      </c>
      <c r="B275" s="549">
        <v>8</v>
      </c>
      <c r="C275" s="548">
        <v>41506</v>
      </c>
      <c r="D275" s="550">
        <v>6.66</v>
      </c>
      <c r="E275" s="550">
        <v>6.66</v>
      </c>
      <c r="F275" s="550">
        <v>6.84</v>
      </c>
      <c r="G275" s="550">
        <v>6.66</v>
      </c>
      <c r="H275" s="551">
        <v>5.4963389999999999</v>
      </c>
      <c r="I275" s="550">
        <v>257900</v>
      </c>
    </row>
    <row r="276" spans="1:9" x14ac:dyDescent="0.2">
      <c r="A276" s="549">
        <v>3022</v>
      </c>
      <c r="B276" s="549">
        <v>8</v>
      </c>
      <c r="C276" s="548">
        <v>41507</v>
      </c>
      <c r="D276" s="550">
        <v>6.68</v>
      </c>
      <c r="E276" s="550">
        <v>6.64</v>
      </c>
      <c r="F276" s="550">
        <v>6.7</v>
      </c>
      <c r="G276" s="550">
        <v>6.55</v>
      </c>
      <c r="H276" s="551">
        <v>5.4798359999999997</v>
      </c>
      <c r="I276" s="550">
        <v>347600</v>
      </c>
    </row>
    <row r="277" spans="1:9" x14ac:dyDescent="0.2">
      <c r="A277" s="549">
        <v>3023</v>
      </c>
      <c r="B277" s="549">
        <v>8</v>
      </c>
      <c r="C277" s="548">
        <v>41508</v>
      </c>
      <c r="D277" s="550">
        <v>6.68</v>
      </c>
      <c r="E277" s="550">
        <v>6.65</v>
      </c>
      <c r="F277" s="550">
        <v>6.78</v>
      </c>
      <c r="G277" s="550">
        <v>6.64</v>
      </c>
      <c r="H277" s="551">
        <v>5.4880880000000003</v>
      </c>
      <c r="I277" s="550">
        <v>353600</v>
      </c>
    </row>
    <row r="278" spans="1:9" x14ac:dyDescent="0.2">
      <c r="A278" s="549">
        <v>3024</v>
      </c>
      <c r="B278" s="549">
        <v>8</v>
      </c>
      <c r="C278" s="548">
        <v>41509</v>
      </c>
      <c r="D278" s="550">
        <v>6.64</v>
      </c>
      <c r="E278" s="550">
        <v>6.69</v>
      </c>
      <c r="F278" s="550">
        <v>6.77</v>
      </c>
      <c r="G278" s="550">
        <v>6.64</v>
      </c>
      <c r="H278" s="551">
        <v>5.5210999999999997</v>
      </c>
      <c r="I278" s="550">
        <v>178700</v>
      </c>
    </row>
    <row r="279" spans="1:9" x14ac:dyDescent="0.2">
      <c r="A279" s="549">
        <v>3025</v>
      </c>
      <c r="B279" s="549">
        <v>8</v>
      </c>
      <c r="C279" s="548">
        <v>41512</v>
      </c>
      <c r="D279" s="550">
        <v>6.76</v>
      </c>
      <c r="E279" s="550">
        <v>6.72</v>
      </c>
      <c r="F279" s="550">
        <v>6.77</v>
      </c>
      <c r="G279" s="550">
        <v>6.7</v>
      </c>
      <c r="H279" s="551">
        <v>5.5458559999999997</v>
      </c>
      <c r="I279" s="550">
        <v>441800</v>
      </c>
    </row>
    <row r="280" spans="1:9" x14ac:dyDescent="0.2">
      <c r="A280" s="549">
        <v>3026</v>
      </c>
      <c r="B280" s="549">
        <v>8</v>
      </c>
      <c r="C280" s="548">
        <v>41513</v>
      </c>
      <c r="D280" s="550">
        <v>6.76</v>
      </c>
      <c r="E280" s="550">
        <v>6.7</v>
      </c>
      <c r="F280" s="550">
        <v>6.79</v>
      </c>
      <c r="G280" s="550">
        <v>6.7</v>
      </c>
      <c r="H280" s="551">
        <v>5.5293520000000003</v>
      </c>
      <c r="I280" s="550">
        <v>240200</v>
      </c>
    </row>
    <row r="281" spans="1:9" x14ac:dyDescent="0.2">
      <c r="A281" s="549">
        <v>3027</v>
      </c>
      <c r="B281" s="549">
        <v>8</v>
      </c>
      <c r="C281" s="548">
        <v>41514</v>
      </c>
      <c r="D281" s="550">
        <v>6.73</v>
      </c>
      <c r="E281" s="550">
        <v>6.74</v>
      </c>
      <c r="F281" s="550">
        <v>6.81</v>
      </c>
      <c r="G281" s="550">
        <v>6.66</v>
      </c>
      <c r="H281" s="551">
        <v>5.5623620000000003</v>
      </c>
      <c r="I281" s="550">
        <v>305900</v>
      </c>
    </row>
    <row r="282" spans="1:9" x14ac:dyDescent="0.2">
      <c r="A282" s="549">
        <v>3028</v>
      </c>
      <c r="B282" s="549">
        <v>8</v>
      </c>
      <c r="C282" s="548">
        <v>41515</v>
      </c>
      <c r="D282" s="550">
        <v>6.76</v>
      </c>
      <c r="E282" s="550">
        <v>6.61</v>
      </c>
      <c r="F282" s="550">
        <v>6.76</v>
      </c>
      <c r="G282" s="550">
        <v>6.42</v>
      </c>
      <c r="H282" s="551">
        <v>5.455076</v>
      </c>
      <c r="I282" s="550">
        <v>986100</v>
      </c>
    </row>
    <row r="283" spans="1:9" x14ac:dyDescent="0.2">
      <c r="A283" s="549">
        <v>3029</v>
      </c>
      <c r="B283" s="549">
        <v>8</v>
      </c>
      <c r="C283" s="548">
        <v>41516</v>
      </c>
      <c r="D283" s="550">
        <v>6.58</v>
      </c>
      <c r="E283" s="550">
        <v>6.74</v>
      </c>
      <c r="F283" s="550">
        <v>6.74</v>
      </c>
      <c r="G283" s="550">
        <v>6.58</v>
      </c>
      <c r="H283" s="551">
        <v>5.5623620000000003</v>
      </c>
      <c r="I283" s="550">
        <v>282500</v>
      </c>
    </row>
    <row r="284" spans="1:9" x14ac:dyDescent="0.2">
      <c r="A284" s="549">
        <v>3030</v>
      </c>
      <c r="B284" s="549">
        <v>8</v>
      </c>
      <c r="C284" s="548">
        <v>41520</v>
      </c>
      <c r="D284" s="550">
        <v>6.74</v>
      </c>
      <c r="E284" s="550">
        <v>6.64</v>
      </c>
      <c r="F284" s="550">
        <v>6.82</v>
      </c>
      <c r="G284" s="550">
        <v>6.64</v>
      </c>
      <c r="H284" s="551">
        <v>5.4798359999999997</v>
      </c>
      <c r="I284" s="550">
        <v>372600</v>
      </c>
    </row>
    <row r="285" spans="1:9" x14ac:dyDescent="0.2">
      <c r="A285" s="549">
        <v>3031</v>
      </c>
      <c r="B285" s="549">
        <v>8</v>
      </c>
      <c r="C285" s="548">
        <v>41521</v>
      </c>
      <c r="D285" s="550">
        <v>6.66</v>
      </c>
      <c r="E285" s="550">
        <v>6.77</v>
      </c>
      <c r="F285" s="550">
        <v>6.79</v>
      </c>
      <c r="G285" s="550">
        <v>6.65</v>
      </c>
      <c r="H285" s="551">
        <v>5.5871199999999996</v>
      </c>
      <c r="I285" s="550">
        <v>252600</v>
      </c>
    </row>
    <row r="286" spans="1:9" x14ac:dyDescent="0.2">
      <c r="A286" s="549">
        <v>3032</v>
      </c>
      <c r="B286" s="549">
        <v>8</v>
      </c>
      <c r="C286" s="548">
        <v>41522</v>
      </c>
      <c r="D286" s="550">
        <v>6.77</v>
      </c>
      <c r="E286" s="550">
        <v>6.78</v>
      </c>
      <c r="F286" s="550">
        <v>6.8</v>
      </c>
      <c r="G286" s="550">
        <v>6.71</v>
      </c>
      <c r="H286" s="551">
        <v>5.5953730000000004</v>
      </c>
      <c r="I286" s="550">
        <v>214700</v>
      </c>
    </row>
    <row r="287" spans="1:9" x14ac:dyDescent="0.2">
      <c r="A287" s="549">
        <v>3033</v>
      </c>
      <c r="B287" s="549">
        <v>8</v>
      </c>
      <c r="C287" s="548">
        <v>41523</v>
      </c>
      <c r="D287" s="550">
        <v>6.83</v>
      </c>
      <c r="E287" s="550">
        <v>6.59</v>
      </c>
      <c r="F287" s="550">
        <v>6.83</v>
      </c>
      <c r="G287" s="550">
        <v>6.53</v>
      </c>
      <c r="H287" s="551">
        <v>5.4385709999999996</v>
      </c>
      <c r="I287" s="550">
        <v>585000</v>
      </c>
    </row>
    <row r="288" spans="1:9" x14ac:dyDescent="0.2">
      <c r="A288" s="549">
        <v>3034</v>
      </c>
      <c r="B288" s="549">
        <v>8</v>
      </c>
      <c r="C288" s="548">
        <v>41526</v>
      </c>
      <c r="D288" s="550">
        <v>6.56</v>
      </c>
      <c r="E288" s="550">
        <v>6.32</v>
      </c>
      <c r="F288" s="550">
        <v>6.63</v>
      </c>
      <c r="G288" s="550">
        <v>6.32</v>
      </c>
      <c r="H288" s="551">
        <v>5.2157470000000004</v>
      </c>
      <c r="I288" s="550">
        <v>827300</v>
      </c>
    </row>
    <row r="289" spans="1:9" x14ac:dyDescent="0.2">
      <c r="A289" s="549">
        <v>3035</v>
      </c>
      <c r="B289" s="549">
        <v>8</v>
      </c>
      <c r="C289" s="548">
        <v>41527</v>
      </c>
      <c r="D289" s="550">
        <v>6.28</v>
      </c>
      <c r="E289" s="550">
        <v>6.35</v>
      </c>
      <c r="F289" s="550">
        <v>6.4</v>
      </c>
      <c r="G289" s="550">
        <v>6.16</v>
      </c>
      <c r="H289" s="551">
        <v>5.2405030000000004</v>
      </c>
      <c r="I289" s="550">
        <v>806800</v>
      </c>
    </row>
    <row r="290" spans="1:9" x14ac:dyDescent="0.2">
      <c r="A290" s="549">
        <v>3036</v>
      </c>
      <c r="B290" s="549">
        <v>8</v>
      </c>
      <c r="C290" s="548">
        <v>41528</v>
      </c>
      <c r="D290" s="550">
        <v>6.32</v>
      </c>
      <c r="E290" s="550">
        <v>6.34</v>
      </c>
      <c r="F290" s="550">
        <v>6.39</v>
      </c>
      <c r="G290" s="550">
        <v>6.29</v>
      </c>
      <c r="H290" s="551">
        <v>5.2322519999999999</v>
      </c>
      <c r="I290" s="550">
        <v>511800</v>
      </c>
    </row>
    <row r="291" spans="1:9" x14ac:dyDescent="0.2">
      <c r="A291" s="549">
        <v>3037</v>
      </c>
      <c r="B291" s="549">
        <v>8</v>
      </c>
      <c r="C291" s="548">
        <v>41529</v>
      </c>
      <c r="D291" s="550">
        <v>6.32</v>
      </c>
      <c r="E291" s="550">
        <v>6.25</v>
      </c>
      <c r="F291" s="550">
        <v>6.33</v>
      </c>
      <c r="G291" s="550">
        <v>6.21</v>
      </c>
      <c r="H291" s="551">
        <v>5.157978</v>
      </c>
      <c r="I291" s="550">
        <v>957200</v>
      </c>
    </row>
    <row r="292" spans="1:9" x14ac:dyDescent="0.2">
      <c r="A292" s="549">
        <v>3038</v>
      </c>
      <c r="B292" s="549">
        <v>8</v>
      </c>
      <c r="C292" s="548">
        <v>41530</v>
      </c>
      <c r="D292" s="550">
        <v>6.25</v>
      </c>
      <c r="E292" s="550">
        <v>6.37</v>
      </c>
      <c r="F292" s="550">
        <v>6.4</v>
      </c>
      <c r="G292" s="550">
        <v>6.25</v>
      </c>
      <c r="H292" s="551">
        <v>5.2570100000000002</v>
      </c>
      <c r="I292" s="550">
        <v>819800</v>
      </c>
    </row>
    <row r="293" spans="1:9" x14ac:dyDescent="0.2">
      <c r="A293" s="549">
        <v>3039</v>
      </c>
      <c r="B293" s="549">
        <v>8</v>
      </c>
      <c r="C293" s="548">
        <v>41533</v>
      </c>
      <c r="D293" s="550">
        <v>6.41</v>
      </c>
      <c r="E293" s="550">
        <v>6.52</v>
      </c>
      <c r="F293" s="550">
        <v>6.59</v>
      </c>
      <c r="G293" s="550">
        <v>6.37</v>
      </c>
      <c r="H293" s="551">
        <v>5.3808009999999999</v>
      </c>
      <c r="I293" s="550">
        <v>759000</v>
      </c>
    </row>
    <row r="294" spans="1:9" x14ac:dyDescent="0.2">
      <c r="A294" s="549">
        <v>3040</v>
      </c>
      <c r="B294" s="549">
        <v>8</v>
      </c>
      <c r="C294" s="548">
        <v>41534</v>
      </c>
      <c r="D294" s="550">
        <v>6.5</v>
      </c>
      <c r="E294" s="550">
        <v>6.49</v>
      </c>
      <c r="F294" s="550">
        <v>6.59</v>
      </c>
      <c r="G294" s="550">
        <v>6.42</v>
      </c>
      <c r="H294" s="551">
        <v>5.3560429999999997</v>
      </c>
      <c r="I294" s="550">
        <v>379000</v>
      </c>
    </row>
    <row r="295" spans="1:9" x14ac:dyDescent="0.2">
      <c r="A295" s="549">
        <v>3041</v>
      </c>
      <c r="B295" s="549">
        <v>8</v>
      </c>
      <c r="C295" s="548">
        <v>41535</v>
      </c>
      <c r="D295" s="550">
        <v>6.45</v>
      </c>
      <c r="E295" s="550">
        <v>6.47</v>
      </c>
      <c r="F295" s="550">
        <v>6.54</v>
      </c>
      <c r="G295" s="550">
        <v>6.36</v>
      </c>
      <c r="H295" s="551">
        <v>5.3395380000000001</v>
      </c>
      <c r="I295" s="550">
        <v>1052200</v>
      </c>
    </row>
    <row r="296" spans="1:9" x14ac:dyDescent="0.2">
      <c r="A296" s="549">
        <v>3042</v>
      </c>
      <c r="B296" s="549">
        <v>8</v>
      </c>
      <c r="C296" s="548">
        <v>41536</v>
      </c>
      <c r="D296" s="550">
        <v>6.46</v>
      </c>
      <c r="E296" s="550">
        <v>6.52</v>
      </c>
      <c r="F296" s="550">
        <v>6.57</v>
      </c>
      <c r="G296" s="550">
        <v>6.46</v>
      </c>
      <c r="H296" s="551">
        <v>5.3808009999999999</v>
      </c>
      <c r="I296" s="550">
        <v>985400</v>
      </c>
    </row>
    <row r="297" spans="1:9" x14ac:dyDescent="0.2">
      <c r="A297" s="549">
        <v>3043</v>
      </c>
      <c r="B297" s="549">
        <v>8</v>
      </c>
      <c r="C297" s="548">
        <v>41537</v>
      </c>
      <c r="D297" s="550">
        <v>6.5</v>
      </c>
      <c r="E297" s="550">
        <v>6.38</v>
      </c>
      <c r="F297" s="550">
        <v>6.5</v>
      </c>
      <c r="G297" s="550">
        <v>6.36</v>
      </c>
      <c r="H297" s="551">
        <v>5.2652640000000002</v>
      </c>
      <c r="I297" s="550">
        <v>892200</v>
      </c>
    </row>
    <row r="298" spans="1:9" x14ac:dyDescent="0.2">
      <c r="A298" s="549">
        <v>3044</v>
      </c>
      <c r="B298" s="549">
        <v>8</v>
      </c>
      <c r="C298" s="548">
        <v>41540</v>
      </c>
      <c r="D298" s="550">
        <v>6.39</v>
      </c>
      <c r="E298" s="550">
        <v>6.44</v>
      </c>
      <c r="F298" s="550">
        <v>6.5</v>
      </c>
      <c r="G298" s="550">
        <v>6.39</v>
      </c>
      <c r="H298" s="551">
        <v>5.3147799999999998</v>
      </c>
      <c r="I298" s="550">
        <v>608600</v>
      </c>
    </row>
    <row r="299" spans="1:9" x14ac:dyDescent="0.2">
      <c r="A299" s="549">
        <v>3045</v>
      </c>
      <c r="B299" s="549">
        <v>8</v>
      </c>
      <c r="C299" s="548">
        <v>41541</v>
      </c>
      <c r="D299" s="550">
        <v>6.45</v>
      </c>
      <c r="E299" s="550">
        <v>6.52</v>
      </c>
      <c r="F299" s="550">
        <v>6.56</v>
      </c>
      <c r="G299" s="550">
        <v>6.45</v>
      </c>
      <c r="H299" s="551">
        <v>5.3808009999999999</v>
      </c>
      <c r="I299" s="550">
        <v>324100</v>
      </c>
    </row>
    <row r="300" spans="1:9" x14ac:dyDescent="0.2">
      <c r="A300" s="549">
        <v>3046</v>
      </c>
      <c r="B300" s="549">
        <v>8</v>
      </c>
      <c r="C300" s="548">
        <v>41542</v>
      </c>
      <c r="D300" s="550">
        <v>6.56</v>
      </c>
      <c r="E300" s="550">
        <v>6.64</v>
      </c>
      <c r="F300" s="550">
        <v>6.67</v>
      </c>
      <c r="G300" s="550">
        <v>6.53</v>
      </c>
      <c r="H300" s="551">
        <v>5.4798359999999997</v>
      </c>
      <c r="I300" s="550">
        <v>529500</v>
      </c>
    </row>
    <row r="301" spans="1:9" x14ac:dyDescent="0.2">
      <c r="A301" s="549">
        <v>3047</v>
      </c>
      <c r="B301" s="549">
        <v>8</v>
      </c>
      <c r="C301" s="548">
        <v>41543</v>
      </c>
      <c r="D301" s="550">
        <v>6.56</v>
      </c>
      <c r="E301" s="550">
        <v>6.4</v>
      </c>
      <c r="F301" s="550">
        <v>6.57</v>
      </c>
      <c r="G301" s="550">
        <v>6.37</v>
      </c>
      <c r="H301" s="551">
        <v>5.3502580000000002</v>
      </c>
      <c r="I301" s="550">
        <v>1895900</v>
      </c>
    </row>
    <row r="302" spans="1:9" x14ac:dyDescent="0.2">
      <c r="A302" s="549">
        <v>3048</v>
      </c>
      <c r="B302" s="549">
        <v>8</v>
      </c>
      <c r="C302" s="548">
        <v>41544</v>
      </c>
      <c r="D302" s="550">
        <v>6.41</v>
      </c>
      <c r="E302" s="550">
        <v>6.4</v>
      </c>
      <c r="F302" s="550">
        <v>6.44</v>
      </c>
      <c r="G302" s="550">
        <v>6.33</v>
      </c>
      <c r="H302" s="551">
        <v>5.3502580000000002</v>
      </c>
      <c r="I302" s="550">
        <v>731300</v>
      </c>
    </row>
    <row r="303" spans="1:9" x14ac:dyDescent="0.2">
      <c r="A303" s="549">
        <v>3049</v>
      </c>
      <c r="B303" s="549">
        <v>8</v>
      </c>
      <c r="C303" s="548">
        <v>41547</v>
      </c>
      <c r="D303" s="550">
        <v>6.4</v>
      </c>
      <c r="E303" s="550">
        <v>6.34</v>
      </c>
      <c r="F303" s="550">
        <v>6.45</v>
      </c>
      <c r="G303" s="550">
        <v>6.33</v>
      </c>
      <c r="H303" s="551">
        <v>5.3000999999999996</v>
      </c>
      <c r="I303" s="550">
        <v>364600</v>
      </c>
    </row>
    <row r="304" spans="1:9" x14ac:dyDescent="0.2">
      <c r="A304" s="549">
        <v>3050</v>
      </c>
      <c r="B304" s="549">
        <v>8</v>
      </c>
      <c r="C304" s="548">
        <v>41548</v>
      </c>
      <c r="D304" s="550">
        <v>6.37</v>
      </c>
      <c r="E304" s="550">
        <v>6.39</v>
      </c>
      <c r="F304" s="550">
        <v>6.41</v>
      </c>
      <c r="G304" s="550">
        <v>6.31</v>
      </c>
      <c r="H304" s="551">
        <v>5.3418979999999996</v>
      </c>
      <c r="I304" s="550">
        <v>281600</v>
      </c>
    </row>
    <row r="305" spans="1:9" x14ac:dyDescent="0.2">
      <c r="A305" s="549">
        <v>3051</v>
      </c>
      <c r="B305" s="549">
        <v>8</v>
      </c>
      <c r="C305" s="548">
        <v>41549</v>
      </c>
      <c r="D305" s="550">
        <v>6.38</v>
      </c>
      <c r="E305" s="550">
        <v>6.38</v>
      </c>
      <c r="F305" s="550">
        <v>6.4</v>
      </c>
      <c r="G305" s="550">
        <v>6.33</v>
      </c>
      <c r="H305" s="551">
        <v>5.333539</v>
      </c>
      <c r="I305" s="550">
        <v>384800</v>
      </c>
    </row>
    <row r="306" spans="1:9" x14ac:dyDescent="0.2">
      <c r="A306" s="549">
        <v>3052</v>
      </c>
      <c r="B306" s="549">
        <v>8</v>
      </c>
      <c r="C306" s="548">
        <v>41550</v>
      </c>
      <c r="D306" s="550">
        <v>6.42</v>
      </c>
      <c r="E306" s="550">
        <v>6.35</v>
      </c>
      <c r="F306" s="550">
        <v>6.48</v>
      </c>
      <c r="G306" s="550">
        <v>6.35</v>
      </c>
      <c r="H306" s="551">
        <v>5.308459</v>
      </c>
      <c r="I306" s="550">
        <v>446800</v>
      </c>
    </row>
    <row r="307" spans="1:9" x14ac:dyDescent="0.2">
      <c r="A307" s="549">
        <v>3053</v>
      </c>
      <c r="B307" s="549">
        <v>8</v>
      </c>
      <c r="C307" s="548">
        <v>41551</v>
      </c>
      <c r="D307" s="550">
        <v>6.38</v>
      </c>
      <c r="E307" s="550">
        <v>6.3</v>
      </c>
      <c r="F307" s="550">
        <v>6.39</v>
      </c>
      <c r="G307" s="550">
        <v>6.29</v>
      </c>
      <c r="H307" s="551">
        <v>5.2666599999999999</v>
      </c>
      <c r="I307" s="550">
        <v>448400</v>
      </c>
    </row>
    <row r="308" spans="1:9" x14ac:dyDescent="0.2">
      <c r="A308" s="549">
        <v>3054</v>
      </c>
      <c r="B308" s="549">
        <v>8</v>
      </c>
      <c r="C308" s="548">
        <v>41554</v>
      </c>
      <c r="D308" s="550">
        <v>6.3</v>
      </c>
      <c r="E308" s="550">
        <v>6.17</v>
      </c>
      <c r="F308" s="550">
        <v>6.3</v>
      </c>
      <c r="G308" s="550">
        <v>6.16</v>
      </c>
      <c r="H308" s="551">
        <v>5.1579839999999999</v>
      </c>
      <c r="I308" s="550">
        <v>549400</v>
      </c>
    </row>
    <row r="309" spans="1:9" x14ac:dyDescent="0.2">
      <c r="A309" s="549">
        <v>3055</v>
      </c>
      <c r="B309" s="549">
        <v>8</v>
      </c>
      <c r="C309" s="548">
        <v>41555</v>
      </c>
      <c r="D309" s="550">
        <v>6.17</v>
      </c>
      <c r="E309" s="550">
        <v>6.15</v>
      </c>
      <c r="F309" s="550">
        <v>6.22</v>
      </c>
      <c r="G309" s="550">
        <v>6.12</v>
      </c>
      <c r="H309" s="551">
        <v>5.1412630000000004</v>
      </c>
      <c r="I309" s="550">
        <v>358000</v>
      </c>
    </row>
    <row r="310" spans="1:9" x14ac:dyDescent="0.2">
      <c r="A310" s="549">
        <v>3056</v>
      </c>
      <c r="B310" s="549">
        <v>8</v>
      </c>
      <c r="C310" s="548">
        <v>41556</v>
      </c>
      <c r="D310" s="550">
        <v>6.19</v>
      </c>
      <c r="E310" s="550">
        <v>6.09</v>
      </c>
      <c r="F310" s="550">
        <v>6.21</v>
      </c>
      <c r="G310" s="550">
        <v>6.08</v>
      </c>
      <c r="H310" s="551">
        <v>5.0911049999999998</v>
      </c>
      <c r="I310" s="550">
        <v>601700</v>
      </c>
    </row>
    <row r="311" spans="1:9" x14ac:dyDescent="0.2">
      <c r="A311" s="549">
        <v>3057</v>
      </c>
      <c r="B311" s="549">
        <v>8</v>
      </c>
      <c r="C311" s="548">
        <v>41557</v>
      </c>
      <c r="D311" s="550">
        <v>6.11</v>
      </c>
      <c r="E311" s="550">
        <v>6.11</v>
      </c>
      <c r="F311" s="550">
        <v>6.19</v>
      </c>
      <c r="G311" s="550">
        <v>6.04</v>
      </c>
      <c r="H311" s="551">
        <v>5.1078250000000001</v>
      </c>
      <c r="I311" s="550">
        <v>574600</v>
      </c>
    </row>
    <row r="312" spans="1:9" x14ac:dyDescent="0.2">
      <c r="A312" s="549">
        <v>3058</v>
      </c>
      <c r="B312" s="549">
        <v>8</v>
      </c>
      <c r="C312" s="548">
        <v>41558</v>
      </c>
      <c r="D312" s="550">
        <v>6.05</v>
      </c>
      <c r="E312" s="550">
        <v>6.18</v>
      </c>
      <c r="F312" s="550">
        <v>6.19</v>
      </c>
      <c r="G312" s="550">
        <v>5.96</v>
      </c>
      <c r="H312" s="551">
        <v>5.1663420000000002</v>
      </c>
      <c r="I312" s="550">
        <v>813600</v>
      </c>
    </row>
    <row r="313" spans="1:9" x14ac:dyDescent="0.2">
      <c r="A313" s="549">
        <v>3059</v>
      </c>
      <c r="B313" s="549">
        <v>8</v>
      </c>
      <c r="C313" s="548">
        <v>41562</v>
      </c>
      <c r="D313" s="550">
        <v>6.18</v>
      </c>
      <c r="E313" s="550">
        <v>6.17</v>
      </c>
      <c r="F313" s="550">
        <v>6.28</v>
      </c>
      <c r="G313" s="550">
        <v>6.16</v>
      </c>
      <c r="H313" s="551">
        <v>5.1579839999999999</v>
      </c>
      <c r="I313" s="550">
        <v>476600</v>
      </c>
    </row>
    <row r="314" spans="1:9" x14ac:dyDescent="0.2">
      <c r="A314" s="549">
        <v>3060</v>
      </c>
      <c r="B314" s="549">
        <v>8</v>
      </c>
      <c r="C314" s="548">
        <v>41563</v>
      </c>
      <c r="D314" s="550">
        <v>6.16</v>
      </c>
      <c r="E314" s="550">
        <v>6.27</v>
      </c>
      <c r="F314" s="550">
        <v>6.27</v>
      </c>
      <c r="G314" s="550">
        <v>6.15</v>
      </c>
      <c r="H314" s="551">
        <v>5.2415820000000002</v>
      </c>
      <c r="I314" s="550">
        <v>379000</v>
      </c>
    </row>
    <row r="315" spans="1:9" x14ac:dyDescent="0.2">
      <c r="A315" s="549">
        <v>3061</v>
      </c>
      <c r="B315" s="549">
        <v>8</v>
      </c>
      <c r="C315" s="548">
        <v>41564</v>
      </c>
      <c r="D315" s="550">
        <v>6.25</v>
      </c>
      <c r="E315" s="550">
        <v>6.39</v>
      </c>
      <c r="F315" s="550">
        <v>6.39</v>
      </c>
      <c r="G315" s="550">
        <v>6.23</v>
      </c>
      <c r="H315" s="551">
        <v>5.3418979999999996</v>
      </c>
      <c r="I315" s="550">
        <v>773500</v>
      </c>
    </row>
    <row r="316" spans="1:9" x14ac:dyDescent="0.2">
      <c r="A316" s="549">
        <v>3062</v>
      </c>
      <c r="B316" s="549">
        <v>8</v>
      </c>
      <c r="C316" s="548">
        <v>41565</v>
      </c>
      <c r="D316" s="550">
        <v>6.4</v>
      </c>
      <c r="E316" s="550">
        <v>6.58</v>
      </c>
      <c r="F316" s="550">
        <v>6.58</v>
      </c>
      <c r="G316" s="550">
        <v>6.4</v>
      </c>
      <c r="H316" s="551">
        <v>5.5007339999999996</v>
      </c>
      <c r="I316" s="550">
        <v>727400</v>
      </c>
    </row>
    <row r="317" spans="1:9" x14ac:dyDescent="0.2">
      <c r="A317" s="549">
        <v>3063</v>
      </c>
      <c r="B317" s="549">
        <v>8</v>
      </c>
      <c r="C317" s="548">
        <v>41568</v>
      </c>
      <c r="D317" s="550">
        <v>6.63</v>
      </c>
      <c r="E317" s="550">
        <v>6.76</v>
      </c>
      <c r="F317" s="550">
        <v>6.81</v>
      </c>
      <c r="G317" s="550">
        <v>6.59</v>
      </c>
      <c r="H317" s="551">
        <v>5.651211</v>
      </c>
      <c r="I317" s="550">
        <v>1754900</v>
      </c>
    </row>
    <row r="318" spans="1:9" x14ac:dyDescent="0.2">
      <c r="A318" s="549">
        <v>3064</v>
      </c>
      <c r="B318" s="549">
        <v>8</v>
      </c>
      <c r="C318" s="548">
        <v>41569</v>
      </c>
      <c r="D318" s="550">
        <v>6.81</v>
      </c>
      <c r="E318" s="550">
        <v>6.7</v>
      </c>
      <c r="F318" s="550">
        <v>6.86</v>
      </c>
      <c r="G318" s="550">
        <v>6.65</v>
      </c>
      <c r="H318" s="551">
        <v>5.6010520000000001</v>
      </c>
      <c r="I318" s="550">
        <v>2141600</v>
      </c>
    </row>
    <row r="319" spans="1:9" x14ac:dyDescent="0.2">
      <c r="A319" s="549">
        <v>3065</v>
      </c>
      <c r="B319" s="549">
        <v>8</v>
      </c>
      <c r="C319" s="548">
        <v>41570</v>
      </c>
      <c r="D319" s="550">
        <v>6.71</v>
      </c>
      <c r="E319" s="550">
        <v>6.8</v>
      </c>
      <c r="F319" s="550">
        <v>6.82</v>
      </c>
      <c r="G319" s="550">
        <v>6.64</v>
      </c>
      <c r="H319" s="551">
        <v>5.6846490000000003</v>
      </c>
      <c r="I319" s="550">
        <v>599200</v>
      </c>
    </row>
    <row r="320" spans="1:9" x14ac:dyDescent="0.2">
      <c r="A320" s="549">
        <v>3066</v>
      </c>
      <c r="B320" s="549">
        <v>8</v>
      </c>
      <c r="C320" s="548">
        <v>41571</v>
      </c>
      <c r="D320" s="550">
        <v>6.8</v>
      </c>
      <c r="E320" s="550">
        <v>6.8</v>
      </c>
      <c r="F320" s="550">
        <v>6.86</v>
      </c>
      <c r="G320" s="550">
        <v>6.74</v>
      </c>
      <c r="H320" s="551">
        <v>5.6846490000000003</v>
      </c>
      <c r="I320" s="550">
        <v>347500</v>
      </c>
    </row>
    <row r="321" spans="1:9" x14ac:dyDescent="0.2">
      <c r="A321" s="549">
        <v>3067</v>
      </c>
      <c r="B321" s="549">
        <v>8</v>
      </c>
      <c r="C321" s="548">
        <v>41572</v>
      </c>
      <c r="D321" s="550">
        <v>6.8</v>
      </c>
      <c r="E321" s="550">
        <v>6.83</v>
      </c>
      <c r="F321" s="550">
        <v>6.87</v>
      </c>
      <c r="G321" s="550">
        <v>6.78</v>
      </c>
      <c r="H321" s="551">
        <v>5.7097290000000003</v>
      </c>
      <c r="I321" s="550">
        <v>365100</v>
      </c>
    </row>
    <row r="322" spans="1:9" x14ac:dyDescent="0.2">
      <c r="A322" s="549">
        <v>3068</v>
      </c>
      <c r="B322" s="549">
        <v>8</v>
      </c>
      <c r="C322" s="548">
        <v>41575</v>
      </c>
      <c r="D322" s="550">
        <v>6.89</v>
      </c>
      <c r="E322" s="550">
        <v>6.8</v>
      </c>
      <c r="F322" s="550">
        <v>6.89</v>
      </c>
      <c r="G322" s="550">
        <v>6.79</v>
      </c>
      <c r="H322" s="551">
        <v>5.6846490000000003</v>
      </c>
      <c r="I322" s="550">
        <v>540100</v>
      </c>
    </row>
    <row r="323" spans="1:9" x14ac:dyDescent="0.2">
      <c r="A323" s="549">
        <v>3069</v>
      </c>
      <c r="B323" s="549">
        <v>8</v>
      </c>
      <c r="C323" s="548">
        <v>41576</v>
      </c>
      <c r="D323" s="550">
        <v>6.8</v>
      </c>
      <c r="E323" s="550">
        <v>6.8</v>
      </c>
      <c r="F323" s="550">
        <v>6.87</v>
      </c>
      <c r="G323" s="550">
        <v>6.79</v>
      </c>
      <c r="H323" s="551">
        <v>5.6846490000000003</v>
      </c>
      <c r="I323" s="550">
        <v>295100</v>
      </c>
    </row>
    <row r="324" spans="1:9" x14ac:dyDescent="0.2">
      <c r="A324" s="549">
        <v>3070</v>
      </c>
      <c r="B324" s="549">
        <v>8</v>
      </c>
      <c r="C324" s="548">
        <v>41577</v>
      </c>
      <c r="D324" s="550">
        <v>6.84</v>
      </c>
      <c r="E324" s="550">
        <v>6.79</v>
      </c>
      <c r="F324" s="550">
        <v>6.84</v>
      </c>
      <c r="G324" s="550">
        <v>6.71</v>
      </c>
      <c r="H324" s="551">
        <v>5.6762889999999997</v>
      </c>
      <c r="I324" s="550">
        <v>384700</v>
      </c>
    </row>
    <row r="325" spans="1:9" x14ac:dyDescent="0.2">
      <c r="A325" s="549">
        <v>3071</v>
      </c>
      <c r="B325" s="549">
        <v>8</v>
      </c>
      <c r="C325" s="548">
        <v>41578</v>
      </c>
      <c r="D325" s="550">
        <v>6.75</v>
      </c>
      <c r="E325" s="550">
        <v>6.73</v>
      </c>
      <c r="F325" s="550">
        <v>6.79</v>
      </c>
      <c r="G325" s="550">
        <v>6.64</v>
      </c>
      <c r="H325" s="551">
        <v>5.626131</v>
      </c>
      <c r="I325" s="550">
        <v>1822300</v>
      </c>
    </row>
    <row r="326" spans="1:9" x14ac:dyDescent="0.2">
      <c r="A326" s="549">
        <v>3072</v>
      </c>
      <c r="B326" s="549">
        <v>8</v>
      </c>
      <c r="C326" s="548">
        <v>41579</v>
      </c>
      <c r="D326" s="550">
        <v>6.72</v>
      </c>
      <c r="E326" s="550">
        <v>6.7</v>
      </c>
      <c r="F326" s="550">
        <v>6.78</v>
      </c>
      <c r="G326" s="550">
        <v>6.68</v>
      </c>
      <c r="H326" s="551">
        <v>5.6010520000000001</v>
      </c>
      <c r="I326" s="550">
        <v>370500</v>
      </c>
    </row>
    <row r="327" spans="1:9" x14ac:dyDescent="0.2">
      <c r="A327" s="549">
        <v>3073</v>
      </c>
      <c r="B327" s="549">
        <v>8</v>
      </c>
      <c r="C327" s="548">
        <v>41582</v>
      </c>
      <c r="D327" s="550">
        <v>6.74</v>
      </c>
      <c r="E327" s="550">
        <v>6.81</v>
      </c>
      <c r="F327" s="550">
        <v>6.81</v>
      </c>
      <c r="G327" s="550">
        <v>6.7</v>
      </c>
      <c r="H327" s="551">
        <v>5.6930079999999998</v>
      </c>
      <c r="I327" s="550">
        <v>400400</v>
      </c>
    </row>
    <row r="328" spans="1:9" x14ac:dyDescent="0.2">
      <c r="A328" s="549">
        <v>3074</v>
      </c>
      <c r="B328" s="549">
        <v>8</v>
      </c>
      <c r="C328" s="548">
        <v>41583</v>
      </c>
      <c r="D328" s="550">
        <v>6.81</v>
      </c>
      <c r="E328" s="550">
        <v>6.72</v>
      </c>
      <c r="F328" s="550">
        <v>6.82</v>
      </c>
      <c r="G328" s="550">
        <v>6.7</v>
      </c>
      <c r="H328" s="551">
        <v>5.6177710000000003</v>
      </c>
      <c r="I328" s="550">
        <v>447800</v>
      </c>
    </row>
    <row r="329" spans="1:9" x14ac:dyDescent="0.2">
      <c r="A329" s="549">
        <v>3075</v>
      </c>
      <c r="B329" s="549">
        <v>8</v>
      </c>
      <c r="C329" s="548">
        <v>41584</v>
      </c>
      <c r="D329" s="550">
        <v>6.8</v>
      </c>
      <c r="E329" s="550">
        <v>6.79</v>
      </c>
      <c r="F329" s="550">
        <v>6.85</v>
      </c>
      <c r="G329" s="550">
        <v>6.72</v>
      </c>
      <c r="H329" s="551">
        <v>5.6762889999999997</v>
      </c>
      <c r="I329" s="550">
        <v>710300</v>
      </c>
    </row>
    <row r="330" spans="1:9" x14ac:dyDescent="0.2">
      <c r="A330" s="549">
        <v>3076</v>
      </c>
      <c r="B330" s="549">
        <v>8</v>
      </c>
      <c r="C330" s="548">
        <v>41585</v>
      </c>
      <c r="D330" s="550">
        <v>6.82</v>
      </c>
      <c r="E330" s="550">
        <v>6.82</v>
      </c>
      <c r="F330" s="550">
        <v>6.91</v>
      </c>
      <c r="G330" s="550">
        <v>6.78</v>
      </c>
      <c r="H330" s="551">
        <v>5.7013680000000004</v>
      </c>
      <c r="I330" s="550">
        <v>4064600</v>
      </c>
    </row>
    <row r="331" spans="1:9" x14ac:dyDescent="0.2">
      <c r="A331" s="549">
        <v>3077</v>
      </c>
      <c r="B331" s="549">
        <v>8</v>
      </c>
      <c r="C331" s="548">
        <v>41586</v>
      </c>
      <c r="D331" s="550">
        <v>6.82</v>
      </c>
      <c r="E331" s="550">
        <v>6.65</v>
      </c>
      <c r="F331" s="550">
        <v>6.85</v>
      </c>
      <c r="G331" s="550">
        <v>6.6</v>
      </c>
      <c r="H331" s="551">
        <v>5.559253</v>
      </c>
      <c r="I331" s="550">
        <v>542200</v>
      </c>
    </row>
    <row r="332" spans="1:9" x14ac:dyDescent="0.2">
      <c r="A332" s="549">
        <v>3078</v>
      </c>
      <c r="B332" s="549">
        <v>8</v>
      </c>
      <c r="C332" s="548">
        <v>41589</v>
      </c>
      <c r="D332" s="550">
        <v>6.68</v>
      </c>
      <c r="E332" s="550">
        <v>6.56</v>
      </c>
      <c r="F332" s="550">
        <v>6.68</v>
      </c>
      <c r="G332" s="550">
        <v>6.52</v>
      </c>
      <c r="H332" s="551">
        <v>5.4840150000000003</v>
      </c>
      <c r="I332" s="550">
        <v>289300</v>
      </c>
    </row>
    <row r="333" spans="1:9" x14ac:dyDescent="0.2">
      <c r="A333" s="549">
        <v>3079</v>
      </c>
      <c r="B333" s="549">
        <v>8</v>
      </c>
      <c r="C333" s="548">
        <v>41590</v>
      </c>
      <c r="D333" s="550">
        <v>6.54</v>
      </c>
      <c r="E333" s="550">
        <v>6.55</v>
      </c>
      <c r="F333" s="550">
        <v>6.61</v>
      </c>
      <c r="G333" s="550">
        <v>6.54</v>
      </c>
      <c r="H333" s="551">
        <v>5.4756549999999997</v>
      </c>
      <c r="I333" s="550">
        <v>258700</v>
      </c>
    </row>
    <row r="334" spans="1:9" x14ac:dyDescent="0.2">
      <c r="A334" s="549">
        <v>3080</v>
      </c>
      <c r="B334" s="549">
        <v>8</v>
      </c>
      <c r="C334" s="548">
        <v>41591</v>
      </c>
      <c r="D334" s="550">
        <v>6.56</v>
      </c>
      <c r="E334" s="550">
        <v>6.57</v>
      </c>
      <c r="F334" s="550">
        <v>6.66</v>
      </c>
      <c r="G334" s="550">
        <v>6.53</v>
      </c>
      <c r="H334" s="551">
        <v>5.492375</v>
      </c>
      <c r="I334" s="550">
        <v>372200</v>
      </c>
    </row>
    <row r="335" spans="1:9" x14ac:dyDescent="0.2">
      <c r="A335" s="549">
        <v>3081</v>
      </c>
      <c r="B335" s="549">
        <v>8</v>
      </c>
      <c r="C335" s="548">
        <v>41592</v>
      </c>
      <c r="D335" s="550">
        <v>6.72</v>
      </c>
      <c r="E335" s="550">
        <v>6.63</v>
      </c>
      <c r="F335" s="550">
        <v>6.75</v>
      </c>
      <c r="G335" s="550">
        <v>6.57</v>
      </c>
      <c r="H335" s="551">
        <v>5.5425329999999997</v>
      </c>
      <c r="I335" s="550">
        <v>502800</v>
      </c>
    </row>
    <row r="336" spans="1:9" x14ac:dyDescent="0.2">
      <c r="A336" s="549">
        <v>3082</v>
      </c>
      <c r="B336" s="549">
        <v>8</v>
      </c>
      <c r="C336" s="548">
        <v>41593</v>
      </c>
      <c r="D336" s="550">
        <v>6.59</v>
      </c>
      <c r="E336" s="550">
        <v>6.56</v>
      </c>
      <c r="F336" s="550">
        <v>6.63</v>
      </c>
      <c r="G336" s="550">
        <v>6.56</v>
      </c>
      <c r="H336" s="551">
        <v>5.4840150000000003</v>
      </c>
      <c r="I336" s="550">
        <v>582900</v>
      </c>
    </row>
    <row r="337" spans="1:9" x14ac:dyDescent="0.2">
      <c r="A337" s="549">
        <v>3083</v>
      </c>
      <c r="B337" s="549">
        <v>8</v>
      </c>
      <c r="C337" s="548">
        <v>41596</v>
      </c>
      <c r="D337" s="550">
        <v>6.58</v>
      </c>
      <c r="E337" s="550">
        <v>6.69</v>
      </c>
      <c r="F337" s="550">
        <v>6.73</v>
      </c>
      <c r="G337" s="550">
        <v>6.56</v>
      </c>
      <c r="H337" s="551">
        <v>5.5926910000000003</v>
      </c>
      <c r="I337" s="550">
        <v>683000</v>
      </c>
    </row>
    <row r="338" spans="1:9" x14ac:dyDescent="0.2">
      <c r="A338" s="549">
        <v>3084</v>
      </c>
      <c r="B338" s="549">
        <v>8</v>
      </c>
      <c r="C338" s="548">
        <v>41597</v>
      </c>
      <c r="D338" s="550">
        <v>6.66</v>
      </c>
      <c r="E338" s="550">
        <v>6.68</v>
      </c>
      <c r="F338" s="550">
        <v>6.83</v>
      </c>
      <c r="G338" s="550">
        <v>6.66</v>
      </c>
      <c r="H338" s="551">
        <v>5.5843319999999999</v>
      </c>
      <c r="I338" s="550">
        <v>608400</v>
      </c>
    </row>
    <row r="339" spans="1:9" x14ac:dyDescent="0.2">
      <c r="A339" s="549">
        <v>3085</v>
      </c>
      <c r="B339" s="549">
        <v>8</v>
      </c>
      <c r="C339" s="548">
        <v>41598</v>
      </c>
      <c r="D339" s="550">
        <v>6.68</v>
      </c>
      <c r="E339" s="550">
        <v>6.77</v>
      </c>
      <c r="F339" s="550">
        <v>6.79</v>
      </c>
      <c r="G339" s="550">
        <v>6.68</v>
      </c>
      <c r="H339" s="551">
        <v>5.6595700000000004</v>
      </c>
      <c r="I339" s="550">
        <v>488800</v>
      </c>
    </row>
    <row r="340" spans="1:9" x14ac:dyDescent="0.2">
      <c r="A340" s="549">
        <v>3086</v>
      </c>
      <c r="B340" s="549">
        <v>8</v>
      </c>
      <c r="C340" s="548">
        <v>41599</v>
      </c>
      <c r="D340" s="550">
        <v>6.76</v>
      </c>
      <c r="E340" s="550">
        <v>6.86</v>
      </c>
      <c r="F340" s="550">
        <v>6.88</v>
      </c>
      <c r="G340" s="550">
        <v>6.74</v>
      </c>
      <c r="H340" s="551">
        <v>5.7348080000000001</v>
      </c>
      <c r="I340" s="550">
        <v>356200</v>
      </c>
    </row>
    <row r="341" spans="1:9" x14ac:dyDescent="0.2">
      <c r="A341" s="549">
        <v>3087</v>
      </c>
      <c r="B341" s="549">
        <v>8</v>
      </c>
      <c r="C341" s="548">
        <v>41600</v>
      </c>
      <c r="D341" s="550">
        <v>6.88</v>
      </c>
      <c r="E341" s="550">
        <v>6.87</v>
      </c>
      <c r="F341" s="550">
        <v>6.91</v>
      </c>
      <c r="G341" s="550">
        <v>6.82</v>
      </c>
      <c r="H341" s="551">
        <v>5.743169</v>
      </c>
      <c r="I341" s="550">
        <v>393400</v>
      </c>
    </row>
    <row r="342" spans="1:9" x14ac:dyDescent="0.2">
      <c r="A342" s="549">
        <v>3088</v>
      </c>
      <c r="B342" s="549">
        <v>8</v>
      </c>
      <c r="C342" s="548">
        <v>41603</v>
      </c>
      <c r="D342" s="550">
        <v>6.87</v>
      </c>
      <c r="E342" s="550">
        <v>6.9</v>
      </c>
      <c r="F342" s="550">
        <v>6.92</v>
      </c>
      <c r="G342" s="550">
        <v>6.86</v>
      </c>
      <c r="H342" s="551">
        <v>5.7682469999999997</v>
      </c>
      <c r="I342" s="550">
        <v>286600</v>
      </c>
    </row>
    <row r="343" spans="1:9" x14ac:dyDescent="0.2">
      <c r="A343" s="549">
        <v>3089</v>
      </c>
      <c r="B343" s="549">
        <v>8</v>
      </c>
      <c r="C343" s="548">
        <v>41604</v>
      </c>
      <c r="D343" s="550">
        <v>6.9</v>
      </c>
      <c r="E343" s="550">
        <v>6.87</v>
      </c>
      <c r="F343" s="550">
        <v>6.94</v>
      </c>
      <c r="G343" s="550">
        <v>6.83</v>
      </c>
      <c r="H343" s="551">
        <v>5.743169</v>
      </c>
      <c r="I343" s="550">
        <v>1375400</v>
      </c>
    </row>
    <row r="344" spans="1:9" x14ac:dyDescent="0.2">
      <c r="A344" s="549">
        <v>3090</v>
      </c>
      <c r="B344" s="549">
        <v>8</v>
      </c>
      <c r="C344" s="548">
        <v>41605</v>
      </c>
      <c r="D344" s="550">
        <v>6.84</v>
      </c>
      <c r="E344" s="550">
        <v>6.81</v>
      </c>
      <c r="F344" s="550">
        <v>6.89</v>
      </c>
      <c r="G344" s="550">
        <v>6.78</v>
      </c>
      <c r="H344" s="551">
        <v>5.6930079999999998</v>
      </c>
      <c r="I344" s="550">
        <v>520500</v>
      </c>
    </row>
    <row r="345" spans="1:9" x14ac:dyDescent="0.2">
      <c r="A345" s="549">
        <v>3091</v>
      </c>
      <c r="B345" s="549">
        <v>8</v>
      </c>
      <c r="C345" s="548">
        <v>41606</v>
      </c>
      <c r="D345" s="550">
        <v>6.75</v>
      </c>
      <c r="E345" s="550">
        <v>6.83</v>
      </c>
      <c r="F345" s="550">
        <v>6.89</v>
      </c>
      <c r="G345" s="550">
        <v>6.75</v>
      </c>
      <c r="H345" s="551">
        <v>5.7097290000000003</v>
      </c>
      <c r="I345" s="550">
        <v>160500</v>
      </c>
    </row>
    <row r="346" spans="1:9" x14ac:dyDescent="0.2">
      <c r="A346" s="549">
        <v>3092</v>
      </c>
      <c r="B346" s="549">
        <v>8</v>
      </c>
      <c r="C346" s="548">
        <v>41607</v>
      </c>
      <c r="D346" s="550">
        <v>6.87</v>
      </c>
      <c r="E346" s="550">
        <v>6.78</v>
      </c>
      <c r="F346" s="550">
        <v>6.88</v>
      </c>
      <c r="G346" s="550">
        <v>6.75</v>
      </c>
      <c r="H346" s="551">
        <v>5.6679310000000003</v>
      </c>
      <c r="I346" s="550">
        <v>329300</v>
      </c>
    </row>
    <row r="347" spans="1:9" x14ac:dyDescent="0.2">
      <c r="A347" s="549">
        <v>3093</v>
      </c>
      <c r="B347" s="549">
        <v>8</v>
      </c>
      <c r="C347" s="548">
        <v>41610</v>
      </c>
      <c r="D347" s="550">
        <v>6.82</v>
      </c>
      <c r="E347" s="550">
        <v>6.95</v>
      </c>
      <c r="F347" s="550">
        <v>6.95</v>
      </c>
      <c r="G347" s="550">
        <v>6.81</v>
      </c>
      <c r="H347" s="551">
        <v>5.8100459999999998</v>
      </c>
      <c r="I347" s="550">
        <v>798400</v>
      </c>
    </row>
    <row r="348" spans="1:9" x14ac:dyDescent="0.2">
      <c r="A348" s="549">
        <v>3094</v>
      </c>
      <c r="B348" s="549">
        <v>8</v>
      </c>
      <c r="C348" s="548">
        <v>41611</v>
      </c>
      <c r="D348" s="550">
        <v>6.96</v>
      </c>
      <c r="E348" s="550">
        <v>7.16</v>
      </c>
      <c r="F348" s="550">
        <v>7.16</v>
      </c>
      <c r="G348" s="550">
        <v>6.95</v>
      </c>
      <c r="H348" s="551">
        <v>5.9856020000000001</v>
      </c>
      <c r="I348" s="550">
        <v>625600</v>
      </c>
    </row>
    <row r="349" spans="1:9" x14ac:dyDescent="0.2">
      <c r="A349" s="549">
        <v>3095</v>
      </c>
      <c r="B349" s="549">
        <v>8</v>
      </c>
      <c r="C349" s="548">
        <v>41612</v>
      </c>
      <c r="D349" s="550">
        <v>7.11</v>
      </c>
      <c r="E349" s="550">
        <v>7.08</v>
      </c>
      <c r="F349" s="550">
        <v>7.14</v>
      </c>
      <c r="G349" s="550">
        <v>7</v>
      </c>
      <c r="H349" s="551">
        <v>5.9187240000000001</v>
      </c>
      <c r="I349" s="550">
        <v>659600</v>
      </c>
    </row>
    <row r="350" spans="1:9" x14ac:dyDescent="0.2">
      <c r="A350" s="549">
        <v>3096</v>
      </c>
      <c r="B350" s="549">
        <v>8</v>
      </c>
      <c r="C350" s="548">
        <v>41613</v>
      </c>
      <c r="D350" s="550">
        <v>7.07</v>
      </c>
      <c r="E350" s="550">
        <v>7.05</v>
      </c>
      <c r="F350" s="550">
        <v>7.09</v>
      </c>
      <c r="G350" s="550">
        <v>6.99</v>
      </c>
      <c r="H350" s="551">
        <v>5.8936440000000001</v>
      </c>
      <c r="I350" s="550">
        <v>261300</v>
      </c>
    </row>
    <row r="351" spans="1:9" x14ac:dyDescent="0.2">
      <c r="A351" s="549">
        <v>3097</v>
      </c>
      <c r="B351" s="549">
        <v>8</v>
      </c>
      <c r="C351" s="548">
        <v>41614</v>
      </c>
      <c r="D351" s="550">
        <v>7.04</v>
      </c>
      <c r="E351" s="550">
        <v>7.05</v>
      </c>
      <c r="F351" s="550">
        <v>7.08</v>
      </c>
      <c r="G351" s="550">
        <v>7.01</v>
      </c>
      <c r="H351" s="551">
        <v>5.8936440000000001</v>
      </c>
      <c r="I351" s="550">
        <v>149100</v>
      </c>
    </row>
    <row r="352" spans="1:9" x14ac:dyDescent="0.2">
      <c r="A352" s="549">
        <v>3098</v>
      </c>
      <c r="B352" s="549">
        <v>8</v>
      </c>
      <c r="C352" s="548">
        <v>41617</v>
      </c>
      <c r="D352" s="550">
        <v>7.08</v>
      </c>
      <c r="E352" s="550">
        <v>7.08</v>
      </c>
      <c r="F352" s="550">
        <v>7.11</v>
      </c>
      <c r="G352" s="550">
        <v>7.03</v>
      </c>
      <c r="H352" s="551">
        <v>5.9187240000000001</v>
      </c>
      <c r="I352" s="550">
        <v>476600</v>
      </c>
    </row>
    <row r="353" spans="1:9" x14ac:dyDescent="0.2">
      <c r="A353" s="549">
        <v>3099</v>
      </c>
      <c r="B353" s="549">
        <v>8</v>
      </c>
      <c r="C353" s="548">
        <v>41618</v>
      </c>
      <c r="D353" s="550">
        <v>7.06</v>
      </c>
      <c r="E353" s="550">
        <v>7.17</v>
      </c>
      <c r="F353" s="550">
        <v>7.23</v>
      </c>
      <c r="G353" s="550">
        <v>7.05</v>
      </c>
      <c r="H353" s="551">
        <v>5.9939609999999997</v>
      </c>
      <c r="I353" s="550">
        <v>409100</v>
      </c>
    </row>
    <row r="354" spans="1:9" x14ac:dyDescent="0.2">
      <c r="A354" s="549">
        <v>3100</v>
      </c>
      <c r="B354" s="549">
        <v>8</v>
      </c>
      <c r="C354" s="548">
        <v>41619</v>
      </c>
      <c r="D354" s="550">
        <v>7.14</v>
      </c>
      <c r="E354" s="550">
        <v>7.08</v>
      </c>
      <c r="F354" s="550">
        <v>7.16</v>
      </c>
      <c r="G354" s="550">
        <v>7.01</v>
      </c>
      <c r="H354" s="551">
        <v>5.9187240000000001</v>
      </c>
      <c r="I354" s="550">
        <v>918000</v>
      </c>
    </row>
    <row r="355" spans="1:9" x14ac:dyDescent="0.2">
      <c r="A355" s="549">
        <v>3101</v>
      </c>
      <c r="B355" s="549">
        <v>8</v>
      </c>
      <c r="C355" s="548">
        <v>41620</v>
      </c>
      <c r="D355" s="550">
        <v>7.05</v>
      </c>
      <c r="E355" s="550">
        <v>7.09</v>
      </c>
      <c r="F355" s="550">
        <v>7.15</v>
      </c>
      <c r="G355" s="550">
        <v>7.01</v>
      </c>
      <c r="H355" s="551">
        <v>5.9270829999999997</v>
      </c>
      <c r="I355" s="550">
        <v>772400</v>
      </c>
    </row>
    <row r="356" spans="1:9" x14ac:dyDescent="0.2">
      <c r="A356" s="549">
        <v>3102</v>
      </c>
      <c r="B356" s="549">
        <v>8</v>
      </c>
      <c r="C356" s="548">
        <v>41621</v>
      </c>
      <c r="D356" s="550">
        <v>7.08</v>
      </c>
      <c r="E356" s="550">
        <v>7.1</v>
      </c>
      <c r="F356" s="550">
        <v>7.15</v>
      </c>
      <c r="G356" s="550">
        <v>7.05</v>
      </c>
      <c r="H356" s="551">
        <v>5.9354420000000001</v>
      </c>
      <c r="I356" s="550">
        <v>133800</v>
      </c>
    </row>
    <row r="357" spans="1:9" x14ac:dyDescent="0.2">
      <c r="A357" s="549">
        <v>3103</v>
      </c>
      <c r="B357" s="549">
        <v>8</v>
      </c>
      <c r="C357" s="548">
        <v>41624</v>
      </c>
      <c r="D357" s="550">
        <v>7.1</v>
      </c>
      <c r="E357" s="550">
        <v>7.17</v>
      </c>
      <c r="F357" s="550">
        <v>7.24</v>
      </c>
      <c r="G357" s="550">
        <v>7.1</v>
      </c>
      <c r="H357" s="551">
        <v>5.9939609999999997</v>
      </c>
      <c r="I357" s="550">
        <v>213500</v>
      </c>
    </row>
    <row r="358" spans="1:9" x14ac:dyDescent="0.2">
      <c r="A358" s="549">
        <v>3104</v>
      </c>
      <c r="B358" s="549">
        <v>8</v>
      </c>
      <c r="C358" s="548">
        <v>41625</v>
      </c>
      <c r="D358" s="550">
        <v>7.23</v>
      </c>
      <c r="E358" s="550">
        <v>7.27</v>
      </c>
      <c r="F358" s="550">
        <v>7.28</v>
      </c>
      <c r="G358" s="550">
        <v>7.16</v>
      </c>
      <c r="H358" s="551">
        <v>6.0775600000000001</v>
      </c>
      <c r="I358" s="550">
        <v>695800</v>
      </c>
    </row>
    <row r="359" spans="1:9" x14ac:dyDescent="0.2">
      <c r="A359" s="549">
        <v>3105</v>
      </c>
      <c r="B359" s="549">
        <v>8</v>
      </c>
      <c r="C359" s="548">
        <v>41626</v>
      </c>
      <c r="D359" s="550">
        <v>7.28</v>
      </c>
      <c r="E359" s="550">
        <v>7.32</v>
      </c>
      <c r="F359" s="550">
        <v>7.34</v>
      </c>
      <c r="G359" s="550">
        <v>7.25</v>
      </c>
      <c r="H359" s="551">
        <v>6.1193580000000001</v>
      </c>
      <c r="I359" s="550">
        <v>329700</v>
      </c>
    </row>
    <row r="360" spans="1:9" x14ac:dyDescent="0.2">
      <c r="A360" s="549">
        <v>3106</v>
      </c>
      <c r="B360" s="549">
        <v>8</v>
      </c>
      <c r="C360" s="548">
        <v>41627</v>
      </c>
      <c r="D360" s="550">
        <v>7.33</v>
      </c>
      <c r="E360" s="550">
        <v>7.29</v>
      </c>
      <c r="F360" s="550">
        <v>7.38</v>
      </c>
      <c r="G360" s="550">
        <v>7.22</v>
      </c>
      <c r="H360" s="551">
        <v>6.0942790000000002</v>
      </c>
      <c r="I360" s="550">
        <v>311100</v>
      </c>
    </row>
    <row r="361" spans="1:9" x14ac:dyDescent="0.2">
      <c r="A361" s="549">
        <v>3107</v>
      </c>
      <c r="B361" s="549">
        <v>8</v>
      </c>
      <c r="C361" s="548">
        <v>41628</v>
      </c>
      <c r="D361" s="550">
        <v>7.31</v>
      </c>
      <c r="E361" s="550">
        <v>7.4</v>
      </c>
      <c r="F361" s="550">
        <v>7.45</v>
      </c>
      <c r="G361" s="550">
        <v>7.27</v>
      </c>
      <c r="H361" s="551">
        <v>6.1862370000000002</v>
      </c>
      <c r="I361" s="550">
        <v>1276200</v>
      </c>
    </row>
    <row r="362" spans="1:9" x14ac:dyDescent="0.2">
      <c r="A362" s="549">
        <v>3108</v>
      </c>
      <c r="B362" s="549">
        <v>8</v>
      </c>
      <c r="C362" s="548">
        <v>41631</v>
      </c>
      <c r="D362" s="550">
        <v>7.37</v>
      </c>
      <c r="E362" s="550">
        <v>7.34</v>
      </c>
      <c r="F362" s="550">
        <v>7.47</v>
      </c>
      <c r="G362" s="550">
        <v>7.3</v>
      </c>
      <c r="H362" s="551">
        <v>6.1360780000000004</v>
      </c>
      <c r="I362" s="550">
        <v>182500</v>
      </c>
    </row>
    <row r="363" spans="1:9" x14ac:dyDescent="0.2">
      <c r="A363" s="549">
        <v>3109</v>
      </c>
      <c r="B363" s="549">
        <v>8</v>
      </c>
      <c r="C363" s="548">
        <v>41632</v>
      </c>
      <c r="D363" s="550">
        <v>7.3</v>
      </c>
      <c r="E363" s="550">
        <v>7.3</v>
      </c>
      <c r="F363" s="550">
        <v>7.4</v>
      </c>
      <c r="G363" s="550">
        <v>7.29</v>
      </c>
      <c r="H363" s="551">
        <v>6.1026389999999999</v>
      </c>
      <c r="I363" s="550">
        <v>73300</v>
      </c>
    </row>
    <row r="364" spans="1:9" x14ac:dyDescent="0.2">
      <c r="A364" s="549">
        <v>3110</v>
      </c>
      <c r="B364" s="549">
        <v>8</v>
      </c>
      <c r="C364" s="548">
        <v>41635</v>
      </c>
      <c r="D364" s="550">
        <v>7.3</v>
      </c>
      <c r="E364" s="550">
        <v>7.33</v>
      </c>
      <c r="F364" s="550">
        <v>7.33</v>
      </c>
      <c r="G364" s="550">
        <v>7.2</v>
      </c>
      <c r="H364" s="551">
        <v>6.1999089999999999</v>
      </c>
      <c r="I364" s="550">
        <v>169400</v>
      </c>
    </row>
    <row r="365" spans="1:9" x14ac:dyDescent="0.2">
      <c r="A365" s="549">
        <v>3111</v>
      </c>
      <c r="B365" s="549">
        <v>8</v>
      </c>
      <c r="C365" s="548">
        <v>41638</v>
      </c>
      <c r="D365" s="550">
        <v>7.3</v>
      </c>
      <c r="E365" s="550">
        <v>7.32</v>
      </c>
      <c r="F365" s="550">
        <v>7.33</v>
      </c>
      <c r="G365" s="550">
        <v>7.22</v>
      </c>
      <c r="H365" s="551">
        <v>6.1914499999999997</v>
      </c>
      <c r="I365" s="550">
        <v>203100</v>
      </c>
    </row>
    <row r="366" spans="1:9" x14ac:dyDescent="0.2">
      <c r="A366" s="549">
        <v>3112</v>
      </c>
      <c r="B366" s="549">
        <v>8</v>
      </c>
      <c r="C366" s="548">
        <v>41639</v>
      </c>
      <c r="D366" s="550">
        <v>7.32</v>
      </c>
      <c r="E366" s="550">
        <v>7.34</v>
      </c>
      <c r="F366" s="550">
        <v>7.34</v>
      </c>
      <c r="G366" s="550">
        <v>7.23</v>
      </c>
      <c r="H366" s="551">
        <v>6.208367</v>
      </c>
      <c r="I366" s="550">
        <v>117600</v>
      </c>
    </row>
    <row r="367" spans="1:9" x14ac:dyDescent="0.2">
      <c r="A367" s="549">
        <v>3113</v>
      </c>
      <c r="B367" s="549">
        <v>8</v>
      </c>
      <c r="C367" s="548">
        <v>41641</v>
      </c>
      <c r="D367" s="550">
        <v>7.34</v>
      </c>
      <c r="E367" s="550">
        <v>7.28</v>
      </c>
      <c r="F367" s="550">
        <v>7.34</v>
      </c>
      <c r="G367" s="550">
        <v>7.21</v>
      </c>
      <c r="H367" s="551">
        <v>6.1576170000000001</v>
      </c>
      <c r="I367" s="550">
        <v>178800</v>
      </c>
    </row>
    <row r="368" spans="1:9" x14ac:dyDescent="0.2">
      <c r="A368" s="549">
        <v>3114</v>
      </c>
      <c r="B368" s="549">
        <v>8</v>
      </c>
      <c r="C368" s="548">
        <v>41642</v>
      </c>
      <c r="D368" s="550">
        <v>7.25</v>
      </c>
      <c r="E368" s="550">
        <v>7.11</v>
      </c>
      <c r="F368" s="550">
        <v>7.25</v>
      </c>
      <c r="G368" s="550">
        <v>7.05</v>
      </c>
      <c r="H368" s="551">
        <v>6.0138259999999999</v>
      </c>
      <c r="I368" s="550">
        <v>651100</v>
      </c>
    </row>
    <row r="369" spans="1:9" x14ac:dyDescent="0.2">
      <c r="A369" s="549">
        <v>3115</v>
      </c>
      <c r="B369" s="549">
        <v>8</v>
      </c>
      <c r="C369" s="548">
        <v>41645</v>
      </c>
      <c r="D369" s="550">
        <v>7.11</v>
      </c>
      <c r="E369" s="550">
        <v>7.22</v>
      </c>
      <c r="F369" s="550">
        <v>7.22</v>
      </c>
      <c r="G369" s="550">
        <v>7.11</v>
      </c>
      <c r="H369" s="551">
        <v>6.1068670000000003</v>
      </c>
      <c r="I369" s="550">
        <v>273100</v>
      </c>
    </row>
    <row r="370" spans="1:9" x14ac:dyDescent="0.2">
      <c r="A370" s="549">
        <v>3116</v>
      </c>
      <c r="B370" s="549">
        <v>8</v>
      </c>
      <c r="C370" s="548">
        <v>41646</v>
      </c>
      <c r="D370" s="550">
        <v>7.24</v>
      </c>
      <c r="E370" s="550">
        <v>7.35</v>
      </c>
      <c r="F370" s="550">
        <v>7.36</v>
      </c>
      <c r="G370" s="550">
        <v>7.21</v>
      </c>
      <c r="H370" s="551">
        <v>6.216825</v>
      </c>
      <c r="I370" s="550">
        <v>301300</v>
      </c>
    </row>
    <row r="371" spans="1:9" x14ac:dyDescent="0.2">
      <c r="A371" s="549">
        <v>3117</v>
      </c>
      <c r="B371" s="549">
        <v>8</v>
      </c>
      <c r="C371" s="548">
        <v>41647</v>
      </c>
      <c r="D371" s="550">
        <v>7.38</v>
      </c>
      <c r="E371" s="550">
        <v>7.41</v>
      </c>
      <c r="F371" s="550">
        <v>7.41</v>
      </c>
      <c r="G371" s="550">
        <v>7.3</v>
      </c>
      <c r="H371" s="551">
        <v>6.2675739999999998</v>
      </c>
      <c r="I371" s="550">
        <v>353600</v>
      </c>
    </row>
    <row r="372" spans="1:9" x14ac:dyDescent="0.2">
      <c r="A372" s="549">
        <v>3118</v>
      </c>
      <c r="B372" s="549">
        <v>8</v>
      </c>
      <c r="C372" s="548">
        <v>41648</v>
      </c>
      <c r="D372" s="550">
        <v>7.4</v>
      </c>
      <c r="E372" s="550">
        <v>7.3</v>
      </c>
      <c r="F372" s="550">
        <v>7.43</v>
      </c>
      <c r="G372" s="550">
        <v>7.27</v>
      </c>
      <c r="H372" s="551">
        <v>6.1745349999999997</v>
      </c>
      <c r="I372" s="550">
        <v>491100</v>
      </c>
    </row>
    <row r="373" spans="1:9" x14ac:dyDescent="0.2">
      <c r="A373" s="549">
        <v>3119</v>
      </c>
      <c r="B373" s="549">
        <v>8</v>
      </c>
      <c r="C373" s="548">
        <v>41649</v>
      </c>
      <c r="D373" s="550">
        <v>7.33</v>
      </c>
      <c r="E373" s="550">
        <v>7.31</v>
      </c>
      <c r="F373" s="550">
        <v>7.36</v>
      </c>
      <c r="G373" s="550">
        <v>7.28</v>
      </c>
      <c r="H373" s="551">
        <v>6.1829919999999996</v>
      </c>
      <c r="I373" s="550">
        <v>411800</v>
      </c>
    </row>
    <row r="374" spans="1:9" x14ac:dyDescent="0.2">
      <c r="A374" s="549">
        <v>3120</v>
      </c>
      <c r="B374" s="549">
        <v>8</v>
      </c>
      <c r="C374" s="548">
        <v>41652</v>
      </c>
      <c r="D374" s="550">
        <v>7.33</v>
      </c>
      <c r="E374" s="550">
        <v>7.27</v>
      </c>
      <c r="F374" s="550">
        <v>7.33</v>
      </c>
      <c r="G374" s="550">
        <v>7.23</v>
      </c>
      <c r="H374" s="551">
        <v>6.149159</v>
      </c>
      <c r="I374" s="550">
        <v>302500</v>
      </c>
    </row>
    <row r="375" spans="1:9" x14ac:dyDescent="0.2">
      <c r="A375" s="549">
        <v>3121</v>
      </c>
      <c r="B375" s="549">
        <v>8</v>
      </c>
      <c r="C375" s="548">
        <v>41653</v>
      </c>
      <c r="D375" s="550">
        <v>7.24</v>
      </c>
      <c r="E375" s="550">
        <v>7.17</v>
      </c>
      <c r="F375" s="550">
        <v>7.27</v>
      </c>
      <c r="G375" s="550">
        <v>7.12</v>
      </c>
      <c r="H375" s="551">
        <v>6.0645759999999997</v>
      </c>
      <c r="I375" s="550">
        <v>351800</v>
      </c>
    </row>
    <row r="376" spans="1:9" x14ac:dyDescent="0.2">
      <c r="A376" s="549">
        <v>3122</v>
      </c>
      <c r="B376" s="549">
        <v>8</v>
      </c>
      <c r="C376" s="548">
        <v>41654</v>
      </c>
      <c r="D376" s="550">
        <v>7.21</v>
      </c>
      <c r="E376" s="550">
        <v>7.14</v>
      </c>
      <c r="F376" s="550">
        <v>7.23</v>
      </c>
      <c r="G376" s="550">
        <v>7.14</v>
      </c>
      <c r="H376" s="551">
        <v>6.0392010000000003</v>
      </c>
      <c r="I376" s="550">
        <v>372300</v>
      </c>
    </row>
    <row r="377" spans="1:9" x14ac:dyDescent="0.2">
      <c r="A377" s="549">
        <v>3123</v>
      </c>
      <c r="B377" s="549">
        <v>8</v>
      </c>
      <c r="C377" s="548">
        <v>41655</v>
      </c>
      <c r="D377" s="550">
        <v>7.18</v>
      </c>
      <c r="E377" s="550">
        <v>7.27</v>
      </c>
      <c r="F377" s="550">
        <v>7.3</v>
      </c>
      <c r="G377" s="550">
        <v>7.15</v>
      </c>
      <c r="H377" s="551">
        <v>6.149159</v>
      </c>
      <c r="I377" s="550">
        <v>598900</v>
      </c>
    </row>
    <row r="378" spans="1:9" x14ac:dyDescent="0.2">
      <c r="A378" s="549">
        <v>3124</v>
      </c>
      <c r="B378" s="549">
        <v>8</v>
      </c>
      <c r="C378" s="548">
        <v>41656</v>
      </c>
      <c r="D378" s="550">
        <v>7.28</v>
      </c>
      <c r="E378" s="550">
        <v>7.19</v>
      </c>
      <c r="F378" s="550">
        <v>7.29</v>
      </c>
      <c r="G378" s="550">
        <v>7.19</v>
      </c>
      <c r="H378" s="551">
        <v>6.0814919999999999</v>
      </c>
      <c r="I378" s="550">
        <v>1490900</v>
      </c>
    </row>
    <row r="379" spans="1:9" x14ac:dyDescent="0.2">
      <c r="A379" s="549">
        <v>3125</v>
      </c>
      <c r="B379" s="549">
        <v>8</v>
      </c>
      <c r="C379" s="548">
        <v>41659</v>
      </c>
      <c r="D379" s="550">
        <v>7.19</v>
      </c>
      <c r="E379" s="550">
        <v>7.35</v>
      </c>
      <c r="F379" s="550">
        <v>7.39</v>
      </c>
      <c r="G379" s="550">
        <v>7.19</v>
      </c>
      <c r="H379" s="551">
        <v>6.216825</v>
      </c>
      <c r="I379" s="550">
        <v>436900</v>
      </c>
    </row>
    <row r="380" spans="1:9" x14ac:dyDescent="0.2">
      <c r="A380" s="549">
        <v>3126</v>
      </c>
      <c r="B380" s="549">
        <v>8</v>
      </c>
      <c r="C380" s="548">
        <v>41660</v>
      </c>
      <c r="D380" s="550">
        <v>7.35</v>
      </c>
      <c r="E380" s="550">
        <v>7.33</v>
      </c>
      <c r="F380" s="550">
        <v>7.39</v>
      </c>
      <c r="G380" s="550">
        <v>7.27</v>
      </c>
      <c r="H380" s="551">
        <v>6.1999089999999999</v>
      </c>
      <c r="I380" s="550">
        <v>304100</v>
      </c>
    </row>
    <row r="381" spans="1:9" x14ac:dyDescent="0.2">
      <c r="A381" s="549">
        <v>3127</v>
      </c>
      <c r="B381" s="549">
        <v>8</v>
      </c>
      <c r="C381" s="548">
        <v>41661</v>
      </c>
      <c r="D381" s="550">
        <v>7.31</v>
      </c>
      <c r="E381" s="550">
        <v>7.34</v>
      </c>
      <c r="F381" s="550">
        <v>7.35</v>
      </c>
      <c r="G381" s="550">
        <v>7.28</v>
      </c>
      <c r="H381" s="551">
        <v>6.208367</v>
      </c>
      <c r="I381" s="550">
        <v>225100</v>
      </c>
    </row>
    <row r="382" spans="1:9" x14ac:dyDescent="0.2">
      <c r="A382" s="549">
        <v>3128</v>
      </c>
      <c r="B382" s="549">
        <v>8</v>
      </c>
      <c r="C382" s="548">
        <v>41662</v>
      </c>
      <c r="D382" s="550">
        <v>7.26</v>
      </c>
      <c r="E382" s="550">
        <v>7.22</v>
      </c>
      <c r="F382" s="550">
        <v>7.29</v>
      </c>
      <c r="G382" s="550">
        <v>7.17</v>
      </c>
      <c r="H382" s="551">
        <v>6.1068670000000003</v>
      </c>
      <c r="I382" s="550">
        <v>273700</v>
      </c>
    </row>
    <row r="383" spans="1:9" x14ac:dyDescent="0.2">
      <c r="A383" s="549">
        <v>3129</v>
      </c>
      <c r="B383" s="549">
        <v>8</v>
      </c>
      <c r="C383" s="548">
        <v>41663</v>
      </c>
      <c r="D383" s="550">
        <v>7.22</v>
      </c>
      <c r="E383" s="550">
        <v>7.13</v>
      </c>
      <c r="F383" s="550">
        <v>7.22</v>
      </c>
      <c r="G383" s="550">
        <v>7.12</v>
      </c>
      <c r="H383" s="551">
        <v>6.0307440000000003</v>
      </c>
      <c r="I383" s="550">
        <v>256100</v>
      </c>
    </row>
    <row r="384" spans="1:9" x14ac:dyDescent="0.2">
      <c r="A384" s="549">
        <v>3130</v>
      </c>
      <c r="B384" s="549">
        <v>8</v>
      </c>
      <c r="C384" s="548">
        <v>41666</v>
      </c>
      <c r="D384" s="550">
        <v>7.13</v>
      </c>
      <c r="E384" s="550">
        <v>7.04</v>
      </c>
      <c r="F384" s="550">
        <v>7.15</v>
      </c>
      <c r="G384" s="550">
        <v>7.04</v>
      </c>
      <c r="H384" s="551">
        <v>5.954618</v>
      </c>
      <c r="I384" s="550">
        <v>232100</v>
      </c>
    </row>
    <row r="385" spans="1:9" x14ac:dyDescent="0.2">
      <c r="A385" s="549">
        <v>3131</v>
      </c>
      <c r="B385" s="549">
        <v>8</v>
      </c>
      <c r="C385" s="548">
        <v>41667</v>
      </c>
      <c r="D385" s="550">
        <v>7.06</v>
      </c>
      <c r="E385" s="550">
        <v>7.18</v>
      </c>
      <c r="F385" s="550">
        <v>7.18</v>
      </c>
      <c r="G385" s="550">
        <v>7.05</v>
      </c>
      <c r="H385" s="551">
        <v>6.0730339999999998</v>
      </c>
      <c r="I385" s="550">
        <v>411700</v>
      </c>
    </row>
    <row r="386" spans="1:9" x14ac:dyDescent="0.2">
      <c r="A386" s="549">
        <v>3132</v>
      </c>
      <c r="B386" s="549">
        <v>8</v>
      </c>
      <c r="C386" s="548">
        <v>41668</v>
      </c>
      <c r="D386" s="550">
        <v>7.17</v>
      </c>
      <c r="E386" s="550">
        <v>7.2</v>
      </c>
      <c r="F386" s="550">
        <v>7.25</v>
      </c>
      <c r="G386" s="550">
        <v>7.14</v>
      </c>
      <c r="H386" s="551">
        <v>6.0899510000000001</v>
      </c>
      <c r="I386" s="550">
        <v>649200</v>
      </c>
    </row>
    <row r="387" spans="1:9" x14ac:dyDescent="0.2">
      <c r="A387" s="549">
        <v>3133</v>
      </c>
      <c r="B387" s="549">
        <v>8</v>
      </c>
      <c r="C387" s="548">
        <v>41669</v>
      </c>
      <c r="D387" s="550">
        <v>7.19</v>
      </c>
      <c r="E387" s="550">
        <v>7.27</v>
      </c>
      <c r="F387" s="550">
        <v>7.27</v>
      </c>
      <c r="G387" s="550">
        <v>7.17</v>
      </c>
      <c r="H387" s="551">
        <v>6.149159</v>
      </c>
      <c r="I387" s="550">
        <v>263700</v>
      </c>
    </row>
    <row r="388" spans="1:9" x14ac:dyDescent="0.2">
      <c r="A388" s="549">
        <v>3134</v>
      </c>
      <c r="B388" s="549">
        <v>8</v>
      </c>
      <c r="C388" s="548">
        <v>41670</v>
      </c>
      <c r="D388" s="550">
        <v>7.18</v>
      </c>
      <c r="E388" s="550">
        <v>7.29</v>
      </c>
      <c r="F388" s="550">
        <v>7.3</v>
      </c>
      <c r="G388" s="550">
        <v>7.18</v>
      </c>
      <c r="H388" s="551">
        <v>6.1660760000000003</v>
      </c>
      <c r="I388" s="550">
        <v>250000</v>
      </c>
    </row>
    <row r="389" spans="1:9" x14ac:dyDescent="0.2">
      <c r="A389" s="549">
        <v>3135</v>
      </c>
      <c r="B389" s="549">
        <v>8</v>
      </c>
      <c r="C389" s="548">
        <v>41673</v>
      </c>
      <c r="D389" s="550">
        <v>7.26</v>
      </c>
      <c r="E389" s="550">
        <v>7.16</v>
      </c>
      <c r="F389" s="550">
        <v>7.27</v>
      </c>
      <c r="G389" s="550">
        <v>7.11</v>
      </c>
      <c r="H389" s="551">
        <v>6.0561179999999997</v>
      </c>
      <c r="I389" s="550">
        <v>236100</v>
      </c>
    </row>
    <row r="390" spans="1:9" x14ac:dyDescent="0.2">
      <c r="A390" s="549">
        <v>3136</v>
      </c>
      <c r="B390" s="549">
        <v>8</v>
      </c>
      <c r="C390" s="548">
        <v>41674</v>
      </c>
      <c r="D390" s="550">
        <v>7.1</v>
      </c>
      <c r="E390" s="550">
        <v>7.16</v>
      </c>
      <c r="F390" s="550">
        <v>7.18</v>
      </c>
      <c r="G390" s="550">
        <v>7.08</v>
      </c>
      <c r="H390" s="551">
        <v>6.0561179999999997</v>
      </c>
      <c r="I390" s="550">
        <v>303100</v>
      </c>
    </row>
    <row r="391" spans="1:9" x14ac:dyDescent="0.2">
      <c r="A391" s="549">
        <v>3137</v>
      </c>
      <c r="B391" s="549">
        <v>8</v>
      </c>
      <c r="C391" s="548">
        <v>41675</v>
      </c>
      <c r="D391" s="550">
        <v>7.14</v>
      </c>
      <c r="E391" s="550">
        <v>7.24</v>
      </c>
      <c r="F391" s="550">
        <v>7.25</v>
      </c>
      <c r="G391" s="550">
        <v>7.12</v>
      </c>
      <c r="H391" s="551">
        <v>6.1237830000000004</v>
      </c>
      <c r="I391" s="550">
        <v>233000</v>
      </c>
    </row>
    <row r="392" spans="1:9" x14ac:dyDescent="0.2">
      <c r="A392" s="549">
        <v>3138</v>
      </c>
      <c r="B392" s="549">
        <v>8</v>
      </c>
      <c r="C392" s="548">
        <v>41676</v>
      </c>
      <c r="D392" s="550">
        <v>7.24</v>
      </c>
      <c r="E392" s="550">
        <v>7.3</v>
      </c>
      <c r="F392" s="550">
        <v>7.3</v>
      </c>
      <c r="G392" s="550">
        <v>7.18</v>
      </c>
      <c r="H392" s="551">
        <v>6.1745349999999997</v>
      </c>
      <c r="I392" s="550">
        <v>348500</v>
      </c>
    </row>
    <row r="393" spans="1:9" x14ac:dyDescent="0.2">
      <c r="A393" s="549">
        <v>3139</v>
      </c>
      <c r="B393" s="549">
        <v>8</v>
      </c>
      <c r="C393" s="548">
        <v>41677</v>
      </c>
      <c r="D393" s="550">
        <v>7.33</v>
      </c>
      <c r="E393" s="550">
        <v>7.39</v>
      </c>
      <c r="F393" s="550">
        <v>7.4</v>
      </c>
      <c r="G393" s="550">
        <v>7.24</v>
      </c>
      <c r="H393" s="551">
        <v>6.2506579999999996</v>
      </c>
      <c r="I393" s="550">
        <v>411200</v>
      </c>
    </row>
    <row r="394" spans="1:9" x14ac:dyDescent="0.2">
      <c r="A394" s="549">
        <v>3140</v>
      </c>
      <c r="B394" s="549">
        <v>8</v>
      </c>
      <c r="C394" s="548">
        <v>41680</v>
      </c>
      <c r="D394" s="550">
        <v>7.39</v>
      </c>
      <c r="E394" s="550">
        <v>7.37</v>
      </c>
      <c r="F394" s="550">
        <v>7.39</v>
      </c>
      <c r="G394" s="550">
        <v>7.3</v>
      </c>
      <c r="H394" s="551">
        <v>6.2337410000000002</v>
      </c>
      <c r="I394" s="550">
        <v>403800</v>
      </c>
    </row>
    <row r="395" spans="1:9" x14ac:dyDescent="0.2">
      <c r="A395" s="549">
        <v>3141</v>
      </c>
      <c r="B395" s="549">
        <v>8</v>
      </c>
      <c r="C395" s="548">
        <v>41681</v>
      </c>
      <c r="D395" s="550">
        <v>7.34</v>
      </c>
      <c r="E395" s="550">
        <v>7.41</v>
      </c>
      <c r="F395" s="550">
        <v>7.43</v>
      </c>
      <c r="G395" s="550">
        <v>7.3</v>
      </c>
      <c r="H395" s="551">
        <v>6.2675739999999998</v>
      </c>
      <c r="I395" s="550">
        <v>568700</v>
      </c>
    </row>
    <row r="396" spans="1:9" x14ac:dyDescent="0.2">
      <c r="A396" s="549">
        <v>3142</v>
      </c>
      <c r="B396" s="549">
        <v>8</v>
      </c>
      <c r="C396" s="548">
        <v>41682</v>
      </c>
      <c r="D396" s="550">
        <v>7.39</v>
      </c>
      <c r="E396" s="550">
        <v>7.4</v>
      </c>
      <c r="F396" s="550">
        <v>7.41</v>
      </c>
      <c r="G396" s="550">
        <v>7.36</v>
      </c>
      <c r="H396" s="551">
        <v>6.2591169999999998</v>
      </c>
      <c r="I396" s="550">
        <v>185100</v>
      </c>
    </row>
    <row r="397" spans="1:9" x14ac:dyDescent="0.2">
      <c r="A397" s="549">
        <v>3143</v>
      </c>
      <c r="B397" s="549">
        <v>8</v>
      </c>
      <c r="C397" s="548">
        <v>41683</v>
      </c>
      <c r="D397" s="550">
        <v>7.39</v>
      </c>
      <c r="E397" s="550">
        <v>7.37</v>
      </c>
      <c r="F397" s="550">
        <v>7.45</v>
      </c>
      <c r="G397" s="550">
        <v>7.34</v>
      </c>
      <c r="H397" s="551">
        <v>6.2337410000000002</v>
      </c>
      <c r="I397" s="550">
        <v>203900</v>
      </c>
    </row>
    <row r="398" spans="1:9" x14ac:dyDescent="0.2">
      <c r="A398" s="549">
        <v>3144</v>
      </c>
      <c r="B398" s="549">
        <v>8</v>
      </c>
      <c r="C398" s="548">
        <v>41684</v>
      </c>
      <c r="D398" s="550">
        <v>7.37</v>
      </c>
      <c r="E398" s="550">
        <v>7.34</v>
      </c>
      <c r="F398" s="550">
        <v>7.41</v>
      </c>
      <c r="G398" s="550">
        <v>7.33</v>
      </c>
      <c r="H398" s="551">
        <v>6.208367</v>
      </c>
      <c r="I398" s="550">
        <v>216400</v>
      </c>
    </row>
    <row r="399" spans="1:9" x14ac:dyDescent="0.2">
      <c r="A399" s="549">
        <v>3145</v>
      </c>
      <c r="B399" s="549">
        <v>8</v>
      </c>
      <c r="C399" s="548">
        <v>41688</v>
      </c>
      <c r="D399" s="550">
        <v>7.34</v>
      </c>
      <c r="E399" s="550">
        <v>7.41</v>
      </c>
      <c r="F399" s="550">
        <v>7.42</v>
      </c>
      <c r="G399" s="550">
        <v>7.34</v>
      </c>
      <c r="H399" s="551">
        <v>6.2675739999999998</v>
      </c>
      <c r="I399" s="550">
        <v>343000</v>
      </c>
    </row>
    <row r="400" spans="1:9" x14ac:dyDescent="0.2">
      <c r="A400" s="549">
        <v>3146</v>
      </c>
      <c r="B400" s="549">
        <v>8</v>
      </c>
      <c r="C400" s="548">
        <v>41689</v>
      </c>
      <c r="D400" s="550">
        <v>7.38</v>
      </c>
      <c r="E400" s="550">
        <v>7.36</v>
      </c>
      <c r="F400" s="550">
        <v>7.43</v>
      </c>
      <c r="G400" s="550">
        <v>7.36</v>
      </c>
      <c r="H400" s="551">
        <v>6.2252830000000001</v>
      </c>
      <c r="I400" s="550">
        <v>158600</v>
      </c>
    </row>
    <row r="401" spans="1:9" x14ac:dyDescent="0.2">
      <c r="A401" s="549">
        <v>3147</v>
      </c>
      <c r="B401" s="549">
        <v>8</v>
      </c>
      <c r="C401" s="548">
        <v>41690</v>
      </c>
      <c r="D401" s="550">
        <v>7.36</v>
      </c>
      <c r="E401" s="550">
        <v>7.38</v>
      </c>
      <c r="F401" s="550">
        <v>7.41</v>
      </c>
      <c r="G401" s="550">
        <v>7.36</v>
      </c>
      <c r="H401" s="551">
        <v>6.2422000000000004</v>
      </c>
      <c r="I401" s="550">
        <v>139800</v>
      </c>
    </row>
    <row r="402" spans="1:9" x14ac:dyDescent="0.2">
      <c r="A402" s="549">
        <v>3148</v>
      </c>
      <c r="B402" s="549">
        <v>8</v>
      </c>
      <c r="C402" s="548">
        <v>41691</v>
      </c>
      <c r="D402" s="550">
        <v>7.37</v>
      </c>
      <c r="E402" s="550">
        <v>7.29</v>
      </c>
      <c r="F402" s="550">
        <v>7.38</v>
      </c>
      <c r="G402" s="550">
        <v>7.26</v>
      </c>
      <c r="H402" s="551">
        <v>6.1660760000000003</v>
      </c>
      <c r="I402" s="550">
        <v>220900</v>
      </c>
    </row>
    <row r="403" spans="1:9" x14ac:dyDescent="0.2">
      <c r="A403" s="549">
        <v>3149</v>
      </c>
      <c r="B403" s="549">
        <v>8</v>
      </c>
      <c r="C403" s="548">
        <v>41694</v>
      </c>
      <c r="D403" s="550">
        <v>7.25</v>
      </c>
      <c r="E403" s="550">
        <v>7.34</v>
      </c>
      <c r="F403" s="550">
        <v>7.35</v>
      </c>
      <c r="G403" s="550">
        <v>7.25</v>
      </c>
      <c r="H403" s="551">
        <v>6.208367</v>
      </c>
      <c r="I403" s="550">
        <v>165500</v>
      </c>
    </row>
    <row r="404" spans="1:9" x14ac:dyDescent="0.2">
      <c r="A404" s="549">
        <v>3150</v>
      </c>
      <c r="B404" s="549">
        <v>8</v>
      </c>
      <c r="C404" s="548">
        <v>41695</v>
      </c>
      <c r="D404" s="550">
        <v>7.28</v>
      </c>
      <c r="E404" s="550">
        <v>7.27</v>
      </c>
      <c r="F404" s="550">
        <v>7.37</v>
      </c>
      <c r="G404" s="550">
        <v>7.25</v>
      </c>
      <c r="H404" s="551">
        <v>6.149159</v>
      </c>
      <c r="I404" s="550">
        <v>172400</v>
      </c>
    </row>
    <row r="405" spans="1:9" x14ac:dyDescent="0.2">
      <c r="A405" s="549">
        <v>3151</v>
      </c>
      <c r="B405" s="549">
        <v>8</v>
      </c>
      <c r="C405" s="548">
        <v>41696</v>
      </c>
      <c r="D405" s="550">
        <v>7.31</v>
      </c>
      <c r="E405" s="550">
        <v>7.24</v>
      </c>
      <c r="F405" s="550">
        <v>7.31</v>
      </c>
      <c r="G405" s="550">
        <v>7.22</v>
      </c>
      <c r="H405" s="551">
        <v>6.1237830000000004</v>
      </c>
      <c r="I405" s="550">
        <v>148200</v>
      </c>
    </row>
    <row r="406" spans="1:9" x14ac:dyDescent="0.2">
      <c r="A406" s="549">
        <v>3152</v>
      </c>
      <c r="B406" s="549">
        <v>8</v>
      </c>
      <c r="C406" s="548">
        <v>41697</v>
      </c>
      <c r="D406" s="550">
        <v>7.23</v>
      </c>
      <c r="E406" s="550">
        <v>7.2</v>
      </c>
      <c r="F406" s="550">
        <v>7.28</v>
      </c>
      <c r="G406" s="550">
        <v>7.19</v>
      </c>
      <c r="H406" s="551">
        <v>6.0899510000000001</v>
      </c>
      <c r="I406" s="550">
        <v>167400</v>
      </c>
    </row>
    <row r="407" spans="1:9" x14ac:dyDescent="0.2">
      <c r="A407" s="549">
        <v>3153</v>
      </c>
      <c r="B407" s="549">
        <v>8</v>
      </c>
      <c r="C407" s="548">
        <v>41698</v>
      </c>
      <c r="D407" s="550">
        <v>7.17</v>
      </c>
      <c r="E407" s="550">
        <v>7.15</v>
      </c>
      <c r="F407" s="550">
        <v>7.25</v>
      </c>
      <c r="G407" s="550">
        <v>7.13</v>
      </c>
      <c r="H407" s="551">
        <v>6.0476590000000003</v>
      </c>
      <c r="I407" s="550">
        <v>366600</v>
      </c>
    </row>
    <row r="408" spans="1:9" x14ac:dyDescent="0.2">
      <c r="A408" s="549">
        <v>3154</v>
      </c>
      <c r="B408" s="549">
        <v>8</v>
      </c>
      <c r="C408" s="548">
        <v>41701</v>
      </c>
      <c r="D408" s="550">
        <v>7.11</v>
      </c>
      <c r="E408" s="550">
        <v>7.2</v>
      </c>
      <c r="F408" s="550">
        <v>7.21</v>
      </c>
      <c r="G408" s="550">
        <v>7.11</v>
      </c>
      <c r="H408" s="551">
        <v>6.0899510000000001</v>
      </c>
      <c r="I408" s="550">
        <v>403800</v>
      </c>
    </row>
    <row r="409" spans="1:9" x14ac:dyDescent="0.2">
      <c r="A409" s="549">
        <v>3155</v>
      </c>
      <c r="B409" s="549">
        <v>8</v>
      </c>
      <c r="C409" s="548">
        <v>41702</v>
      </c>
      <c r="D409" s="550">
        <v>7.24</v>
      </c>
      <c r="E409" s="550">
        <v>7.25</v>
      </c>
      <c r="F409" s="550">
        <v>7.25</v>
      </c>
      <c r="G409" s="550">
        <v>7.2</v>
      </c>
      <c r="H409" s="551">
        <v>6.1322429999999999</v>
      </c>
      <c r="I409" s="550">
        <v>295100</v>
      </c>
    </row>
    <row r="410" spans="1:9" x14ac:dyDescent="0.2">
      <c r="A410" s="549">
        <v>3156</v>
      </c>
      <c r="B410" s="549">
        <v>8</v>
      </c>
      <c r="C410" s="548">
        <v>41703</v>
      </c>
      <c r="D410" s="550">
        <v>7.23</v>
      </c>
      <c r="E410" s="550">
        <v>7.23</v>
      </c>
      <c r="F410" s="550">
        <v>7.27</v>
      </c>
      <c r="G410" s="550">
        <v>7.21</v>
      </c>
      <c r="H410" s="551">
        <v>6.1153250000000003</v>
      </c>
      <c r="I410" s="550">
        <v>308400</v>
      </c>
    </row>
    <row r="411" spans="1:9" x14ac:dyDescent="0.2">
      <c r="A411" s="549">
        <v>3157</v>
      </c>
      <c r="B411" s="549">
        <v>8</v>
      </c>
      <c r="C411" s="548">
        <v>41704</v>
      </c>
      <c r="D411" s="550">
        <v>7.23</v>
      </c>
      <c r="E411" s="550">
        <v>7.28</v>
      </c>
      <c r="F411" s="550">
        <v>7.3</v>
      </c>
      <c r="G411" s="550">
        <v>7.22</v>
      </c>
      <c r="H411" s="551">
        <v>6.1576170000000001</v>
      </c>
      <c r="I411" s="550">
        <v>348300</v>
      </c>
    </row>
    <row r="412" spans="1:9" x14ac:dyDescent="0.2">
      <c r="A412" s="549">
        <v>3158</v>
      </c>
      <c r="B412" s="549">
        <v>8</v>
      </c>
      <c r="C412" s="548">
        <v>41705</v>
      </c>
      <c r="D412" s="550">
        <v>7.41</v>
      </c>
      <c r="E412" s="550">
        <v>7.63</v>
      </c>
      <c r="F412" s="550">
        <v>7.68</v>
      </c>
      <c r="G412" s="550">
        <v>7.41</v>
      </c>
      <c r="H412" s="551">
        <v>6.4536559999999996</v>
      </c>
      <c r="I412" s="550">
        <v>1513300</v>
      </c>
    </row>
    <row r="413" spans="1:9" x14ac:dyDescent="0.2">
      <c r="A413" s="549">
        <v>3159</v>
      </c>
      <c r="B413" s="549">
        <v>8</v>
      </c>
      <c r="C413" s="548">
        <v>41708</v>
      </c>
      <c r="D413" s="550">
        <v>7.63</v>
      </c>
      <c r="E413" s="550">
        <v>7.6</v>
      </c>
      <c r="F413" s="550">
        <v>7.69</v>
      </c>
      <c r="G413" s="550">
        <v>7.58</v>
      </c>
      <c r="H413" s="551">
        <v>6.4282820000000003</v>
      </c>
      <c r="I413" s="550">
        <v>335600</v>
      </c>
    </row>
    <row r="414" spans="1:9" x14ac:dyDescent="0.2">
      <c r="A414" s="549">
        <v>3160</v>
      </c>
      <c r="B414" s="549">
        <v>8</v>
      </c>
      <c r="C414" s="548">
        <v>41709</v>
      </c>
      <c r="D414" s="550">
        <v>7.6</v>
      </c>
      <c r="E414" s="550">
        <v>7.56</v>
      </c>
      <c r="F414" s="550">
        <v>7.63</v>
      </c>
      <c r="G414" s="550">
        <v>7.53</v>
      </c>
      <c r="H414" s="551">
        <v>6.3944489999999998</v>
      </c>
      <c r="I414" s="550">
        <v>316400</v>
      </c>
    </row>
    <row r="415" spans="1:9" x14ac:dyDescent="0.2">
      <c r="A415" s="549">
        <v>3161</v>
      </c>
      <c r="B415" s="549">
        <v>8</v>
      </c>
      <c r="C415" s="548">
        <v>41710</v>
      </c>
      <c r="D415" s="550">
        <v>7.58</v>
      </c>
      <c r="E415" s="550">
        <v>7.59</v>
      </c>
      <c r="F415" s="550">
        <v>7.61</v>
      </c>
      <c r="G415" s="550">
        <v>7.51</v>
      </c>
      <c r="H415" s="551">
        <v>6.4198240000000002</v>
      </c>
      <c r="I415" s="550">
        <v>196500</v>
      </c>
    </row>
    <row r="416" spans="1:9" x14ac:dyDescent="0.2">
      <c r="A416" s="549">
        <v>3162</v>
      </c>
      <c r="B416" s="549">
        <v>8</v>
      </c>
      <c r="C416" s="548">
        <v>41711</v>
      </c>
      <c r="D416" s="550">
        <v>7.55</v>
      </c>
      <c r="E416" s="550">
        <v>7.7</v>
      </c>
      <c r="F416" s="550">
        <v>7.73</v>
      </c>
      <c r="G416" s="550">
        <v>7.55</v>
      </c>
      <c r="H416" s="551">
        <v>6.5128640000000004</v>
      </c>
      <c r="I416" s="550">
        <v>427800</v>
      </c>
    </row>
    <row r="417" spans="1:9" x14ac:dyDescent="0.2">
      <c r="A417" s="549">
        <v>3163</v>
      </c>
      <c r="B417" s="549">
        <v>8</v>
      </c>
      <c r="C417" s="548">
        <v>41712</v>
      </c>
      <c r="D417" s="550">
        <v>7.66</v>
      </c>
      <c r="E417" s="550">
        <v>7.75</v>
      </c>
      <c r="F417" s="550">
        <v>7.75</v>
      </c>
      <c r="G417" s="550">
        <v>7.66</v>
      </c>
      <c r="H417" s="551">
        <v>6.5551560000000002</v>
      </c>
      <c r="I417" s="550">
        <v>304300</v>
      </c>
    </row>
    <row r="418" spans="1:9" x14ac:dyDescent="0.2">
      <c r="A418" s="549">
        <v>3164</v>
      </c>
      <c r="B418" s="549">
        <v>8</v>
      </c>
      <c r="C418" s="548">
        <v>41715</v>
      </c>
      <c r="D418" s="550">
        <v>7.73</v>
      </c>
      <c r="E418" s="550">
        <v>7.74</v>
      </c>
      <c r="F418" s="550">
        <v>7.76</v>
      </c>
      <c r="G418" s="550">
        <v>7.66</v>
      </c>
      <c r="H418" s="551">
        <v>6.5466980000000001</v>
      </c>
      <c r="I418" s="550">
        <v>187200</v>
      </c>
    </row>
    <row r="419" spans="1:9" x14ac:dyDescent="0.2">
      <c r="A419" s="549">
        <v>3165</v>
      </c>
      <c r="B419" s="549">
        <v>8</v>
      </c>
      <c r="C419" s="548">
        <v>41716</v>
      </c>
      <c r="D419" s="550">
        <v>7.7</v>
      </c>
      <c r="E419" s="550">
        <v>7.74</v>
      </c>
      <c r="F419" s="550">
        <v>7.76</v>
      </c>
      <c r="G419" s="550">
        <v>7.69</v>
      </c>
      <c r="H419" s="551">
        <v>6.5466980000000001</v>
      </c>
      <c r="I419" s="550">
        <v>170200</v>
      </c>
    </row>
    <row r="420" spans="1:9" x14ac:dyDescent="0.2">
      <c r="A420" s="549">
        <v>3166</v>
      </c>
      <c r="B420" s="549">
        <v>8</v>
      </c>
      <c r="C420" s="548">
        <v>41717</v>
      </c>
      <c r="D420" s="550">
        <v>7.78</v>
      </c>
      <c r="E420" s="550">
        <v>7.88</v>
      </c>
      <c r="F420" s="550">
        <v>7.94</v>
      </c>
      <c r="G420" s="550">
        <v>7.75</v>
      </c>
      <c r="H420" s="551">
        <v>6.665114</v>
      </c>
      <c r="I420" s="550">
        <v>1136000</v>
      </c>
    </row>
    <row r="421" spans="1:9" x14ac:dyDescent="0.2">
      <c r="A421" s="549">
        <v>3167</v>
      </c>
      <c r="B421" s="549">
        <v>8</v>
      </c>
      <c r="C421" s="548">
        <v>41718</v>
      </c>
      <c r="D421" s="550">
        <v>7.92</v>
      </c>
      <c r="E421" s="550">
        <v>7.83</v>
      </c>
      <c r="F421" s="550">
        <v>7.93</v>
      </c>
      <c r="G421" s="550">
        <v>7.82</v>
      </c>
      <c r="H421" s="551">
        <v>6.6228210000000001</v>
      </c>
      <c r="I421" s="550">
        <v>720700</v>
      </c>
    </row>
    <row r="422" spans="1:9" x14ac:dyDescent="0.2">
      <c r="A422" s="549">
        <v>3168</v>
      </c>
      <c r="B422" s="549">
        <v>8</v>
      </c>
      <c r="C422" s="548">
        <v>41719</v>
      </c>
      <c r="D422" s="550">
        <v>7.86</v>
      </c>
      <c r="E422" s="550">
        <v>7.53</v>
      </c>
      <c r="F422" s="550">
        <v>7.89</v>
      </c>
      <c r="G422" s="550">
        <v>7.53</v>
      </c>
      <c r="H422" s="551">
        <v>6.3690730000000002</v>
      </c>
      <c r="I422" s="550">
        <v>623300</v>
      </c>
    </row>
    <row r="423" spans="1:9" x14ac:dyDescent="0.2">
      <c r="A423" s="549">
        <v>3169</v>
      </c>
      <c r="B423" s="549">
        <v>8</v>
      </c>
      <c r="C423" s="548">
        <v>41722</v>
      </c>
      <c r="D423" s="550">
        <v>7.68</v>
      </c>
      <c r="E423" s="550">
        <v>7.94</v>
      </c>
      <c r="F423" s="550">
        <v>7.98</v>
      </c>
      <c r="G423" s="550">
        <v>7.67</v>
      </c>
      <c r="H423" s="551">
        <v>6.7158610000000003</v>
      </c>
      <c r="I423" s="550">
        <v>696100</v>
      </c>
    </row>
    <row r="424" spans="1:9" x14ac:dyDescent="0.2">
      <c r="A424" s="549">
        <v>3170</v>
      </c>
      <c r="B424" s="549">
        <v>8</v>
      </c>
      <c r="C424" s="548">
        <v>41723</v>
      </c>
      <c r="D424" s="550">
        <v>7.93</v>
      </c>
      <c r="E424" s="550">
        <v>7.76</v>
      </c>
      <c r="F424" s="550">
        <v>7.93</v>
      </c>
      <c r="G424" s="550">
        <v>7.72</v>
      </c>
      <c r="H424" s="551">
        <v>6.5636140000000003</v>
      </c>
      <c r="I424" s="550">
        <v>445500</v>
      </c>
    </row>
    <row r="425" spans="1:9" x14ac:dyDescent="0.2">
      <c r="A425" s="549">
        <v>3171</v>
      </c>
      <c r="B425" s="549">
        <v>8</v>
      </c>
      <c r="C425" s="548">
        <v>41724</v>
      </c>
      <c r="D425" s="550">
        <v>7.8</v>
      </c>
      <c r="E425" s="550">
        <v>7.72</v>
      </c>
      <c r="F425" s="550">
        <v>7.83</v>
      </c>
      <c r="G425" s="550">
        <v>7.69</v>
      </c>
      <c r="H425" s="551">
        <v>6.5297809999999998</v>
      </c>
      <c r="I425" s="550">
        <v>277300</v>
      </c>
    </row>
    <row r="426" spans="1:9" x14ac:dyDescent="0.2">
      <c r="A426" s="549">
        <v>3172</v>
      </c>
      <c r="B426" s="549">
        <v>8</v>
      </c>
      <c r="C426" s="548">
        <v>41725</v>
      </c>
      <c r="D426" s="550">
        <v>7.63</v>
      </c>
      <c r="E426" s="550">
        <v>7.71</v>
      </c>
      <c r="F426" s="550">
        <v>7.73</v>
      </c>
      <c r="G426" s="550">
        <v>7.54</v>
      </c>
      <c r="H426" s="551">
        <v>6.5939240000000003</v>
      </c>
      <c r="I426" s="550">
        <v>228200</v>
      </c>
    </row>
    <row r="427" spans="1:9" x14ac:dyDescent="0.2">
      <c r="A427" s="549">
        <v>3173</v>
      </c>
      <c r="B427" s="549">
        <v>8</v>
      </c>
      <c r="C427" s="548">
        <v>41726</v>
      </c>
      <c r="D427" s="550">
        <v>7.67</v>
      </c>
      <c r="E427" s="550">
        <v>7.84</v>
      </c>
      <c r="F427" s="550">
        <v>7.84</v>
      </c>
      <c r="G427" s="550">
        <v>7.67</v>
      </c>
      <c r="H427" s="551">
        <v>6.7051059999999998</v>
      </c>
      <c r="I427" s="550">
        <v>292000</v>
      </c>
    </row>
    <row r="428" spans="1:9" x14ac:dyDescent="0.2">
      <c r="A428" s="549">
        <v>3174</v>
      </c>
      <c r="B428" s="549">
        <v>8</v>
      </c>
      <c r="C428" s="548">
        <v>41729</v>
      </c>
      <c r="D428" s="550">
        <v>7.78</v>
      </c>
      <c r="E428" s="550">
        <v>7.8</v>
      </c>
      <c r="F428" s="550">
        <v>7.84</v>
      </c>
      <c r="G428" s="550">
        <v>7.76</v>
      </c>
      <c r="H428" s="551">
        <v>6.6708970000000001</v>
      </c>
      <c r="I428" s="550">
        <v>183800</v>
      </c>
    </row>
    <row r="429" spans="1:9" x14ac:dyDescent="0.2">
      <c r="A429" s="549">
        <v>3175</v>
      </c>
      <c r="B429" s="549">
        <v>8</v>
      </c>
      <c r="C429" s="548">
        <v>41730</v>
      </c>
      <c r="D429" s="550">
        <v>7.81</v>
      </c>
      <c r="E429" s="550">
        <v>7.68</v>
      </c>
      <c r="F429" s="550">
        <v>7.81</v>
      </c>
      <c r="G429" s="550">
        <v>7.64</v>
      </c>
      <c r="H429" s="551">
        <v>6.5682669999999996</v>
      </c>
      <c r="I429" s="550">
        <v>290800</v>
      </c>
    </row>
    <row r="430" spans="1:9" x14ac:dyDescent="0.2">
      <c r="A430" s="549">
        <v>3176</v>
      </c>
      <c r="B430" s="549">
        <v>8</v>
      </c>
      <c r="C430" s="548">
        <v>41731</v>
      </c>
      <c r="D430" s="550">
        <v>7.7</v>
      </c>
      <c r="E430" s="550">
        <v>7.68</v>
      </c>
      <c r="F430" s="550">
        <v>7.7</v>
      </c>
      <c r="G430" s="550">
        <v>7.61</v>
      </c>
      <c r="H430" s="551">
        <v>6.5682669999999996</v>
      </c>
      <c r="I430" s="550">
        <v>292800</v>
      </c>
    </row>
    <row r="431" spans="1:9" x14ac:dyDescent="0.2">
      <c r="A431" s="549">
        <v>3177</v>
      </c>
      <c r="B431" s="549">
        <v>8</v>
      </c>
      <c r="C431" s="548">
        <v>41732</v>
      </c>
      <c r="D431" s="550">
        <v>7.67</v>
      </c>
      <c r="E431" s="550">
        <v>7.66</v>
      </c>
      <c r="F431" s="550">
        <v>7.68</v>
      </c>
      <c r="G431" s="550">
        <v>7.62</v>
      </c>
      <c r="H431" s="551">
        <v>6.5511609999999996</v>
      </c>
      <c r="I431" s="550">
        <v>100600</v>
      </c>
    </row>
    <row r="432" spans="1:9" x14ac:dyDescent="0.2">
      <c r="A432" s="549">
        <v>3178</v>
      </c>
      <c r="B432" s="549">
        <v>8</v>
      </c>
      <c r="C432" s="548">
        <v>41733</v>
      </c>
      <c r="D432" s="550">
        <v>7.66</v>
      </c>
      <c r="E432" s="550">
        <v>7.61</v>
      </c>
      <c r="F432" s="550">
        <v>7.66</v>
      </c>
      <c r="G432" s="550">
        <v>7.6</v>
      </c>
      <c r="H432" s="551">
        <v>6.5083989999999998</v>
      </c>
      <c r="I432" s="550">
        <v>114800</v>
      </c>
    </row>
    <row r="433" spans="1:9" x14ac:dyDescent="0.2">
      <c r="A433" s="549">
        <v>3179</v>
      </c>
      <c r="B433" s="549">
        <v>8</v>
      </c>
      <c r="C433" s="548">
        <v>41736</v>
      </c>
      <c r="D433" s="550">
        <v>7.63</v>
      </c>
      <c r="E433" s="550">
        <v>7.63</v>
      </c>
      <c r="F433" s="550">
        <v>7.63</v>
      </c>
      <c r="G433" s="550">
        <v>7.6</v>
      </c>
      <c r="H433" s="551">
        <v>6.5255049999999999</v>
      </c>
      <c r="I433" s="550">
        <v>312500</v>
      </c>
    </row>
    <row r="434" spans="1:9" x14ac:dyDescent="0.2">
      <c r="A434" s="549">
        <v>3180</v>
      </c>
      <c r="B434" s="549">
        <v>8</v>
      </c>
      <c r="C434" s="548">
        <v>41737</v>
      </c>
      <c r="D434" s="550">
        <v>7.63</v>
      </c>
      <c r="E434" s="550">
        <v>7.76</v>
      </c>
      <c r="F434" s="550">
        <v>7.77</v>
      </c>
      <c r="G434" s="550">
        <v>7.56</v>
      </c>
      <c r="H434" s="551">
        <v>6.6366860000000001</v>
      </c>
      <c r="I434" s="550">
        <v>354700</v>
      </c>
    </row>
    <row r="435" spans="1:9" x14ac:dyDescent="0.2">
      <c r="A435" s="549">
        <v>3181</v>
      </c>
      <c r="B435" s="549">
        <v>8</v>
      </c>
      <c r="C435" s="548">
        <v>41738</v>
      </c>
      <c r="D435" s="550">
        <v>7.77</v>
      </c>
      <c r="E435" s="550">
        <v>7.64</v>
      </c>
      <c r="F435" s="550">
        <v>7.8</v>
      </c>
      <c r="G435" s="550">
        <v>7.61</v>
      </c>
      <c r="H435" s="551">
        <v>6.5340579999999999</v>
      </c>
      <c r="I435" s="550">
        <v>247400</v>
      </c>
    </row>
    <row r="436" spans="1:9" x14ac:dyDescent="0.2">
      <c r="A436" s="549">
        <v>3182</v>
      </c>
      <c r="B436" s="549">
        <v>8</v>
      </c>
      <c r="C436" s="548">
        <v>41739</v>
      </c>
      <c r="D436" s="550">
        <v>7.69</v>
      </c>
      <c r="E436" s="550">
        <v>7.64</v>
      </c>
      <c r="F436" s="550">
        <v>7.69</v>
      </c>
      <c r="G436" s="550">
        <v>7.62</v>
      </c>
      <c r="H436" s="551">
        <v>6.5340579999999999</v>
      </c>
      <c r="I436" s="550">
        <v>244300</v>
      </c>
    </row>
    <row r="437" spans="1:9" x14ac:dyDescent="0.2">
      <c r="A437" s="549">
        <v>3183</v>
      </c>
      <c r="B437" s="549">
        <v>8</v>
      </c>
      <c r="C437" s="548">
        <v>41740</v>
      </c>
      <c r="D437" s="550">
        <v>7.64</v>
      </c>
      <c r="E437" s="550">
        <v>7.62</v>
      </c>
      <c r="F437" s="550">
        <v>7.65</v>
      </c>
      <c r="G437" s="550">
        <v>7.6</v>
      </c>
      <c r="H437" s="551">
        <v>6.516953</v>
      </c>
      <c r="I437" s="550">
        <v>154200</v>
      </c>
    </row>
    <row r="438" spans="1:9" x14ac:dyDescent="0.2">
      <c r="A438" s="549">
        <v>3184</v>
      </c>
      <c r="B438" s="549">
        <v>8</v>
      </c>
      <c r="C438" s="548">
        <v>41743</v>
      </c>
      <c r="D438" s="550">
        <v>7.72</v>
      </c>
      <c r="E438" s="550">
        <v>7.57</v>
      </c>
      <c r="F438" s="550">
        <v>7.72</v>
      </c>
      <c r="G438" s="550">
        <v>7.53</v>
      </c>
      <c r="H438" s="551">
        <v>6.4741900000000001</v>
      </c>
      <c r="I438" s="550">
        <v>335100</v>
      </c>
    </row>
    <row r="439" spans="1:9" x14ac:dyDescent="0.2">
      <c r="A439" s="549">
        <v>3185</v>
      </c>
      <c r="B439" s="549">
        <v>8</v>
      </c>
      <c r="C439" s="548">
        <v>41744</v>
      </c>
      <c r="D439" s="550">
        <v>7.51</v>
      </c>
      <c r="E439" s="550">
        <v>7.59</v>
      </c>
      <c r="F439" s="550">
        <v>7.61</v>
      </c>
      <c r="G439" s="550">
        <v>7.51</v>
      </c>
      <c r="H439" s="551">
        <v>6.491295</v>
      </c>
      <c r="I439" s="550">
        <v>229300</v>
      </c>
    </row>
    <row r="440" spans="1:9" x14ac:dyDescent="0.2">
      <c r="A440" s="549">
        <v>3186</v>
      </c>
      <c r="B440" s="549">
        <v>8</v>
      </c>
      <c r="C440" s="548">
        <v>41745</v>
      </c>
      <c r="D440" s="550">
        <v>7.6</v>
      </c>
      <c r="E440" s="550">
        <v>7.72</v>
      </c>
      <c r="F440" s="550">
        <v>7.74</v>
      </c>
      <c r="G440" s="550">
        <v>7.58</v>
      </c>
      <c r="H440" s="551">
        <v>6.6024760000000002</v>
      </c>
      <c r="I440" s="550">
        <v>204200</v>
      </c>
    </row>
    <row r="441" spans="1:9" x14ac:dyDescent="0.2">
      <c r="A441" s="549">
        <v>3187</v>
      </c>
      <c r="B441" s="549">
        <v>8</v>
      </c>
      <c r="C441" s="548">
        <v>41746</v>
      </c>
      <c r="D441" s="550">
        <v>7.7</v>
      </c>
      <c r="E441" s="550">
        <v>7.7</v>
      </c>
      <c r="F441" s="550">
        <v>7.73</v>
      </c>
      <c r="G441" s="550">
        <v>7.66</v>
      </c>
      <c r="H441" s="551">
        <v>6.5853719999999996</v>
      </c>
      <c r="I441" s="550">
        <v>85600</v>
      </c>
    </row>
    <row r="442" spans="1:9" x14ac:dyDescent="0.2">
      <c r="A442" s="549">
        <v>3188</v>
      </c>
      <c r="B442" s="549">
        <v>8</v>
      </c>
      <c r="C442" s="548">
        <v>41750</v>
      </c>
      <c r="D442" s="550">
        <v>7.7</v>
      </c>
      <c r="E442" s="550">
        <v>7.74</v>
      </c>
      <c r="F442" s="550">
        <v>7.74</v>
      </c>
      <c r="G442" s="550">
        <v>7.68</v>
      </c>
      <c r="H442" s="551">
        <v>6.6195810000000002</v>
      </c>
      <c r="I442" s="550">
        <v>75900</v>
      </c>
    </row>
    <row r="443" spans="1:9" x14ac:dyDescent="0.2">
      <c r="A443" s="549">
        <v>3189</v>
      </c>
      <c r="B443" s="549">
        <v>8</v>
      </c>
      <c r="C443" s="548">
        <v>41751</v>
      </c>
      <c r="D443" s="550">
        <v>7.74</v>
      </c>
      <c r="E443" s="550">
        <v>7.84</v>
      </c>
      <c r="F443" s="550">
        <v>7.84</v>
      </c>
      <c r="G443" s="550">
        <v>7.72</v>
      </c>
      <c r="H443" s="551">
        <v>6.7051059999999998</v>
      </c>
      <c r="I443" s="550">
        <v>191200</v>
      </c>
    </row>
    <row r="444" spans="1:9" x14ac:dyDescent="0.2">
      <c r="A444" s="549">
        <v>3190</v>
      </c>
      <c r="B444" s="549">
        <v>8</v>
      </c>
      <c r="C444" s="548">
        <v>41752</v>
      </c>
      <c r="D444" s="550">
        <v>7.8</v>
      </c>
      <c r="E444" s="550">
        <v>7.85</v>
      </c>
      <c r="F444" s="550">
        <v>7.85</v>
      </c>
      <c r="G444" s="550">
        <v>7.77</v>
      </c>
      <c r="H444" s="551">
        <v>6.7136579999999997</v>
      </c>
      <c r="I444" s="550">
        <v>142900</v>
      </c>
    </row>
    <row r="445" spans="1:9" x14ac:dyDescent="0.2">
      <c r="A445" s="549">
        <v>3191</v>
      </c>
      <c r="B445" s="549">
        <v>8</v>
      </c>
      <c r="C445" s="548">
        <v>41753</v>
      </c>
      <c r="D445" s="550">
        <v>7.86</v>
      </c>
      <c r="E445" s="550">
        <v>7.91</v>
      </c>
      <c r="F445" s="550">
        <v>7.95</v>
      </c>
      <c r="G445" s="550">
        <v>7.83</v>
      </c>
      <c r="H445" s="551">
        <v>6.7649720000000002</v>
      </c>
      <c r="I445" s="550">
        <v>179700</v>
      </c>
    </row>
    <row r="446" spans="1:9" x14ac:dyDescent="0.2">
      <c r="A446" s="549">
        <v>3192</v>
      </c>
      <c r="B446" s="549">
        <v>8</v>
      </c>
      <c r="C446" s="548">
        <v>41754</v>
      </c>
      <c r="D446" s="550">
        <v>7.92</v>
      </c>
      <c r="E446" s="550">
        <v>7.89</v>
      </c>
      <c r="F446" s="550">
        <v>7.92</v>
      </c>
      <c r="G446" s="550">
        <v>7.85</v>
      </c>
      <c r="H446" s="551">
        <v>6.7478680000000004</v>
      </c>
      <c r="I446" s="550">
        <v>113100</v>
      </c>
    </row>
    <row r="447" spans="1:9" x14ac:dyDescent="0.2">
      <c r="A447" s="549">
        <v>3193</v>
      </c>
      <c r="B447" s="549">
        <v>8</v>
      </c>
      <c r="C447" s="548">
        <v>41757</v>
      </c>
      <c r="D447" s="550">
        <v>7.92</v>
      </c>
      <c r="E447" s="550">
        <v>7.9</v>
      </c>
      <c r="F447" s="550">
        <v>7.92</v>
      </c>
      <c r="G447" s="550">
        <v>7.8</v>
      </c>
      <c r="H447" s="551">
        <v>6.7564200000000003</v>
      </c>
      <c r="I447" s="550">
        <v>148500</v>
      </c>
    </row>
    <row r="448" spans="1:9" x14ac:dyDescent="0.2">
      <c r="A448" s="549">
        <v>3194</v>
      </c>
      <c r="B448" s="549">
        <v>8</v>
      </c>
      <c r="C448" s="548">
        <v>41758</v>
      </c>
      <c r="D448" s="550">
        <v>7.88</v>
      </c>
      <c r="E448" s="550">
        <v>7.89</v>
      </c>
      <c r="F448" s="550">
        <v>7.92</v>
      </c>
      <c r="G448" s="550">
        <v>7.86</v>
      </c>
      <c r="H448" s="551">
        <v>6.7478680000000004</v>
      </c>
      <c r="I448" s="550">
        <v>163800</v>
      </c>
    </row>
    <row r="449" spans="1:9" x14ac:dyDescent="0.2">
      <c r="A449" s="549">
        <v>3195</v>
      </c>
      <c r="B449" s="549">
        <v>8</v>
      </c>
      <c r="C449" s="548">
        <v>41759</v>
      </c>
      <c r="D449" s="550">
        <v>7.9</v>
      </c>
      <c r="E449" s="550">
        <v>7.88</v>
      </c>
      <c r="F449" s="550">
        <v>7.92</v>
      </c>
      <c r="G449" s="550">
        <v>7.85</v>
      </c>
      <c r="H449" s="551">
        <v>6.7393159999999996</v>
      </c>
      <c r="I449" s="550">
        <v>120800</v>
      </c>
    </row>
    <row r="450" spans="1:9" x14ac:dyDescent="0.2">
      <c r="A450" s="549">
        <v>3196</v>
      </c>
      <c r="B450" s="549">
        <v>8</v>
      </c>
      <c r="C450" s="548">
        <v>41760</v>
      </c>
      <c r="D450" s="550">
        <v>7.9</v>
      </c>
      <c r="E450" s="550">
        <v>7.92</v>
      </c>
      <c r="F450" s="550">
        <v>7.92</v>
      </c>
      <c r="G450" s="550">
        <v>7.83</v>
      </c>
      <c r="H450" s="551">
        <v>6.7735250000000002</v>
      </c>
      <c r="I450" s="550">
        <v>170000</v>
      </c>
    </row>
    <row r="451" spans="1:9" x14ac:dyDescent="0.2">
      <c r="A451" s="549">
        <v>3197</v>
      </c>
      <c r="B451" s="549">
        <v>8</v>
      </c>
      <c r="C451" s="548">
        <v>41761</v>
      </c>
      <c r="D451" s="550">
        <v>7.93</v>
      </c>
      <c r="E451" s="550">
        <v>7.95</v>
      </c>
      <c r="F451" s="550">
        <v>7.95</v>
      </c>
      <c r="G451" s="550">
        <v>7.85</v>
      </c>
      <c r="H451" s="551">
        <v>6.7991820000000001</v>
      </c>
      <c r="I451" s="550">
        <v>168100</v>
      </c>
    </row>
    <row r="452" spans="1:9" x14ac:dyDescent="0.2">
      <c r="A452" s="549">
        <v>3198</v>
      </c>
      <c r="B452" s="549">
        <v>8</v>
      </c>
      <c r="C452" s="548">
        <v>41764</v>
      </c>
      <c r="D452" s="550">
        <v>7.95</v>
      </c>
      <c r="E452" s="550">
        <v>7.94</v>
      </c>
      <c r="F452" s="550">
        <v>7.95</v>
      </c>
      <c r="G452" s="550">
        <v>7.87</v>
      </c>
      <c r="H452" s="551">
        <v>6.7906300000000002</v>
      </c>
      <c r="I452" s="550">
        <v>63300</v>
      </c>
    </row>
    <row r="453" spans="1:9" x14ac:dyDescent="0.2">
      <c r="A453" s="549">
        <v>3199</v>
      </c>
      <c r="B453" s="549">
        <v>8</v>
      </c>
      <c r="C453" s="548">
        <v>41765</v>
      </c>
      <c r="D453" s="550">
        <v>7.9</v>
      </c>
      <c r="E453" s="550">
        <v>7.91</v>
      </c>
      <c r="F453" s="550">
        <v>7.94</v>
      </c>
      <c r="G453" s="550">
        <v>7.88</v>
      </c>
      <c r="H453" s="551">
        <v>6.7649720000000002</v>
      </c>
      <c r="I453" s="550">
        <v>89100</v>
      </c>
    </row>
    <row r="454" spans="1:9" x14ac:dyDescent="0.2">
      <c r="A454" s="549">
        <v>3200</v>
      </c>
      <c r="B454" s="549">
        <v>8</v>
      </c>
      <c r="C454" s="548">
        <v>41766</v>
      </c>
      <c r="D454" s="550">
        <v>7.88</v>
      </c>
      <c r="E454" s="550">
        <v>7.92</v>
      </c>
      <c r="F454" s="550">
        <v>7.92</v>
      </c>
      <c r="G454" s="550">
        <v>7.87</v>
      </c>
      <c r="H454" s="551">
        <v>6.7735250000000002</v>
      </c>
      <c r="I454" s="550">
        <v>75300</v>
      </c>
    </row>
    <row r="455" spans="1:9" x14ac:dyDescent="0.2">
      <c r="A455" s="549">
        <v>3201</v>
      </c>
      <c r="B455" s="549">
        <v>8</v>
      </c>
      <c r="C455" s="548">
        <v>41767</v>
      </c>
      <c r="D455" s="550">
        <v>7.88</v>
      </c>
      <c r="E455" s="550">
        <v>7.88</v>
      </c>
      <c r="F455" s="550">
        <v>7.92</v>
      </c>
      <c r="G455" s="550">
        <v>7.82</v>
      </c>
      <c r="H455" s="551">
        <v>6.7393159999999996</v>
      </c>
      <c r="I455" s="550">
        <v>130500</v>
      </c>
    </row>
    <row r="456" spans="1:9" x14ac:dyDescent="0.2">
      <c r="A456" s="549">
        <v>3202</v>
      </c>
      <c r="B456" s="549">
        <v>8</v>
      </c>
      <c r="C456" s="548">
        <v>41768</v>
      </c>
      <c r="D456" s="550">
        <v>7.86</v>
      </c>
      <c r="E456" s="550">
        <v>7.92</v>
      </c>
      <c r="F456" s="550">
        <v>7.96</v>
      </c>
      <c r="G456" s="550">
        <v>7.86</v>
      </c>
      <c r="H456" s="551">
        <v>6.7735250000000002</v>
      </c>
      <c r="I456" s="550">
        <v>232600</v>
      </c>
    </row>
    <row r="457" spans="1:9" x14ac:dyDescent="0.2">
      <c r="A457" s="549">
        <v>3203</v>
      </c>
      <c r="B457" s="549">
        <v>8</v>
      </c>
      <c r="C457" s="548">
        <v>41771</v>
      </c>
      <c r="D457" s="550">
        <v>7.95</v>
      </c>
      <c r="E457" s="550">
        <v>8</v>
      </c>
      <c r="F457" s="550">
        <v>8.0500000000000007</v>
      </c>
      <c r="G457" s="550">
        <v>7.92</v>
      </c>
      <c r="H457" s="551">
        <v>6.8419449999999999</v>
      </c>
      <c r="I457" s="550">
        <v>350500</v>
      </c>
    </row>
    <row r="458" spans="1:9" x14ac:dyDescent="0.2">
      <c r="A458" s="549">
        <v>3204</v>
      </c>
      <c r="B458" s="549">
        <v>8</v>
      </c>
      <c r="C458" s="548">
        <v>41772</v>
      </c>
      <c r="D458" s="550">
        <v>8.02</v>
      </c>
      <c r="E458" s="550">
        <v>7.96</v>
      </c>
      <c r="F458" s="550">
        <v>8.0299999999999994</v>
      </c>
      <c r="G458" s="550">
        <v>7.95</v>
      </c>
      <c r="H458" s="551">
        <v>6.807734</v>
      </c>
      <c r="I458" s="550">
        <v>354800</v>
      </c>
    </row>
    <row r="459" spans="1:9" x14ac:dyDescent="0.2">
      <c r="A459" s="549">
        <v>3205</v>
      </c>
      <c r="B459" s="549">
        <v>8</v>
      </c>
      <c r="C459" s="548">
        <v>41773</v>
      </c>
      <c r="D459" s="550">
        <v>7.95</v>
      </c>
      <c r="E459" s="550">
        <v>8.07</v>
      </c>
      <c r="F459" s="550">
        <v>8.09</v>
      </c>
      <c r="G459" s="550">
        <v>7.92</v>
      </c>
      <c r="H459" s="551">
        <v>6.9018110000000004</v>
      </c>
      <c r="I459" s="550">
        <v>1108900</v>
      </c>
    </row>
    <row r="460" spans="1:9" x14ac:dyDescent="0.2">
      <c r="A460" s="549">
        <v>3206</v>
      </c>
      <c r="B460" s="549">
        <v>8</v>
      </c>
      <c r="C460" s="548">
        <v>41774</v>
      </c>
      <c r="D460" s="550">
        <v>8.09</v>
      </c>
      <c r="E460" s="550">
        <v>8.14</v>
      </c>
      <c r="F460" s="550">
        <v>8.2200000000000006</v>
      </c>
      <c r="G460" s="550">
        <v>8.0399999999999991</v>
      </c>
      <c r="H460" s="551">
        <v>6.9616790000000002</v>
      </c>
      <c r="I460" s="550">
        <v>1143400</v>
      </c>
    </row>
    <row r="461" spans="1:9" x14ac:dyDescent="0.2">
      <c r="A461" s="549">
        <v>3207</v>
      </c>
      <c r="B461" s="549">
        <v>8</v>
      </c>
      <c r="C461" s="548">
        <v>41775</v>
      </c>
      <c r="D461" s="550">
        <v>8.1300000000000008</v>
      </c>
      <c r="E461" s="550">
        <v>8.15</v>
      </c>
      <c r="F461" s="550">
        <v>8.19</v>
      </c>
      <c r="G461" s="550">
        <v>8.09</v>
      </c>
      <c r="H461" s="551">
        <v>6.9702310000000001</v>
      </c>
      <c r="I461" s="550">
        <v>316300</v>
      </c>
    </row>
    <row r="462" spans="1:9" x14ac:dyDescent="0.2">
      <c r="A462" s="549">
        <v>3208</v>
      </c>
      <c r="B462" s="549">
        <v>8</v>
      </c>
      <c r="C462" s="548">
        <v>41779</v>
      </c>
      <c r="D462" s="550">
        <v>8.15</v>
      </c>
      <c r="E462" s="550">
        <v>8.1199999999999992</v>
      </c>
      <c r="F462" s="550">
        <v>8.19</v>
      </c>
      <c r="G462" s="550">
        <v>8.08</v>
      </c>
      <c r="H462" s="551">
        <v>6.9445730000000001</v>
      </c>
      <c r="I462" s="550">
        <v>1174300</v>
      </c>
    </row>
    <row r="463" spans="1:9" x14ac:dyDescent="0.2">
      <c r="A463" s="549">
        <v>3209</v>
      </c>
      <c r="B463" s="549">
        <v>8</v>
      </c>
      <c r="C463" s="548">
        <v>41780</v>
      </c>
      <c r="D463" s="550">
        <v>8.1300000000000008</v>
      </c>
      <c r="E463" s="550">
        <v>8.1300000000000008</v>
      </c>
      <c r="F463" s="550">
        <v>8.15</v>
      </c>
      <c r="G463" s="550">
        <v>8.0500000000000007</v>
      </c>
      <c r="H463" s="551">
        <v>6.9531260000000001</v>
      </c>
      <c r="I463" s="550">
        <v>167600</v>
      </c>
    </row>
    <row r="464" spans="1:9" x14ac:dyDescent="0.2">
      <c r="A464" s="549">
        <v>3210</v>
      </c>
      <c r="B464" s="549">
        <v>8</v>
      </c>
      <c r="C464" s="548">
        <v>41781</v>
      </c>
      <c r="D464" s="550">
        <v>8.15</v>
      </c>
      <c r="E464" s="550">
        <v>8.09</v>
      </c>
      <c r="F464" s="550">
        <v>8.17</v>
      </c>
      <c r="G464" s="550">
        <v>8.07</v>
      </c>
      <c r="H464" s="551">
        <v>6.9189170000000004</v>
      </c>
      <c r="I464" s="550">
        <v>348000</v>
      </c>
    </row>
    <row r="465" spans="1:9" x14ac:dyDescent="0.2">
      <c r="A465" s="549">
        <v>3211</v>
      </c>
      <c r="B465" s="549">
        <v>8</v>
      </c>
      <c r="C465" s="548">
        <v>41782</v>
      </c>
      <c r="D465" s="550">
        <v>8.08</v>
      </c>
      <c r="E465" s="550">
        <v>8.1300000000000008</v>
      </c>
      <c r="F465" s="550">
        <v>8.19</v>
      </c>
      <c r="G465" s="550">
        <v>8.08</v>
      </c>
      <c r="H465" s="551">
        <v>6.9531260000000001</v>
      </c>
      <c r="I465" s="550">
        <v>178500</v>
      </c>
    </row>
    <row r="466" spans="1:9" x14ac:dyDescent="0.2">
      <c r="A466" s="549">
        <v>3212</v>
      </c>
      <c r="B466" s="549">
        <v>8</v>
      </c>
      <c r="C466" s="548">
        <v>41785</v>
      </c>
      <c r="D466" s="550">
        <v>8.18</v>
      </c>
      <c r="E466" s="550">
        <v>8.1999999999999993</v>
      </c>
      <c r="F466" s="550">
        <v>8.2200000000000006</v>
      </c>
      <c r="G466" s="550">
        <v>8.16</v>
      </c>
      <c r="H466" s="551">
        <v>7.0129929999999998</v>
      </c>
      <c r="I466" s="550">
        <v>291400</v>
      </c>
    </row>
    <row r="467" spans="1:9" x14ac:dyDescent="0.2">
      <c r="A467" s="549">
        <v>3213</v>
      </c>
      <c r="B467" s="549">
        <v>8</v>
      </c>
      <c r="C467" s="548">
        <v>41786</v>
      </c>
      <c r="D467" s="550">
        <v>8.23</v>
      </c>
      <c r="E467" s="550">
        <v>8.16</v>
      </c>
      <c r="F467" s="550">
        <v>8.25</v>
      </c>
      <c r="G467" s="550">
        <v>8.16</v>
      </c>
      <c r="H467" s="551">
        <v>6.9787840000000001</v>
      </c>
      <c r="I467" s="550">
        <v>971800</v>
      </c>
    </row>
    <row r="468" spans="1:9" x14ac:dyDescent="0.2">
      <c r="A468" s="549">
        <v>3214</v>
      </c>
      <c r="B468" s="549">
        <v>8</v>
      </c>
      <c r="C468" s="548">
        <v>41787</v>
      </c>
      <c r="D468" s="550">
        <v>8.1300000000000008</v>
      </c>
      <c r="E468" s="550">
        <v>8.14</v>
      </c>
      <c r="F468" s="550">
        <v>8.19</v>
      </c>
      <c r="G468" s="550">
        <v>8.1199999999999992</v>
      </c>
      <c r="H468" s="551">
        <v>6.9616790000000002</v>
      </c>
      <c r="I468" s="550">
        <v>173500</v>
      </c>
    </row>
    <row r="469" spans="1:9" x14ac:dyDescent="0.2">
      <c r="A469" s="549">
        <v>3215</v>
      </c>
      <c r="B469" s="549">
        <v>8</v>
      </c>
      <c r="C469" s="548">
        <v>41788</v>
      </c>
      <c r="D469" s="550">
        <v>8.1</v>
      </c>
      <c r="E469" s="550">
        <v>8.1</v>
      </c>
      <c r="F469" s="550">
        <v>8.14</v>
      </c>
      <c r="G469" s="550">
        <v>8.0500000000000007</v>
      </c>
      <c r="H469" s="551">
        <v>6.9274699999999996</v>
      </c>
      <c r="I469" s="550">
        <v>258600</v>
      </c>
    </row>
    <row r="470" spans="1:9" x14ac:dyDescent="0.2">
      <c r="A470" s="549">
        <v>3216</v>
      </c>
      <c r="B470" s="549">
        <v>8</v>
      </c>
      <c r="C470" s="548">
        <v>41789</v>
      </c>
      <c r="D470" s="550">
        <v>8.0500000000000007</v>
      </c>
      <c r="E470" s="550">
        <v>8.08</v>
      </c>
      <c r="F470" s="550">
        <v>8.1199999999999992</v>
      </c>
      <c r="G470" s="550">
        <v>8.01</v>
      </c>
      <c r="H470" s="551">
        <v>6.9103640000000004</v>
      </c>
      <c r="I470" s="550">
        <v>304800</v>
      </c>
    </row>
    <row r="471" spans="1:9" x14ac:dyDescent="0.2">
      <c r="A471" s="549">
        <v>3217</v>
      </c>
      <c r="B471" s="549">
        <v>8</v>
      </c>
      <c r="C471" s="548">
        <v>41792</v>
      </c>
      <c r="D471" s="550">
        <v>8.0399999999999991</v>
      </c>
      <c r="E471" s="550">
        <v>8.11</v>
      </c>
      <c r="F471" s="550">
        <v>8.1300000000000008</v>
      </c>
      <c r="G471" s="550">
        <v>8.0399999999999991</v>
      </c>
      <c r="H471" s="551">
        <v>6.9360210000000002</v>
      </c>
      <c r="I471" s="550">
        <v>107800</v>
      </c>
    </row>
    <row r="472" spans="1:9" x14ac:dyDescent="0.2">
      <c r="A472" s="549">
        <v>3218</v>
      </c>
      <c r="B472" s="549">
        <v>8</v>
      </c>
      <c r="C472" s="548">
        <v>41793</v>
      </c>
      <c r="D472" s="550">
        <v>8.1199999999999992</v>
      </c>
      <c r="E472" s="550">
        <v>8.07</v>
      </c>
      <c r="F472" s="550">
        <v>8.1199999999999992</v>
      </c>
      <c r="G472" s="550">
        <v>8.06</v>
      </c>
      <c r="H472" s="551">
        <v>6.9018110000000004</v>
      </c>
      <c r="I472" s="550">
        <v>332700</v>
      </c>
    </row>
    <row r="473" spans="1:9" x14ac:dyDescent="0.2">
      <c r="A473" s="549">
        <v>3219</v>
      </c>
      <c r="B473" s="549">
        <v>8</v>
      </c>
      <c r="C473" s="548">
        <v>41794</v>
      </c>
      <c r="D473" s="550">
        <v>8.06</v>
      </c>
      <c r="E473" s="550">
        <v>8.15</v>
      </c>
      <c r="F473" s="550">
        <v>8.16</v>
      </c>
      <c r="G473" s="550">
        <v>8.06</v>
      </c>
      <c r="H473" s="551">
        <v>6.9702310000000001</v>
      </c>
      <c r="I473" s="550">
        <v>92300</v>
      </c>
    </row>
    <row r="474" spans="1:9" x14ac:dyDescent="0.2">
      <c r="A474" s="549">
        <v>3220</v>
      </c>
      <c r="B474" s="549">
        <v>8</v>
      </c>
      <c r="C474" s="548">
        <v>41795</v>
      </c>
      <c r="D474" s="550">
        <v>8.11</v>
      </c>
      <c r="E474" s="550">
        <v>8.25</v>
      </c>
      <c r="F474" s="550">
        <v>8.25</v>
      </c>
      <c r="G474" s="550">
        <v>8.11</v>
      </c>
      <c r="H474" s="551">
        <v>7.0557540000000003</v>
      </c>
      <c r="I474" s="550">
        <v>203600</v>
      </c>
    </row>
    <row r="475" spans="1:9" x14ac:dyDescent="0.2">
      <c r="A475" s="549">
        <v>3221</v>
      </c>
      <c r="B475" s="549">
        <v>8</v>
      </c>
      <c r="C475" s="548">
        <v>41796</v>
      </c>
      <c r="D475" s="550">
        <v>8.23</v>
      </c>
      <c r="E475" s="550">
        <v>8.11</v>
      </c>
      <c r="F475" s="550">
        <v>8.2799999999999994</v>
      </c>
      <c r="G475" s="550">
        <v>8.1</v>
      </c>
      <c r="H475" s="551">
        <v>6.9360210000000002</v>
      </c>
      <c r="I475" s="550">
        <v>137000</v>
      </c>
    </row>
    <row r="476" spans="1:9" x14ac:dyDescent="0.2">
      <c r="A476" s="549">
        <v>3222</v>
      </c>
      <c r="B476" s="549">
        <v>8</v>
      </c>
      <c r="C476" s="548">
        <v>41799</v>
      </c>
      <c r="D476" s="550">
        <v>8.1</v>
      </c>
      <c r="E476" s="550">
        <v>8.1</v>
      </c>
      <c r="F476" s="550">
        <v>8.18</v>
      </c>
      <c r="G476" s="550">
        <v>8.08</v>
      </c>
      <c r="H476" s="551">
        <v>6.9274699999999996</v>
      </c>
      <c r="I476" s="550">
        <v>385300</v>
      </c>
    </row>
    <row r="477" spans="1:9" x14ac:dyDescent="0.2">
      <c r="A477" s="549">
        <v>3223</v>
      </c>
      <c r="B477" s="549">
        <v>8</v>
      </c>
      <c r="C477" s="548">
        <v>41800</v>
      </c>
      <c r="D477" s="550">
        <v>8.1</v>
      </c>
      <c r="E477" s="550">
        <v>8.0399999999999991</v>
      </c>
      <c r="F477" s="550">
        <v>8.1</v>
      </c>
      <c r="G477" s="550">
        <v>8</v>
      </c>
      <c r="H477" s="551">
        <v>6.8761530000000004</v>
      </c>
      <c r="I477" s="550">
        <v>506300</v>
      </c>
    </row>
    <row r="478" spans="1:9" x14ac:dyDescent="0.2">
      <c r="A478" s="549">
        <v>3224</v>
      </c>
      <c r="B478" s="549">
        <v>8</v>
      </c>
      <c r="C478" s="548">
        <v>41801</v>
      </c>
      <c r="D478" s="550">
        <v>8.01</v>
      </c>
      <c r="E478" s="550">
        <v>8.14</v>
      </c>
      <c r="F478" s="550">
        <v>8.15</v>
      </c>
      <c r="G478" s="550">
        <v>8.01</v>
      </c>
      <c r="H478" s="551">
        <v>6.9616790000000002</v>
      </c>
      <c r="I478" s="550">
        <v>618200</v>
      </c>
    </row>
    <row r="479" spans="1:9" x14ac:dyDescent="0.2">
      <c r="A479" s="549">
        <v>3225</v>
      </c>
      <c r="B479" s="549">
        <v>8</v>
      </c>
      <c r="C479" s="548">
        <v>41802</v>
      </c>
      <c r="D479" s="550">
        <v>8.11</v>
      </c>
      <c r="E479" s="550">
        <v>8.18</v>
      </c>
      <c r="F479" s="550">
        <v>8.19</v>
      </c>
      <c r="G479" s="550">
        <v>8.11</v>
      </c>
      <c r="H479" s="551">
        <v>6.9958879999999999</v>
      </c>
      <c r="I479" s="550">
        <v>308400</v>
      </c>
    </row>
    <row r="480" spans="1:9" x14ac:dyDescent="0.2">
      <c r="A480" s="549">
        <v>3226</v>
      </c>
      <c r="B480" s="549">
        <v>8</v>
      </c>
      <c r="C480" s="548">
        <v>41803</v>
      </c>
      <c r="D480" s="550">
        <v>8.1999999999999993</v>
      </c>
      <c r="E480" s="550">
        <v>8.16</v>
      </c>
      <c r="F480" s="550">
        <v>8.23</v>
      </c>
      <c r="G480" s="550">
        <v>8.1199999999999992</v>
      </c>
      <c r="H480" s="551">
        <v>6.9787840000000001</v>
      </c>
      <c r="I480" s="550">
        <v>327100</v>
      </c>
    </row>
    <row r="481" spans="1:9" x14ac:dyDescent="0.2">
      <c r="A481" s="549">
        <v>3227</v>
      </c>
      <c r="B481" s="549">
        <v>8</v>
      </c>
      <c r="C481" s="548">
        <v>41806</v>
      </c>
      <c r="D481" s="550">
        <v>8.16</v>
      </c>
      <c r="E481" s="550">
        <v>8.23</v>
      </c>
      <c r="F481" s="550">
        <v>8.24</v>
      </c>
      <c r="G481" s="550">
        <v>8.16</v>
      </c>
      <c r="H481" s="551">
        <v>7.0386509999999998</v>
      </c>
      <c r="I481" s="550">
        <v>111000</v>
      </c>
    </row>
    <row r="482" spans="1:9" x14ac:dyDescent="0.2">
      <c r="A482" s="549">
        <v>3228</v>
      </c>
      <c r="B482" s="549">
        <v>8</v>
      </c>
      <c r="C482" s="548">
        <v>41807</v>
      </c>
      <c r="D482" s="550">
        <v>8.2200000000000006</v>
      </c>
      <c r="E482" s="550">
        <v>8.19</v>
      </c>
      <c r="F482" s="550">
        <v>8.2200000000000006</v>
      </c>
      <c r="G482" s="550">
        <v>8.17</v>
      </c>
      <c r="H482" s="551">
        <v>7.0044409999999999</v>
      </c>
      <c r="I482" s="550">
        <v>169000</v>
      </c>
    </row>
    <row r="483" spans="1:9" x14ac:dyDescent="0.2">
      <c r="A483" s="549">
        <v>3229</v>
      </c>
      <c r="B483" s="549">
        <v>8</v>
      </c>
      <c r="C483" s="548">
        <v>41808</v>
      </c>
      <c r="D483" s="550">
        <v>8.16</v>
      </c>
      <c r="E483" s="550">
        <v>8.24</v>
      </c>
      <c r="F483" s="550">
        <v>8.24</v>
      </c>
      <c r="G483" s="550">
        <v>8.16</v>
      </c>
      <c r="H483" s="551">
        <v>7.0472020000000004</v>
      </c>
      <c r="I483" s="550">
        <v>913700</v>
      </c>
    </row>
    <row r="484" spans="1:9" x14ac:dyDescent="0.2">
      <c r="A484" s="549">
        <v>3230</v>
      </c>
      <c r="B484" s="549">
        <v>8</v>
      </c>
      <c r="C484" s="548">
        <v>41809</v>
      </c>
      <c r="D484" s="550">
        <v>8.26</v>
      </c>
      <c r="E484" s="550">
        <v>8.23</v>
      </c>
      <c r="F484" s="550">
        <v>8.26</v>
      </c>
      <c r="G484" s="550">
        <v>8.1999999999999993</v>
      </c>
      <c r="H484" s="551">
        <v>7.0386509999999998</v>
      </c>
      <c r="I484" s="550">
        <v>457200</v>
      </c>
    </row>
    <row r="485" spans="1:9" x14ac:dyDescent="0.2">
      <c r="A485" s="549">
        <v>3231</v>
      </c>
      <c r="B485" s="549">
        <v>8</v>
      </c>
      <c r="C485" s="548">
        <v>41810</v>
      </c>
      <c r="D485" s="550">
        <v>8.2200000000000006</v>
      </c>
      <c r="E485" s="550">
        <v>8.1999999999999993</v>
      </c>
      <c r="F485" s="550">
        <v>8.25</v>
      </c>
      <c r="G485" s="550">
        <v>8.18</v>
      </c>
      <c r="H485" s="551">
        <v>7.0129929999999998</v>
      </c>
      <c r="I485" s="550">
        <v>715200</v>
      </c>
    </row>
    <row r="486" spans="1:9" x14ac:dyDescent="0.2">
      <c r="A486" s="549">
        <v>3232</v>
      </c>
      <c r="B486" s="549">
        <v>8</v>
      </c>
      <c r="C486" s="548">
        <v>41813</v>
      </c>
      <c r="D486" s="550">
        <v>8.25</v>
      </c>
      <c r="E486" s="550">
        <v>8.17</v>
      </c>
      <c r="F486" s="550">
        <v>8.25</v>
      </c>
      <c r="G486" s="550">
        <v>8.15</v>
      </c>
      <c r="H486" s="551">
        <v>6.9873370000000001</v>
      </c>
      <c r="I486" s="550">
        <v>308800</v>
      </c>
    </row>
    <row r="487" spans="1:9" x14ac:dyDescent="0.2">
      <c r="A487" s="549">
        <v>3233</v>
      </c>
      <c r="B487" s="549">
        <v>8</v>
      </c>
      <c r="C487" s="548">
        <v>41814</v>
      </c>
      <c r="D487" s="550">
        <v>8.1999999999999993</v>
      </c>
      <c r="E487" s="550">
        <v>8.14</v>
      </c>
      <c r="F487" s="550">
        <v>8.1999999999999993</v>
      </c>
      <c r="G487" s="550">
        <v>8.1199999999999992</v>
      </c>
      <c r="H487" s="551">
        <v>6.9616790000000002</v>
      </c>
      <c r="I487" s="550">
        <v>163700</v>
      </c>
    </row>
    <row r="488" spans="1:9" x14ac:dyDescent="0.2">
      <c r="A488" s="549">
        <v>3234</v>
      </c>
      <c r="B488" s="549">
        <v>8</v>
      </c>
      <c r="C488" s="548">
        <v>41815</v>
      </c>
      <c r="D488" s="550">
        <v>8.14</v>
      </c>
      <c r="E488" s="550">
        <v>8.11</v>
      </c>
      <c r="F488" s="550">
        <v>8.16</v>
      </c>
      <c r="G488" s="550">
        <v>8.1</v>
      </c>
      <c r="H488" s="551">
        <v>6.9360210000000002</v>
      </c>
      <c r="I488" s="550">
        <v>171700</v>
      </c>
    </row>
    <row r="489" spans="1:9" x14ac:dyDescent="0.2">
      <c r="A489" s="549">
        <v>3235</v>
      </c>
      <c r="B489" s="549">
        <v>8</v>
      </c>
      <c r="C489" s="548">
        <v>41816</v>
      </c>
      <c r="D489" s="550">
        <v>8.0500000000000007</v>
      </c>
      <c r="E489" s="550">
        <v>8.1199999999999992</v>
      </c>
      <c r="F489" s="550">
        <v>8.1199999999999992</v>
      </c>
      <c r="G489" s="550">
        <v>7.99</v>
      </c>
      <c r="H489" s="551">
        <v>7.0181300000000002</v>
      </c>
      <c r="I489" s="550">
        <v>291000</v>
      </c>
    </row>
    <row r="490" spans="1:9" x14ac:dyDescent="0.2">
      <c r="A490" s="549">
        <v>3236</v>
      </c>
      <c r="B490" s="549">
        <v>8</v>
      </c>
      <c r="C490" s="548">
        <v>41817</v>
      </c>
      <c r="D490" s="550">
        <v>8.09</v>
      </c>
      <c r="E490" s="550">
        <v>8.08</v>
      </c>
      <c r="F490" s="550">
        <v>8.1300000000000008</v>
      </c>
      <c r="G490" s="550">
        <v>8.06</v>
      </c>
      <c r="H490" s="551">
        <v>6.9835570000000002</v>
      </c>
      <c r="I490" s="550">
        <v>134100</v>
      </c>
    </row>
    <row r="491" spans="1:9" x14ac:dyDescent="0.2">
      <c r="A491" s="549">
        <v>3237</v>
      </c>
      <c r="B491" s="549">
        <v>8</v>
      </c>
      <c r="C491" s="548">
        <v>41820</v>
      </c>
      <c r="D491" s="550">
        <v>8.1300000000000008</v>
      </c>
      <c r="E491" s="550">
        <v>8.23</v>
      </c>
      <c r="F491" s="550">
        <v>8.23</v>
      </c>
      <c r="G491" s="550">
        <v>8.11</v>
      </c>
      <c r="H491" s="551">
        <v>7.1132030000000004</v>
      </c>
      <c r="I491" s="550">
        <v>334800</v>
      </c>
    </row>
    <row r="492" spans="1:9" x14ac:dyDescent="0.2">
      <c r="A492" s="549">
        <v>3238</v>
      </c>
      <c r="B492" s="549">
        <v>8</v>
      </c>
      <c r="C492" s="548">
        <v>41822</v>
      </c>
      <c r="D492" s="550">
        <v>8.23</v>
      </c>
      <c r="E492" s="550">
        <v>8.2100000000000009</v>
      </c>
      <c r="F492" s="550">
        <v>8.23</v>
      </c>
      <c r="G492" s="550">
        <v>8.17</v>
      </c>
      <c r="H492" s="551">
        <v>7.0959159999999999</v>
      </c>
      <c r="I492" s="550">
        <v>233100</v>
      </c>
    </row>
    <row r="493" spans="1:9" x14ac:dyDescent="0.2">
      <c r="A493" s="549">
        <v>3239</v>
      </c>
      <c r="B493" s="549">
        <v>8</v>
      </c>
      <c r="C493" s="548">
        <v>41823</v>
      </c>
      <c r="D493" s="550">
        <v>8.1999999999999993</v>
      </c>
      <c r="E493" s="550">
        <v>8.14</v>
      </c>
      <c r="F493" s="550">
        <v>8.1999999999999993</v>
      </c>
      <c r="G493" s="550">
        <v>8.11</v>
      </c>
      <c r="H493" s="551">
        <v>7.0354169999999998</v>
      </c>
      <c r="I493" s="550">
        <v>304400</v>
      </c>
    </row>
    <row r="494" spans="1:9" x14ac:dyDescent="0.2">
      <c r="A494" s="549">
        <v>3240</v>
      </c>
      <c r="B494" s="549">
        <v>8</v>
      </c>
      <c r="C494" s="548">
        <v>41824</v>
      </c>
      <c r="D494" s="550">
        <v>8.18</v>
      </c>
      <c r="E494" s="550">
        <v>8.14</v>
      </c>
      <c r="F494" s="550">
        <v>8.18</v>
      </c>
      <c r="G494" s="550">
        <v>8.11</v>
      </c>
      <c r="H494" s="551">
        <v>7.0354169999999998</v>
      </c>
      <c r="I494" s="550">
        <v>65700</v>
      </c>
    </row>
    <row r="495" spans="1:9" x14ac:dyDescent="0.2">
      <c r="A495" s="549">
        <v>3241</v>
      </c>
      <c r="B495" s="549">
        <v>8</v>
      </c>
      <c r="C495" s="548">
        <v>41827</v>
      </c>
      <c r="D495" s="550">
        <v>8.1199999999999992</v>
      </c>
      <c r="E495" s="550">
        <v>8.07</v>
      </c>
      <c r="F495" s="550">
        <v>8.1300000000000008</v>
      </c>
      <c r="G495" s="550">
        <v>8.0500000000000007</v>
      </c>
      <c r="H495" s="551">
        <v>6.9749150000000002</v>
      </c>
      <c r="I495" s="550">
        <v>175900</v>
      </c>
    </row>
    <row r="496" spans="1:9" x14ac:dyDescent="0.2">
      <c r="A496" s="549">
        <v>3242</v>
      </c>
      <c r="B496" s="549">
        <v>8</v>
      </c>
      <c r="C496" s="548">
        <v>41828</v>
      </c>
      <c r="D496" s="550">
        <v>8.0299999999999994</v>
      </c>
      <c r="E496" s="550">
        <v>8.0500000000000007</v>
      </c>
      <c r="F496" s="550">
        <v>8.07</v>
      </c>
      <c r="G496" s="550">
        <v>7.99</v>
      </c>
      <c r="H496" s="551">
        <v>6.9576279999999997</v>
      </c>
      <c r="I496" s="550">
        <v>511700</v>
      </c>
    </row>
    <row r="497" spans="1:9" x14ac:dyDescent="0.2">
      <c r="A497" s="549">
        <v>3243</v>
      </c>
      <c r="B497" s="549">
        <v>8</v>
      </c>
      <c r="C497" s="548">
        <v>41829</v>
      </c>
      <c r="D497" s="550">
        <v>8.01</v>
      </c>
      <c r="E497" s="550">
        <v>8.02</v>
      </c>
      <c r="F497" s="550">
        <v>8.07</v>
      </c>
      <c r="G497" s="550">
        <v>8</v>
      </c>
      <c r="H497" s="551">
        <v>6.9317000000000002</v>
      </c>
      <c r="I497" s="550">
        <v>280100</v>
      </c>
    </row>
    <row r="498" spans="1:9" x14ac:dyDescent="0.2">
      <c r="A498" s="549">
        <v>3244</v>
      </c>
      <c r="B498" s="549">
        <v>8</v>
      </c>
      <c r="C498" s="548">
        <v>41830</v>
      </c>
      <c r="D498" s="550">
        <v>8.02</v>
      </c>
      <c r="E498" s="550">
        <v>8.1</v>
      </c>
      <c r="F498" s="550">
        <v>8.1300000000000008</v>
      </c>
      <c r="G498" s="550">
        <v>7.96</v>
      </c>
      <c r="H498" s="551">
        <v>7.0008439999999998</v>
      </c>
      <c r="I498" s="550">
        <v>332600</v>
      </c>
    </row>
    <row r="499" spans="1:9" x14ac:dyDescent="0.2">
      <c r="A499" s="549">
        <v>3245</v>
      </c>
      <c r="B499" s="549">
        <v>8</v>
      </c>
      <c r="C499" s="548">
        <v>41831</v>
      </c>
      <c r="D499" s="550">
        <v>8.06</v>
      </c>
      <c r="E499" s="550">
        <v>8.09</v>
      </c>
      <c r="F499" s="550">
        <v>8.1300000000000008</v>
      </c>
      <c r="G499" s="550">
        <v>8.06</v>
      </c>
      <c r="H499" s="551">
        <v>6.9922009999999997</v>
      </c>
      <c r="I499" s="550">
        <v>122800</v>
      </c>
    </row>
    <row r="500" spans="1:9" x14ac:dyDescent="0.2">
      <c r="A500" s="549">
        <v>3246</v>
      </c>
      <c r="B500" s="549">
        <v>8</v>
      </c>
      <c r="C500" s="548">
        <v>41834</v>
      </c>
      <c r="D500" s="550">
        <v>8.08</v>
      </c>
      <c r="E500" s="550">
        <v>8.09</v>
      </c>
      <c r="F500" s="550">
        <v>8.1300000000000008</v>
      </c>
      <c r="G500" s="550">
        <v>8.0500000000000007</v>
      </c>
      <c r="H500" s="551">
        <v>6.9922009999999997</v>
      </c>
      <c r="I500" s="550">
        <v>119100</v>
      </c>
    </row>
    <row r="501" spans="1:9" x14ac:dyDescent="0.2">
      <c r="A501" s="549">
        <v>3247</v>
      </c>
      <c r="B501" s="549">
        <v>8</v>
      </c>
      <c r="C501" s="548">
        <v>41835</v>
      </c>
      <c r="D501" s="550">
        <v>8.1199999999999992</v>
      </c>
      <c r="E501" s="550">
        <v>8.0299999999999994</v>
      </c>
      <c r="F501" s="550">
        <v>8.1300000000000008</v>
      </c>
      <c r="G501" s="550">
        <v>8.0299999999999994</v>
      </c>
      <c r="H501" s="551">
        <v>6.9403420000000002</v>
      </c>
      <c r="I501" s="550">
        <v>208700</v>
      </c>
    </row>
    <row r="502" spans="1:9" x14ac:dyDescent="0.2">
      <c r="A502" s="549">
        <v>3248</v>
      </c>
      <c r="B502" s="549">
        <v>8</v>
      </c>
      <c r="C502" s="548">
        <v>41836</v>
      </c>
      <c r="D502" s="550">
        <v>8.0399999999999991</v>
      </c>
      <c r="E502" s="550">
        <v>8.08</v>
      </c>
      <c r="F502" s="550">
        <v>8.11</v>
      </c>
      <c r="G502" s="550">
        <v>8.01</v>
      </c>
      <c r="H502" s="551">
        <v>6.9835570000000002</v>
      </c>
      <c r="I502" s="550">
        <v>133500</v>
      </c>
    </row>
    <row r="503" spans="1:9" x14ac:dyDescent="0.2">
      <c r="A503" s="549">
        <v>3249</v>
      </c>
      <c r="B503" s="549">
        <v>8</v>
      </c>
      <c r="C503" s="548">
        <v>41837</v>
      </c>
      <c r="D503" s="550">
        <v>8.07</v>
      </c>
      <c r="E503" s="550">
        <v>8.0500000000000007</v>
      </c>
      <c r="F503" s="550">
        <v>8.1300000000000008</v>
      </c>
      <c r="G503" s="550">
        <v>8.0399999999999991</v>
      </c>
      <c r="H503" s="551">
        <v>6.9576279999999997</v>
      </c>
      <c r="I503" s="550">
        <v>87100</v>
      </c>
    </row>
    <row r="504" spans="1:9" x14ac:dyDescent="0.2">
      <c r="A504" s="549">
        <v>3250</v>
      </c>
      <c r="B504" s="549">
        <v>8</v>
      </c>
      <c r="C504" s="548">
        <v>41838</v>
      </c>
      <c r="D504" s="550">
        <v>8.02</v>
      </c>
      <c r="E504" s="550">
        <v>8.1</v>
      </c>
      <c r="F504" s="550">
        <v>8.14</v>
      </c>
      <c r="G504" s="550">
        <v>8</v>
      </c>
      <c r="H504" s="551">
        <v>7.0008439999999998</v>
      </c>
      <c r="I504" s="550">
        <v>203600</v>
      </c>
    </row>
    <row r="505" spans="1:9" x14ac:dyDescent="0.2">
      <c r="A505" s="549">
        <v>3251</v>
      </c>
      <c r="B505" s="549">
        <v>8</v>
      </c>
      <c r="C505" s="548">
        <v>41841</v>
      </c>
      <c r="D505" s="550">
        <v>8.1</v>
      </c>
      <c r="E505" s="550">
        <v>8.08</v>
      </c>
      <c r="F505" s="550">
        <v>8.15</v>
      </c>
      <c r="G505" s="550">
        <v>8.06</v>
      </c>
      <c r="H505" s="551">
        <v>6.9835570000000002</v>
      </c>
      <c r="I505" s="550">
        <v>261700</v>
      </c>
    </row>
    <row r="506" spans="1:9" x14ac:dyDescent="0.2">
      <c r="A506" s="549">
        <v>3252</v>
      </c>
      <c r="B506" s="549">
        <v>8</v>
      </c>
      <c r="C506" s="548">
        <v>41842</v>
      </c>
      <c r="D506" s="550">
        <v>8.08</v>
      </c>
      <c r="E506" s="550">
        <v>8.1300000000000008</v>
      </c>
      <c r="F506" s="550">
        <v>8.17</v>
      </c>
      <c r="G506" s="550">
        <v>8.08</v>
      </c>
      <c r="H506" s="551">
        <v>7.0267720000000002</v>
      </c>
      <c r="I506" s="550">
        <v>294200</v>
      </c>
    </row>
    <row r="507" spans="1:9" x14ac:dyDescent="0.2">
      <c r="A507" s="549">
        <v>3253</v>
      </c>
      <c r="B507" s="549">
        <v>8</v>
      </c>
      <c r="C507" s="548">
        <v>41843</v>
      </c>
      <c r="D507" s="550">
        <v>8.14</v>
      </c>
      <c r="E507" s="550">
        <v>8.18</v>
      </c>
      <c r="F507" s="550">
        <v>8.19</v>
      </c>
      <c r="G507" s="550">
        <v>8.07</v>
      </c>
      <c r="H507" s="551">
        <v>7.0699870000000002</v>
      </c>
      <c r="I507" s="550">
        <v>220900</v>
      </c>
    </row>
    <row r="508" spans="1:9" x14ac:dyDescent="0.2">
      <c r="A508" s="549">
        <v>3254</v>
      </c>
      <c r="B508" s="549">
        <v>8</v>
      </c>
      <c r="C508" s="548">
        <v>41844</v>
      </c>
      <c r="D508" s="550">
        <v>8.17</v>
      </c>
      <c r="E508" s="550">
        <v>8.16</v>
      </c>
      <c r="F508" s="550">
        <v>8.18</v>
      </c>
      <c r="G508" s="550">
        <v>8.1300000000000008</v>
      </c>
      <c r="H508" s="551">
        <v>7.0527009999999999</v>
      </c>
      <c r="I508" s="550">
        <v>241200</v>
      </c>
    </row>
    <row r="509" spans="1:9" x14ac:dyDescent="0.2">
      <c r="A509" s="549">
        <v>3255</v>
      </c>
      <c r="B509" s="549">
        <v>8</v>
      </c>
      <c r="C509" s="548">
        <v>41845</v>
      </c>
      <c r="D509" s="550">
        <v>8.16</v>
      </c>
      <c r="E509" s="550">
        <v>8.15</v>
      </c>
      <c r="F509" s="550">
        <v>8.17</v>
      </c>
      <c r="G509" s="550">
        <v>8.1</v>
      </c>
      <c r="H509" s="551">
        <v>7.0440579999999997</v>
      </c>
      <c r="I509" s="550">
        <v>179800</v>
      </c>
    </row>
    <row r="510" spans="1:9" x14ac:dyDescent="0.2">
      <c r="A510" s="549">
        <v>3256</v>
      </c>
      <c r="B510" s="549">
        <v>8</v>
      </c>
      <c r="C510" s="548">
        <v>41848</v>
      </c>
      <c r="D510" s="550">
        <v>8.11</v>
      </c>
      <c r="E510" s="550">
        <v>8.14</v>
      </c>
      <c r="F510" s="550">
        <v>8.17</v>
      </c>
      <c r="G510" s="550">
        <v>8.0399999999999991</v>
      </c>
      <c r="H510" s="551">
        <v>7.0354169999999998</v>
      </c>
      <c r="I510" s="550">
        <v>225900</v>
      </c>
    </row>
    <row r="511" spans="1:9" x14ac:dyDescent="0.2">
      <c r="A511" s="549">
        <v>3257</v>
      </c>
      <c r="B511" s="549">
        <v>8</v>
      </c>
      <c r="C511" s="548">
        <v>41849</v>
      </c>
      <c r="D511" s="550">
        <v>8.1</v>
      </c>
      <c r="E511" s="550">
        <v>8.19</v>
      </c>
      <c r="F511" s="550">
        <v>8.2100000000000009</v>
      </c>
      <c r="G511" s="550">
        <v>8.09</v>
      </c>
      <c r="H511" s="551">
        <v>7.0786309999999997</v>
      </c>
      <c r="I511" s="550">
        <v>193700</v>
      </c>
    </row>
    <row r="512" spans="1:9" x14ac:dyDescent="0.2">
      <c r="A512" s="549">
        <v>3258</v>
      </c>
      <c r="B512" s="549">
        <v>8</v>
      </c>
      <c r="C512" s="548">
        <v>41850</v>
      </c>
      <c r="D512" s="550">
        <v>8.23</v>
      </c>
      <c r="E512" s="550">
        <v>8.2200000000000006</v>
      </c>
      <c r="F512" s="550">
        <v>8.25</v>
      </c>
      <c r="G512" s="550">
        <v>8.16</v>
      </c>
      <c r="H512" s="551">
        <v>7.1045600000000002</v>
      </c>
      <c r="I512" s="550">
        <v>1217900</v>
      </c>
    </row>
    <row r="513" spans="1:9" x14ac:dyDescent="0.2">
      <c r="A513" s="549">
        <v>3259</v>
      </c>
      <c r="B513" s="549">
        <v>8</v>
      </c>
      <c r="C513" s="548">
        <v>41851</v>
      </c>
      <c r="D513" s="550">
        <v>8.1999999999999993</v>
      </c>
      <c r="E513" s="550">
        <v>8.11</v>
      </c>
      <c r="F513" s="550">
        <v>8.23</v>
      </c>
      <c r="G513" s="550">
        <v>8.11</v>
      </c>
      <c r="H513" s="551">
        <v>7.009487</v>
      </c>
      <c r="I513" s="550">
        <v>257800</v>
      </c>
    </row>
    <row r="514" spans="1:9" x14ac:dyDescent="0.2">
      <c r="A514" s="549">
        <v>3260</v>
      </c>
      <c r="B514" s="549">
        <v>8</v>
      </c>
      <c r="C514" s="548">
        <v>41852</v>
      </c>
      <c r="D514" s="550">
        <v>8.1</v>
      </c>
      <c r="E514" s="550">
        <v>8.18</v>
      </c>
      <c r="F514" s="550">
        <v>8.2200000000000006</v>
      </c>
      <c r="G514" s="550">
        <v>8.06</v>
      </c>
      <c r="H514" s="551">
        <v>7.0699870000000002</v>
      </c>
      <c r="I514" s="550">
        <v>201300</v>
      </c>
    </row>
    <row r="515" spans="1:9" x14ac:dyDescent="0.2">
      <c r="A515" s="549">
        <v>3261</v>
      </c>
      <c r="B515" s="549">
        <v>8</v>
      </c>
      <c r="C515" s="548">
        <v>41856</v>
      </c>
      <c r="D515" s="550">
        <v>8.18</v>
      </c>
      <c r="E515" s="550">
        <v>8.19</v>
      </c>
      <c r="F515" s="550">
        <v>8.1999999999999993</v>
      </c>
      <c r="G515" s="550">
        <v>8.15</v>
      </c>
      <c r="H515" s="551">
        <v>7.0786309999999997</v>
      </c>
      <c r="I515" s="550">
        <v>131600</v>
      </c>
    </row>
    <row r="516" spans="1:9" x14ac:dyDescent="0.2">
      <c r="A516" s="549">
        <v>3262</v>
      </c>
      <c r="B516" s="549">
        <v>8</v>
      </c>
      <c r="C516" s="548">
        <v>41857</v>
      </c>
      <c r="D516" s="550">
        <v>8.18</v>
      </c>
      <c r="E516" s="550">
        <v>8.17</v>
      </c>
      <c r="F516" s="550">
        <v>8.19</v>
      </c>
      <c r="G516" s="550">
        <v>8.11</v>
      </c>
      <c r="H516" s="551">
        <v>7.0613460000000003</v>
      </c>
      <c r="I516" s="550">
        <v>107300</v>
      </c>
    </row>
    <row r="517" spans="1:9" x14ac:dyDescent="0.2">
      <c r="A517" s="549">
        <v>3263</v>
      </c>
      <c r="B517" s="549">
        <v>8</v>
      </c>
      <c r="C517" s="548">
        <v>41858</v>
      </c>
      <c r="D517" s="550">
        <v>8.14</v>
      </c>
      <c r="E517" s="550">
        <v>8.16</v>
      </c>
      <c r="F517" s="550">
        <v>8.17</v>
      </c>
      <c r="G517" s="550">
        <v>8.11</v>
      </c>
      <c r="H517" s="551">
        <v>7.0527009999999999</v>
      </c>
      <c r="I517" s="550">
        <v>106300</v>
      </c>
    </row>
    <row r="518" spans="1:9" x14ac:dyDescent="0.2">
      <c r="A518" s="549">
        <v>3264</v>
      </c>
      <c r="B518" s="549">
        <v>8</v>
      </c>
      <c r="C518" s="548">
        <v>41859</v>
      </c>
      <c r="D518" s="550">
        <v>8.17</v>
      </c>
      <c r="E518" s="550">
        <v>8.15</v>
      </c>
      <c r="F518" s="550">
        <v>8.1999999999999993</v>
      </c>
      <c r="G518" s="550">
        <v>8.14</v>
      </c>
      <c r="H518" s="551">
        <v>7.0440579999999997</v>
      </c>
      <c r="I518" s="550">
        <v>100200</v>
      </c>
    </row>
    <row r="519" spans="1:9" x14ac:dyDescent="0.2">
      <c r="A519" s="549">
        <v>3265</v>
      </c>
      <c r="B519" s="549">
        <v>8</v>
      </c>
      <c r="C519" s="548">
        <v>41862</v>
      </c>
      <c r="D519" s="550">
        <v>8.15</v>
      </c>
      <c r="E519" s="550">
        <v>8.16</v>
      </c>
      <c r="F519" s="550">
        <v>8.19</v>
      </c>
      <c r="G519" s="550">
        <v>8.15</v>
      </c>
      <c r="H519" s="551">
        <v>7.0527009999999999</v>
      </c>
      <c r="I519" s="550">
        <v>99900</v>
      </c>
    </row>
    <row r="520" spans="1:9" x14ac:dyDescent="0.2">
      <c r="A520" s="549">
        <v>3266</v>
      </c>
      <c r="B520" s="549">
        <v>8</v>
      </c>
      <c r="C520" s="548">
        <v>41863</v>
      </c>
      <c r="D520" s="550">
        <v>8.16</v>
      </c>
      <c r="E520" s="550">
        <v>8.17</v>
      </c>
      <c r="F520" s="550">
        <v>8.17</v>
      </c>
      <c r="G520" s="550">
        <v>8.14</v>
      </c>
      <c r="H520" s="551">
        <v>7.0613460000000003</v>
      </c>
      <c r="I520" s="550">
        <v>57700</v>
      </c>
    </row>
    <row r="521" spans="1:9" x14ac:dyDescent="0.2">
      <c r="A521" s="549">
        <v>3267</v>
      </c>
      <c r="B521" s="549">
        <v>8</v>
      </c>
      <c r="C521" s="548">
        <v>41864</v>
      </c>
      <c r="D521" s="550">
        <v>8.15</v>
      </c>
      <c r="E521" s="550">
        <v>8.2200000000000006</v>
      </c>
      <c r="F521" s="550">
        <v>8.25</v>
      </c>
      <c r="G521" s="550">
        <v>8.15</v>
      </c>
      <c r="H521" s="551">
        <v>7.1045600000000002</v>
      </c>
      <c r="I521" s="550">
        <v>100400</v>
      </c>
    </row>
    <row r="522" spans="1:9" x14ac:dyDescent="0.2">
      <c r="A522" s="549">
        <v>3268</v>
      </c>
      <c r="B522" s="549">
        <v>8</v>
      </c>
      <c r="C522" s="548">
        <v>41865</v>
      </c>
      <c r="D522" s="550">
        <v>8.25</v>
      </c>
      <c r="E522" s="550">
        <v>8.48</v>
      </c>
      <c r="F522" s="550">
        <v>8.49</v>
      </c>
      <c r="G522" s="550">
        <v>8.24</v>
      </c>
      <c r="H522" s="551">
        <v>7.3292780000000004</v>
      </c>
      <c r="I522" s="550">
        <v>539200</v>
      </c>
    </row>
    <row r="523" spans="1:9" x14ac:dyDescent="0.2">
      <c r="A523" s="549">
        <v>3269</v>
      </c>
      <c r="B523" s="549">
        <v>8</v>
      </c>
      <c r="C523" s="548">
        <v>41866</v>
      </c>
      <c r="D523" s="550">
        <v>8.51</v>
      </c>
      <c r="E523" s="550">
        <v>8.52</v>
      </c>
      <c r="F523" s="550">
        <v>8.56</v>
      </c>
      <c r="G523" s="550">
        <v>8.4</v>
      </c>
      <c r="H523" s="551">
        <v>7.3638519999999996</v>
      </c>
      <c r="I523" s="550">
        <v>539800</v>
      </c>
    </row>
    <row r="524" spans="1:9" x14ac:dyDescent="0.2">
      <c r="A524" s="549">
        <v>3270</v>
      </c>
      <c r="B524" s="549">
        <v>8</v>
      </c>
      <c r="C524" s="548">
        <v>41869</v>
      </c>
      <c r="D524" s="550">
        <v>8.56</v>
      </c>
      <c r="E524" s="550">
        <v>8.7200000000000006</v>
      </c>
      <c r="F524" s="550">
        <v>8.84</v>
      </c>
      <c r="G524" s="550">
        <v>8.5500000000000007</v>
      </c>
      <c r="H524" s="551">
        <v>7.5367119999999996</v>
      </c>
      <c r="I524" s="550">
        <v>495500</v>
      </c>
    </row>
    <row r="525" spans="1:9" x14ac:dyDescent="0.2">
      <c r="A525" s="549">
        <v>3271</v>
      </c>
      <c r="B525" s="549">
        <v>8</v>
      </c>
      <c r="C525" s="548">
        <v>41870</v>
      </c>
      <c r="D525" s="550">
        <v>8.75</v>
      </c>
      <c r="E525" s="550">
        <v>8.9499999999999993</v>
      </c>
      <c r="F525" s="550">
        <v>8.9499999999999993</v>
      </c>
      <c r="G525" s="550">
        <v>8.75</v>
      </c>
      <c r="H525" s="551">
        <v>7.7355</v>
      </c>
      <c r="I525" s="550">
        <v>533900</v>
      </c>
    </row>
    <row r="526" spans="1:9" x14ac:dyDescent="0.2">
      <c r="A526" s="549">
        <v>3272</v>
      </c>
      <c r="B526" s="549">
        <v>8</v>
      </c>
      <c r="C526" s="548">
        <v>41871</v>
      </c>
      <c r="D526" s="550">
        <v>8.9499999999999993</v>
      </c>
      <c r="E526" s="550">
        <v>8.8800000000000008</v>
      </c>
      <c r="F526" s="550">
        <v>8.9700000000000006</v>
      </c>
      <c r="G526" s="550">
        <v>8.7899999999999991</v>
      </c>
      <c r="H526" s="551">
        <v>7.6749999999999998</v>
      </c>
      <c r="I526" s="550">
        <v>327600</v>
      </c>
    </row>
    <row r="527" spans="1:9" x14ac:dyDescent="0.2">
      <c r="A527" s="549">
        <v>3273</v>
      </c>
      <c r="B527" s="549">
        <v>8</v>
      </c>
      <c r="C527" s="548">
        <v>41872</v>
      </c>
      <c r="D527" s="550">
        <v>8.8800000000000008</v>
      </c>
      <c r="E527" s="550">
        <v>8.8800000000000008</v>
      </c>
      <c r="F527" s="550">
        <v>8.91</v>
      </c>
      <c r="G527" s="550">
        <v>8.85</v>
      </c>
      <c r="H527" s="551">
        <v>7.6749999999999998</v>
      </c>
      <c r="I527" s="550">
        <v>162600</v>
      </c>
    </row>
    <row r="528" spans="1:9" x14ac:dyDescent="0.2">
      <c r="A528" s="549">
        <v>3274</v>
      </c>
      <c r="B528" s="549">
        <v>8</v>
      </c>
      <c r="C528" s="548">
        <v>41873</v>
      </c>
      <c r="D528" s="550">
        <v>8.89</v>
      </c>
      <c r="E528" s="550">
        <v>8.89</v>
      </c>
      <c r="F528" s="550">
        <v>8.91</v>
      </c>
      <c r="G528" s="550">
        <v>8.8000000000000007</v>
      </c>
      <c r="H528" s="551">
        <v>7.683643</v>
      </c>
      <c r="I528" s="550">
        <v>299700</v>
      </c>
    </row>
    <row r="529" spans="1:9" x14ac:dyDescent="0.2">
      <c r="A529" s="549">
        <v>3275</v>
      </c>
      <c r="B529" s="549">
        <v>8</v>
      </c>
      <c r="C529" s="548">
        <v>41876</v>
      </c>
      <c r="D529" s="550">
        <v>8.89</v>
      </c>
      <c r="E529" s="550">
        <v>8.9499999999999993</v>
      </c>
      <c r="F529" s="550">
        <v>9.0299999999999994</v>
      </c>
      <c r="G529" s="550">
        <v>8.89</v>
      </c>
      <c r="H529" s="551">
        <v>7.7355</v>
      </c>
      <c r="I529" s="550">
        <v>441700</v>
      </c>
    </row>
    <row r="530" spans="1:9" x14ac:dyDescent="0.2">
      <c r="A530" s="549">
        <v>3276</v>
      </c>
      <c r="B530" s="549">
        <v>8</v>
      </c>
      <c r="C530" s="548">
        <v>41877</v>
      </c>
      <c r="D530" s="550">
        <v>8.9499999999999993</v>
      </c>
      <c r="E530" s="550">
        <v>9</v>
      </c>
      <c r="F530" s="550">
        <v>9.09</v>
      </c>
      <c r="G530" s="550">
        <v>8.9499999999999993</v>
      </c>
      <c r="H530" s="551">
        <v>7.7787129999999998</v>
      </c>
      <c r="I530" s="550">
        <v>276600</v>
      </c>
    </row>
    <row r="531" spans="1:9" x14ac:dyDescent="0.2">
      <c r="A531" s="549">
        <v>3277</v>
      </c>
      <c r="B531" s="549">
        <v>8</v>
      </c>
      <c r="C531" s="548">
        <v>41878</v>
      </c>
      <c r="D531" s="550">
        <v>9</v>
      </c>
      <c r="E531" s="550">
        <v>9.0500000000000007</v>
      </c>
      <c r="F531" s="550">
        <v>9.1</v>
      </c>
      <c r="G531" s="550">
        <v>9</v>
      </c>
      <c r="H531" s="551">
        <v>7.82193</v>
      </c>
      <c r="I531" s="550">
        <v>240200</v>
      </c>
    </row>
    <row r="532" spans="1:9" x14ac:dyDescent="0.2">
      <c r="A532" s="549">
        <v>3278</v>
      </c>
      <c r="B532" s="549">
        <v>8</v>
      </c>
      <c r="C532" s="548">
        <v>41879</v>
      </c>
      <c r="D532" s="550">
        <v>9.0500000000000007</v>
      </c>
      <c r="E532" s="550">
        <v>9.0399999999999991</v>
      </c>
      <c r="F532" s="550">
        <v>9.09</v>
      </c>
      <c r="G532" s="550">
        <v>9.01</v>
      </c>
      <c r="H532" s="551">
        <v>7.813288</v>
      </c>
      <c r="I532" s="550">
        <v>231900</v>
      </c>
    </row>
    <row r="533" spans="1:9" x14ac:dyDescent="0.2">
      <c r="A533" s="549">
        <v>3279</v>
      </c>
      <c r="B533" s="549">
        <v>8</v>
      </c>
      <c r="C533" s="548">
        <v>41880</v>
      </c>
      <c r="D533" s="550">
        <v>9.02</v>
      </c>
      <c r="E533" s="550">
        <v>9.0500000000000007</v>
      </c>
      <c r="F533" s="550">
        <v>9.09</v>
      </c>
      <c r="G533" s="550">
        <v>9.02</v>
      </c>
      <c r="H533" s="551">
        <v>7.82193</v>
      </c>
      <c r="I533" s="550">
        <v>168100</v>
      </c>
    </row>
    <row r="534" spans="1:9" x14ac:dyDescent="0.2">
      <c r="A534" s="549">
        <v>3280</v>
      </c>
      <c r="B534" s="549">
        <v>8</v>
      </c>
      <c r="C534" s="548">
        <v>41884</v>
      </c>
      <c r="D534" s="550">
        <v>9.0500000000000007</v>
      </c>
      <c r="E534" s="550">
        <v>9</v>
      </c>
      <c r="F534" s="550">
        <v>9.06</v>
      </c>
      <c r="G534" s="550">
        <v>8.98</v>
      </c>
      <c r="H534" s="551">
        <v>7.7787129999999998</v>
      </c>
      <c r="I534" s="550">
        <v>247700</v>
      </c>
    </row>
    <row r="535" spans="1:9" x14ac:dyDescent="0.2">
      <c r="A535" s="549">
        <v>3281</v>
      </c>
      <c r="B535" s="549">
        <v>8</v>
      </c>
      <c r="C535" s="548">
        <v>41885</v>
      </c>
      <c r="D535" s="550">
        <v>9.0500000000000007</v>
      </c>
      <c r="E535" s="550">
        <v>9.06</v>
      </c>
      <c r="F535" s="550">
        <v>9.11</v>
      </c>
      <c r="G535" s="550">
        <v>9.02</v>
      </c>
      <c r="H535" s="551">
        <v>7.8305740000000004</v>
      </c>
      <c r="I535" s="550">
        <v>313300</v>
      </c>
    </row>
    <row r="536" spans="1:9" x14ac:dyDescent="0.2">
      <c r="A536" s="549">
        <v>3282</v>
      </c>
      <c r="B536" s="549">
        <v>8</v>
      </c>
      <c r="C536" s="548">
        <v>41886</v>
      </c>
      <c r="D536" s="550">
        <v>9.0299999999999994</v>
      </c>
      <c r="E536" s="550">
        <v>9.07</v>
      </c>
      <c r="F536" s="550">
        <v>9.1300000000000008</v>
      </c>
      <c r="G536" s="550">
        <v>9.0299999999999994</v>
      </c>
      <c r="H536" s="551">
        <v>7.8392160000000004</v>
      </c>
      <c r="I536" s="550">
        <v>147800</v>
      </c>
    </row>
    <row r="537" spans="1:9" x14ac:dyDescent="0.2">
      <c r="A537" s="549">
        <v>3283</v>
      </c>
      <c r="B537" s="549">
        <v>8</v>
      </c>
      <c r="C537" s="548">
        <v>41887</v>
      </c>
      <c r="D537" s="550">
        <v>8.8000000000000007</v>
      </c>
      <c r="E537" s="550">
        <v>8.85</v>
      </c>
      <c r="F537" s="550">
        <v>8.8699999999999992</v>
      </c>
      <c r="G537" s="550">
        <v>8.7899999999999991</v>
      </c>
      <c r="H537" s="551">
        <v>7.6490720000000003</v>
      </c>
      <c r="I537" s="550">
        <v>981700</v>
      </c>
    </row>
    <row r="538" spans="1:9" x14ac:dyDescent="0.2">
      <c r="A538" s="549">
        <v>3284</v>
      </c>
      <c r="B538" s="549">
        <v>8</v>
      </c>
      <c r="C538" s="548">
        <v>41890</v>
      </c>
      <c r="D538" s="550">
        <v>8.86</v>
      </c>
      <c r="E538" s="550">
        <v>8.83</v>
      </c>
      <c r="F538" s="550">
        <v>8.8699999999999992</v>
      </c>
      <c r="G538" s="550">
        <v>8.8000000000000007</v>
      </c>
      <c r="H538" s="551">
        <v>7.6317839999999997</v>
      </c>
      <c r="I538" s="550">
        <v>535800</v>
      </c>
    </row>
    <row r="539" spans="1:9" x14ac:dyDescent="0.2">
      <c r="A539" s="549">
        <v>3285</v>
      </c>
      <c r="B539" s="549">
        <v>8</v>
      </c>
      <c r="C539" s="548">
        <v>41891</v>
      </c>
      <c r="D539" s="550">
        <v>8.8000000000000007</v>
      </c>
      <c r="E539" s="550">
        <v>8.7799999999999994</v>
      </c>
      <c r="F539" s="550">
        <v>8.81</v>
      </c>
      <c r="G539" s="550">
        <v>8.76</v>
      </c>
      <c r="H539" s="551">
        <v>7.5885699999999998</v>
      </c>
      <c r="I539" s="550">
        <v>308700</v>
      </c>
    </row>
    <row r="540" spans="1:9" x14ac:dyDescent="0.2">
      <c r="A540" s="549">
        <v>3286</v>
      </c>
      <c r="B540" s="549">
        <v>8</v>
      </c>
      <c r="C540" s="548">
        <v>41892</v>
      </c>
      <c r="D540" s="550">
        <v>8.7799999999999994</v>
      </c>
      <c r="E540" s="550">
        <v>8.7799999999999994</v>
      </c>
      <c r="F540" s="550">
        <v>8.8000000000000007</v>
      </c>
      <c r="G540" s="550">
        <v>8.75</v>
      </c>
      <c r="H540" s="551">
        <v>7.5885699999999998</v>
      </c>
      <c r="I540" s="550">
        <v>348000</v>
      </c>
    </row>
    <row r="541" spans="1:9" x14ac:dyDescent="0.2">
      <c r="A541" s="549">
        <v>3287</v>
      </c>
      <c r="B541" s="549">
        <v>8</v>
      </c>
      <c r="C541" s="548">
        <v>41893</v>
      </c>
      <c r="D541" s="550">
        <v>8.7799999999999994</v>
      </c>
      <c r="E541" s="550">
        <v>8.81</v>
      </c>
      <c r="F541" s="550">
        <v>8.82</v>
      </c>
      <c r="G541" s="550">
        <v>8.75</v>
      </c>
      <c r="H541" s="551">
        <v>7.6144980000000002</v>
      </c>
      <c r="I541" s="550">
        <v>198800</v>
      </c>
    </row>
    <row r="542" spans="1:9" x14ac:dyDescent="0.2">
      <c r="A542" s="549">
        <v>3288</v>
      </c>
      <c r="B542" s="549">
        <v>8</v>
      </c>
      <c r="C542" s="548">
        <v>41894</v>
      </c>
      <c r="D542" s="550">
        <v>8.82</v>
      </c>
      <c r="E542" s="550">
        <v>8.7899999999999991</v>
      </c>
      <c r="F542" s="550">
        <v>8.84</v>
      </c>
      <c r="G542" s="550">
        <v>8.75</v>
      </c>
      <c r="H542" s="551">
        <v>7.5972099999999996</v>
      </c>
      <c r="I542" s="550">
        <v>182600</v>
      </c>
    </row>
    <row r="543" spans="1:9" x14ac:dyDescent="0.2">
      <c r="A543" s="549">
        <v>3289</v>
      </c>
      <c r="B543" s="549">
        <v>8</v>
      </c>
      <c r="C543" s="548">
        <v>41897</v>
      </c>
      <c r="D543" s="550">
        <v>8.7799999999999994</v>
      </c>
      <c r="E543" s="550">
        <v>8.8000000000000007</v>
      </c>
      <c r="F543" s="550">
        <v>8.8000000000000007</v>
      </c>
      <c r="G543" s="550">
        <v>8.77</v>
      </c>
      <c r="H543" s="551">
        <v>7.6058560000000002</v>
      </c>
      <c r="I543" s="550">
        <v>213900</v>
      </c>
    </row>
    <row r="544" spans="1:9" x14ac:dyDescent="0.2">
      <c r="A544" s="549">
        <v>3290</v>
      </c>
      <c r="B544" s="549">
        <v>8</v>
      </c>
      <c r="C544" s="548">
        <v>41898</v>
      </c>
      <c r="D544" s="550">
        <v>8.8000000000000007</v>
      </c>
      <c r="E544" s="550">
        <v>8.83</v>
      </c>
      <c r="F544" s="550">
        <v>8.85</v>
      </c>
      <c r="G544" s="550">
        <v>8.8000000000000007</v>
      </c>
      <c r="H544" s="551">
        <v>7.6317839999999997</v>
      </c>
      <c r="I544" s="550">
        <v>598500</v>
      </c>
    </row>
    <row r="545" spans="1:9" x14ac:dyDescent="0.2">
      <c r="A545" s="549">
        <v>3291</v>
      </c>
      <c r="B545" s="549">
        <v>8</v>
      </c>
      <c r="C545" s="548">
        <v>41899</v>
      </c>
      <c r="D545" s="550">
        <v>8.84</v>
      </c>
      <c r="E545" s="550">
        <v>8.85</v>
      </c>
      <c r="F545" s="550">
        <v>8.86</v>
      </c>
      <c r="G545" s="550">
        <v>8.8000000000000007</v>
      </c>
      <c r="H545" s="551">
        <v>7.6490720000000003</v>
      </c>
      <c r="I545" s="550">
        <v>448000</v>
      </c>
    </row>
    <row r="546" spans="1:9" x14ac:dyDescent="0.2">
      <c r="A546" s="549">
        <v>3292</v>
      </c>
      <c r="B546" s="549">
        <v>8</v>
      </c>
      <c r="C546" s="548">
        <v>41900</v>
      </c>
      <c r="D546" s="550">
        <v>8.86</v>
      </c>
      <c r="E546" s="550">
        <v>8.86</v>
      </c>
      <c r="F546" s="550">
        <v>8.8699999999999992</v>
      </c>
      <c r="G546" s="550">
        <v>8.82</v>
      </c>
      <c r="H546" s="551">
        <v>7.6577120000000001</v>
      </c>
      <c r="I546" s="550">
        <v>1250200</v>
      </c>
    </row>
    <row r="547" spans="1:9" x14ac:dyDescent="0.2">
      <c r="A547" s="549">
        <v>3293</v>
      </c>
      <c r="B547" s="549">
        <v>8</v>
      </c>
      <c r="C547" s="548">
        <v>41901</v>
      </c>
      <c r="D547" s="550">
        <v>8.8800000000000008</v>
      </c>
      <c r="E547" s="550">
        <v>8.98</v>
      </c>
      <c r="F547" s="550">
        <v>8.98</v>
      </c>
      <c r="G547" s="550">
        <v>8.86</v>
      </c>
      <c r="H547" s="551">
        <v>7.7614280000000004</v>
      </c>
      <c r="I547" s="550">
        <v>2329400</v>
      </c>
    </row>
    <row r="548" spans="1:9" x14ac:dyDescent="0.2">
      <c r="A548" s="549">
        <v>3294</v>
      </c>
      <c r="B548" s="549">
        <v>8</v>
      </c>
      <c r="C548" s="548">
        <v>41904</v>
      </c>
      <c r="D548" s="550">
        <v>8.99</v>
      </c>
      <c r="E548" s="550">
        <v>9</v>
      </c>
      <c r="F548" s="550">
        <v>9.0500000000000007</v>
      </c>
      <c r="G548" s="550">
        <v>8.92</v>
      </c>
      <c r="H548" s="551">
        <v>7.7787129999999998</v>
      </c>
      <c r="I548" s="550">
        <v>746500</v>
      </c>
    </row>
    <row r="549" spans="1:9" x14ac:dyDescent="0.2">
      <c r="A549" s="549">
        <v>3295</v>
      </c>
      <c r="B549" s="549">
        <v>8</v>
      </c>
      <c r="C549" s="548">
        <v>41905</v>
      </c>
      <c r="D549" s="550">
        <v>9</v>
      </c>
      <c r="E549" s="550">
        <v>9.0299999999999994</v>
      </c>
      <c r="F549" s="550">
        <v>9.0500000000000007</v>
      </c>
      <c r="G549" s="550">
        <v>8.99</v>
      </c>
      <c r="H549" s="551">
        <v>7.8046449999999998</v>
      </c>
      <c r="I549" s="550">
        <v>330300</v>
      </c>
    </row>
    <row r="550" spans="1:9" x14ac:dyDescent="0.2">
      <c r="A550" s="549">
        <v>3296</v>
      </c>
      <c r="B550" s="549">
        <v>8</v>
      </c>
      <c r="C550" s="548">
        <v>41906</v>
      </c>
      <c r="D550" s="550">
        <v>9.0299999999999994</v>
      </c>
      <c r="E550" s="550">
        <v>8.99</v>
      </c>
      <c r="F550" s="550">
        <v>9.0299999999999994</v>
      </c>
      <c r="G550" s="550">
        <v>8.9600000000000009</v>
      </c>
      <c r="H550" s="551">
        <v>7.770073</v>
      </c>
      <c r="I550" s="550">
        <v>796600</v>
      </c>
    </row>
    <row r="551" spans="1:9" x14ac:dyDescent="0.2">
      <c r="A551" s="549">
        <v>3297</v>
      </c>
      <c r="B551" s="549">
        <v>8</v>
      </c>
      <c r="C551" s="548">
        <v>41907</v>
      </c>
      <c r="D551" s="550">
        <v>9</v>
      </c>
      <c r="E551" s="550">
        <v>8.8699999999999992</v>
      </c>
      <c r="F551" s="550">
        <v>9</v>
      </c>
      <c r="G551" s="550">
        <v>8.83</v>
      </c>
      <c r="H551" s="551">
        <v>7.6663569999999996</v>
      </c>
      <c r="I551" s="550">
        <v>361200</v>
      </c>
    </row>
    <row r="552" spans="1:9" x14ac:dyDescent="0.2">
      <c r="A552" s="549">
        <v>3298</v>
      </c>
      <c r="B552" s="549">
        <v>8</v>
      </c>
      <c r="C552" s="548">
        <v>41908</v>
      </c>
      <c r="D552" s="550">
        <v>8.81</v>
      </c>
      <c r="E552" s="550">
        <v>8.83</v>
      </c>
      <c r="F552" s="550">
        <v>8.8800000000000008</v>
      </c>
      <c r="G552" s="550">
        <v>8.75</v>
      </c>
      <c r="H552" s="551">
        <v>7.7078199999999999</v>
      </c>
      <c r="I552" s="550">
        <v>237200</v>
      </c>
    </row>
    <row r="553" spans="1:9" x14ac:dyDescent="0.2">
      <c r="A553" s="549">
        <v>3299</v>
      </c>
      <c r="B553" s="549">
        <v>8</v>
      </c>
      <c r="C553" s="548">
        <v>41911</v>
      </c>
      <c r="D553" s="550">
        <v>8.84</v>
      </c>
      <c r="E553" s="550">
        <v>8.83</v>
      </c>
      <c r="F553" s="550">
        <v>8.85</v>
      </c>
      <c r="G553" s="550">
        <v>8.7200000000000006</v>
      </c>
      <c r="H553" s="551">
        <v>7.7078199999999999</v>
      </c>
      <c r="I553" s="550">
        <v>862500</v>
      </c>
    </row>
    <row r="554" spans="1:9" x14ac:dyDescent="0.2">
      <c r="A554" s="549">
        <v>3300</v>
      </c>
      <c r="B554" s="549">
        <v>8</v>
      </c>
      <c r="C554" s="548">
        <v>41912</v>
      </c>
      <c r="D554" s="550">
        <v>8.83</v>
      </c>
      <c r="E554" s="550">
        <v>8.85</v>
      </c>
      <c r="F554" s="550">
        <v>8.89</v>
      </c>
      <c r="G554" s="550">
        <v>8.7899999999999991</v>
      </c>
      <c r="H554" s="551">
        <v>7.7252789999999996</v>
      </c>
      <c r="I554" s="550">
        <v>186400</v>
      </c>
    </row>
    <row r="555" spans="1:9" x14ac:dyDescent="0.2">
      <c r="A555" s="549">
        <v>3301</v>
      </c>
      <c r="B555" s="549">
        <v>8</v>
      </c>
      <c r="C555" s="548">
        <v>41913</v>
      </c>
      <c r="D555" s="550">
        <v>8.85</v>
      </c>
      <c r="E555" s="550">
        <v>8.77</v>
      </c>
      <c r="F555" s="550">
        <v>8.85</v>
      </c>
      <c r="G555" s="550">
        <v>8.75</v>
      </c>
      <c r="H555" s="551">
        <v>7.6554450000000003</v>
      </c>
      <c r="I555" s="550">
        <v>258700</v>
      </c>
    </row>
    <row r="556" spans="1:9" x14ac:dyDescent="0.2">
      <c r="A556" s="549">
        <v>3302</v>
      </c>
      <c r="B556" s="549">
        <v>8</v>
      </c>
      <c r="C556" s="548">
        <v>41914</v>
      </c>
      <c r="D556" s="550">
        <v>8.75</v>
      </c>
      <c r="E556" s="550">
        <v>8.76</v>
      </c>
      <c r="F556" s="550">
        <v>8.77</v>
      </c>
      <c r="G556" s="550">
        <v>8.6</v>
      </c>
      <c r="H556" s="551">
        <v>7.6467150000000004</v>
      </c>
      <c r="I556" s="550">
        <v>198500</v>
      </c>
    </row>
    <row r="557" spans="1:9" x14ac:dyDescent="0.2">
      <c r="A557" s="549">
        <v>3303</v>
      </c>
      <c r="B557" s="549">
        <v>8</v>
      </c>
      <c r="C557" s="548">
        <v>41915</v>
      </c>
      <c r="D557" s="550">
        <v>8.7899999999999991</v>
      </c>
      <c r="E557" s="550">
        <v>8.7899999999999991</v>
      </c>
      <c r="F557" s="550">
        <v>8.85</v>
      </c>
      <c r="G557" s="550">
        <v>8.73</v>
      </c>
      <c r="H557" s="551">
        <v>7.6729029999999998</v>
      </c>
      <c r="I557" s="550">
        <v>159400</v>
      </c>
    </row>
    <row r="558" spans="1:9" x14ac:dyDescent="0.2">
      <c r="A558" s="549">
        <v>3304</v>
      </c>
      <c r="B558" s="549">
        <v>8</v>
      </c>
      <c r="C558" s="548">
        <v>41918</v>
      </c>
      <c r="D558" s="550">
        <v>8.85</v>
      </c>
      <c r="E558" s="550">
        <v>8.8699999999999992</v>
      </c>
      <c r="F558" s="550">
        <v>8.93</v>
      </c>
      <c r="G558" s="550">
        <v>8.83</v>
      </c>
      <c r="H558" s="551">
        <v>7.7427349999999997</v>
      </c>
      <c r="I558" s="550">
        <v>222900</v>
      </c>
    </row>
    <row r="559" spans="1:9" x14ac:dyDescent="0.2">
      <c r="A559" s="549">
        <v>3305</v>
      </c>
      <c r="B559" s="549">
        <v>8</v>
      </c>
      <c r="C559" s="548">
        <v>41919</v>
      </c>
      <c r="D559" s="550">
        <v>8.8800000000000008</v>
      </c>
      <c r="E559" s="550">
        <v>9.02</v>
      </c>
      <c r="F559" s="550">
        <v>9.0500000000000007</v>
      </c>
      <c r="G559" s="550">
        <v>8.83</v>
      </c>
      <c r="H559" s="551">
        <v>7.8736730000000001</v>
      </c>
      <c r="I559" s="550">
        <v>314700</v>
      </c>
    </row>
    <row r="560" spans="1:9" x14ac:dyDescent="0.2">
      <c r="A560" s="549">
        <v>3306</v>
      </c>
      <c r="B560" s="549">
        <v>8</v>
      </c>
      <c r="C560" s="548">
        <v>41920</v>
      </c>
      <c r="D560" s="550">
        <v>8.9499999999999993</v>
      </c>
      <c r="E560" s="550">
        <v>8.91</v>
      </c>
      <c r="F560" s="550">
        <v>8.9499999999999993</v>
      </c>
      <c r="G560" s="550">
        <v>8.86</v>
      </c>
      <c r="H560" s="551">
        <v>7.7776529999999999</v>
      </c>
      <c r="I560" s="550">
        <v>453400</v>
      </c>
    </row>
    <row r="561" spans="1:9" x14ac:dyDescent="0.2">
      <c r="A561" s="549">
        <v>3307</v>
      </c>
      <c r="B561" s="549">
        <v>8</v>
      </c>
      <c r="C561" s="548">
        <v>41921</v>
      </c>
      <c r="D561" s="550">
        <v>8.8800000000000008</v>
      </c>
      <c r="E561" s="550">
        <v>8.83</v>
      </c>
      <c r="F561" s="550">
        <v>8.92</v>
      </c>
      <c r="G561" s="550">
        <v>8.75</v>
      </c>
      <c r="H561" s="551">
        <v>7.7078199999999999</v>
      </c>
      <c r="I561" s="550">
        <v>270400</v>
      </c>
    </row>
    <row r="562" spans="1:9" x14ac:dyDescent="0.2">
      <c r="A562" s="549">
        <v>3308</v>
      </c>
      <c r="B562" s="549">
        <v>8</v>
      </c>
      <c r="C562" s="548">
        <v>41922</v>
      </c>
      <c r="D562" s="550">
        <v>8.7799999999999994</v>
      </c>
      <c r="E562" s="550">
        <v>8.6199999999999992</v>
      </c>
      <c r="F562" s="550">
        <v>8.84</v>
      </c>
      <c r="G562" s="550">
        <v>8.6</v>
      </c>
      <c r="H562" s="551">
        <v>7.524508</v>
      </c>
      <c r="I562" s="550">
        <v>433000</v>
      </c>
    </row>
    <row r="563" spans="1:9" x14ac:dyDescent="0.2">
      <c r="A563" s="549">
        <v>3309</v>
      </c>
      <c r="B563" s="549">
        <v>8</v>
      </c>
      <c r="C563" s="548">
        <v>41926</v>
      </c>
      <c r="D563" s="550">
        <v>8.6199999999999992</v>
      </c>
      <c r="E563" s="550">
        <v>8.5299999999999994</v>
      </c>
      <c r="F563" s="550">
        <v>8.6199999999999992</v>
      </c>
      <c r="G563" s="550">
        <v>8.4600000000000009</v>
      </c>
      <c r="H563" s="551">
        <v>7.4459460000000002</v>
      </c>
      <c r="I563" s="550">
        <v>340100</v>
      </c>
    </row>
    <row r="564" spans="1:9" x14ac:dyDescent="0.2">
      <c r="A564" s="549">
        <v>3310</v>
      </c>
      <c r="B564" s="549">
        <v>8</v>
      </c>
      <c r="C564" s="548">
        <v>41927</v>
      </c>
      <c r="D564" s="550">
        <v>8.5</v>
      </c>
      <c r="E564" s="550">
        <v>8.4700000000000006</v>
      </c>
      <c r="F564" s="550">
        <v>8.5399999999999991</v>
      </c>
      <c r="G564" s="550">
        <v>8.1999999999999993</v>
      </c>
      <c r="H564" s="551">
        <v>7.3935709999999997</v>
      </c>
      <c r="I564" s="550">
        <v>430900</v>
      </c>
    </row>
    <row r="565" spans="1:9" x14ac:dyDescent="0.2">
      <c r="A565" s="549">
        <v>3311</v>
      </c>
      <c r="B565" s="549">
        <v>8</v>
      </c>
      <c r="C565" s="548">
        <v>41928</v>
      </c>
      <c r="D565" s="550">
        <v>8.36</v>
      </c>
      <c r="E565" s="550">
        <v>8.57</v>
      </c>
      <c r="F565" s="550">
        <v>8.6</v>
      </c>
      <c r="G565" s="550">
        <v>8.36</v>
      </c>
      <c r="H565" s="551">
        <v>7.480861</v>
      </c>
      <c r="I565" s="550">
        <v>330400</v>
      </c>
    </row>
    <row r="566" spans="1:9" x14ac:dyDescent="0.2">
      <c r="A566" s="549">
        <v>3312</v>
      </c>
      <c r="B566" s="549">
        <v>8</v>
      </c>
      <c r="C566" s="548">
        <v>41929</v>
      </c>
      <c r="D566" s="550">
        <v>8.7799999999999994</v>
      </c>
      <c r="E566" s="550">
        <v>8.65</v>
      </c>
      <c r="F566" s="550">
        <v>8.7799999999999994</v>
      </c>
      <c r="G566" s="550">
        <v>8.57</v>
      </c>
      <c r="H566" s="551">
        <v>7.550694</v>
      </c>
      <c r="I566" s="550">
        <v>313400</v>
      </c>
    </row>
    <row r="567" spans="1:9" x14ac:dyDescent="0.2">
      <c r="A567" s="549">
        <v>3313</v>
      </c>
      <c r="B567" s="549">
        <v>8</v>
      </c>
      <c r="C567" s="548">
        <v>41932</v>
      </c>
      <c r="D567" s="550">
        <v>8.69</v>
      </c>
      <c r="E567" s="550">
        <v>8.86</v>
      </c>
      <c r="F567" s="550">
        <v>8.8699999999999992</v>
      </c>
      <c r="G567" s="550">
        <v>8.65</v>
      </c>
      <c r="H567" s="551">
        <v>7.7340070000000001</v>
      </c>
      <c r="I567" s="550">
        <v>407900</v>
      </c>
    </row>
    <row r="568" spans="1:9" x14ac:dyDescent="0.2">
      <c r="A568" s="549">
        <v>3314</v>
      </c>
      <c r="B568" s="549">
        <v>8</v>
      </c>
      <c r="C568" s="548">
        <v>41933</v>
      </c>
      <c r="D568" s="550">
        <v>8.93</v>
      </c>
      <c r="E568" s="550">
        <v>8.9600000000000009</v>
      </c>
      <c r="F568" s="550">
        <v>9.09</v>
      </c>
      <c r="G568" s="550">
        <v>8.8699999999999992</v>
      </c>
      <c r="H568" s="551">
        <v>7.8212979999999996</v>
      </c>
      <c r="I568" s="550">
        <v>444800</v>
      </c>
    </row>
    <row r="569" spans="1:9" x14ac:dyDescent="0.2">
      <c r="A569" s="549">
        <v>3315</v>
      </c>
      <c r="B569" s="549">
        <v>8</v>
      </c>
      <c r="C569" s="548">
        <v>41934</v>
      </c>
      <c r="D569" s="550">
        <v>8.9600000000000009</v>
      </c>
      <c r="E569" s="550">
        <v>8.9</v>
      </c>
      <c r="F569" s="550">
        <v>9.01</v>
      </c>
      <c r="G569" s="550">
        <v>8.86</v>
      </c>
      <c r="H569" s="551">
        <v>7.7689240000000002</v>
      </c>
      <c r="I569" s="550">
        <v>451500</v>
      </c>
    </row>
    <row r="570" spans="1:9" x14ac:dyDescent="0.2">
      <c r="A570" s="549">
        <v>3316</v>
      </c>
      <c r="B570" s="549">
        <v>8</v>
      </c>
      <c r="C570" s="548">
        <v>41935</v>
      </c>
      <c r="D570" s="550">
        <v>8.9700000000000006</v>
      </c>
      <c r="E570" s="550">
        <v>8.89</v>
      </c>
      <c r="F570" s="550">
        <v>9.01</v>
      </c>
      <c r="G570" s="550">
        <v>8.8699999999999992</v>
      </c>
      <c r="H570" s="551">
        <v>7.7601940000000003</v>
      </c>
      <c r="I570" s="550">
        <v>460400</v>
      </c>
    </row>
    <row r="571" spans="1:9" x14ac:dyDescent="0.2">
      <c r="A571" s="549">
        <v>3317</v>
      </c>
      <c r="B571" s="549">
        <v>8</v>
      </c>
      <c r="C571" s="548">
        <v>41936</v>
      </c>
      <c r="D571" s="550">
        <v>8.8800000000000008</v>
      </c>
      <c r="E571" s="550">
        <v>8.99</v>
      </c>
      <c r="F571" s="550">
        <v>9</v>
      </c>
      <c r="G571" s="550">
        <v>8.8800000000000008</v>
      </c>
      <c r="H571" s="551">
        <v>7.8474849999999998</v>
      </c>
      <c r="I571" s="550">
        <v>548200</v>
      </c>
    </row>
    <row r="572" spans="1:9" x14ac:dyDescent="0.2">
      <c r="A572" s="549">
        <v>3318</v>
      </c>
      <c r="B572" s="549">
        <v>8</v>
      </c>
      <c r="C572" s="548">
        <v>41939</v>
      </c>
      <c r="D572" s="550">
        <v>9.01</v>
      </c>
      <c r="E572" s="550">
        <v>9.0500000000000007</v>
      </c>
      <c r="F572" s="550">
        <v>9.0500000000000007</v>
      </c>
      <c r="G572" s="550">
        <v>8.9700000000000006</v>
      </c>
      <c r="H572" s="551">
        <v>7.8998600000000003</v>
      </c>
      <c r="I572" s="550">
        <v>289900</v>
      </c>
    </row>
    <row r="573" spans="1:9" x14ac:dyDescent="0.2">
      <c r="A573" s="549">
        <v>3319</v>
      </c>
      <c r="B573" s="549">
        <v>8</v>
      </c>
      <c r="C573" s="548">
        <v>41940</v>
      </c>
      <c r="D573" s="550">
        <v>9.0399999999999991</v>
      </c>
      <c r="E573" s="550">
        <v>9.19</v>
      </c>
      <c r="F573" s="550">
        <v>9.2100000000000009</v>
      </c>
      <c r="G573" s="550">
        <v>9.01</v>
      </c>
      <c r="H573" s="551">
        <v>8.0220669999999998</v>
      </c>
      <c r="I573" s="550">
        <v>496700</v>
      </c>
    </row>
    <row r="574" spans="1:9" x14ac:dyDescent="0.2">
      <c r="A574" s="549">
        <v>3320</v>
      </c>
      <c r="B574" s="549">
        <v>8</v>
      </c>
      <c r="C574" s="548">
        <v>41941</v>
      </c>
      <c r="D574" s="550">
        <v>9.23</v>
      </c>
      <c r="E574" s="550">
        <v>9.09</v>
      </c>
      <c r="F574" s="550">
        <v>9.2799999999999994</v>
      </c>
      <c r="G574" s="550">
        <v>9.07</v>
      </c>
      <c r="H574" s="551">
        <v>7.9347770000000004</v>
      </c>
      <c r="I574" s="550">
        <v>320100</v>
      </c>
    </row>
    <row r="575" spans="1:9" x14ac:dyDescent="0.2">
      <c r="A575" s="549">
        <v>3321</v>
      </c>
      <c r="B575" s="549">
        <v>8</v>
      </c>
      <c r="C575" s="548">
        <v>41942</v>
      </c>
      <c r="D575" s="550">
        <v>9.11</v>
      </c>
      <c r="E575" s="550">
        <v>9.06</v>
      </c>
      <c r="F575" s="550">
        <v>9.11</v>
      </c>
      <c r="G575" s="550">
        <v>9.02</v>
      </c>
      <c r="H575" s="551">
        <v>7.9085890000000001</v>
      </c>
      <c r="I575" s="550">
        <v>240900</v>
      </c>
    </row>
    <row r="576" spans="1:9" x14ac:dyDescent="0.2">
      <c r="A576" s="549">
        <v>3322</v>
      </c>
      <c r="B576" s="549">
        <v>8</v>
      </c>
      <c r="C576" s="548">
        <v>41943</v>
      </c>
      <c r="D576" s="550">
        <v>9.06</v>
      </c>
      <c r="E576" s="550">
        <v>9.1999999999999993</v>
      </c>
      <c r="F576" s="550">
        <v>9.1999999999999993</v>
      </c>
      <c r="G576" s="550">
        <v>9.02</v>
      </c>
      <c r="H576" s="551">
        <v>8.0307960000000005</v>
      </c>
      <c r="I576" s="550">
        <v>832400</v>
      </c>
    </row>
    <row r="577" spans="1:9" x14ac:dyDescent="0.2">
      <c r="A577" s="549">
        <v>3323</v>
      </c>
      <c r="B577" s="549">
        <v>8</v>
      </c>
      <c r="C577" s="548">
        <v>41946</v>
      </c>
      <c r="D577" s="550">
        <v>9.26</v>
      </c>
      <c r="E577" s="550">
        <v>9.27</v>
      </c>
      <c r="F577" s="550">
        <v>9.2799999999999994</v>
      </c>
      <c r="G577" s="550">
        <v>9.17</v>
      </c>
      <c r="H577" s="551">
        <v>8.0919019999999993</v>
      </c>
      <c r="I577" s="550">
        <v>245500</v>
      </c>
    </row>
    <row r="578" spans="1:9" x14ac:dyDescent="0.2">
      <c r="A578" s="549">
        <v>3324</v>
      </c>
      <c r="B578" s="549">
        <v>8</v>
      </c>
      <c r="C578" s="548">
        <v>41947</v>
      </c>
      <c r="D578" s="550">
        <v>9.31</v>
      </c>
      <c r="E578" s="550">
        <v>9.11</v>
      </c>
      <c r="F578" s="550">
        <v>9.34</v>
      </c>
      <c r="G578" s="550">
        <v>9.11</v>
      </c>
      <c r="H578" s="551">
        <v>7.9522329999999997</v>
      </c>
      <c r="I578" s="550">
        <v>608100</v>
      </c>
    </row>
    <row r="579" spans="1:9" x14ac:dyDescent="0.2">
      <c r="A579" s="549">
        <v>3325</v>
      </c>
      <c r="B579" s="549">
        <v>8</v>
      </c>
      <c r="C579" s="548">
        <v>41948</v>
      </c>
      <c r="D579" s="550">
        <v>9.11</v>
      </c>
      <c r="E579" s="550">
        <v>9.2100000000000009</v>
      </c>
      <c r="F579" s="550">
        <v>9.23</v>
      </c>
      <c r="G579" s="550">
        <v>9.1</v>
      </c>
      <c r="H579" s="551">
        <v>8.0395260000000004</v>
      </c>
      <c r="I579" s="550">
        <v>225200</v>
      </c>
    </row>
    <row r="580" spans="1:9" x14ac:dyDescent="0.2">
      <c r="A580" s="549">
        <v>3326</v>
      </c>
      <c r="B580" s="549">
        <v>8</v>
      </c>
      <c r="C580" s="548">
        <v>41949</v>
      </c>
      <c r="D580" s="550">
        <v>9.19</v>
      </c>
      <c r="E580" s="550">
        <v>9.42</v>
      </c>
      <c r="F580" s="550">
        <v>9.4700000000000006</v>
      </c>
      <c r="G580" s="550">
        <v>9.18</v>
      </c>
      <c r="H580" s="551">
        <v>8.2228390000000005</v>
      </c>
      <c r="I580" s="550">
        <v>909300</v>
      </c>
    </row>
    <row r="581" spans="1:9" x14ac:dyDescent="0.2">
      <c r="A581" s="549">
        <v>3327</v>
      </c>
      <c r="B581" s="549">
        <v>8</v>
      </c>
      <c r="C581" s="548">
        <v>41950</v>
      </c>
      <c r="D581" s="550">
        <v>9.4600000000000009</v>
      </c>
      <c r="E581" s="550">
        <v>9.44</v>
      </c>
      <c r="F581" s="550">
        <v>9.49</v>
      </c>
      <c r="G581" s="550">
        <v>9.4</v>
      </c>
      <c r="H581" s="551">
        <v>8.240297</v>
      </c>
      <c r="I581" s="550">
        <v>584200</v>
      </c>
    </row>
    <row r="582" spans="1:9" x14ac:dyDescent="0.2">
      <c r="A582" s="549">
        <v>3328</v>
      </c>
      <c r="B582" s="549">
        <v>8</v>
      </c>
      <c r="C582" s="548">
        <v>41953</v>
      </c>
      <c r="D582" s="550">
        <v>9.4600000000000009</v>
      </c>
      <c r="E582" s="550">
        <v>9.51</v>
      </c>
      <c r="F582" s="550">
        <v>9.57</v>
      </c>
      <c r="G582" s="550">
        <v>9.42</v>
      </c>
      <c r="H582" s="551">
        <v>8.3013999999999992</v>
      </c>
      <c r="I582" s="550">
        <v>411200</v>
      </c>
    </row>
    <row r="583" spans="1:9" x14ac:dyDescent="0.2">
      <c r="A583" s="549">
        <v>3329</v>
      </c>
      <c r="B583" s="549">
        <v>8</v>
      </c>
      <c r="C583" s="548">
        <v>41954</v>
      </c>
      <c r="D583" s="550">
        <v>9.5500000000000007</v>
      </c>
      <c r="E583" s="550">
        <v>9.59</v>
      </c>
      <c r="F583" s="550">
        <v>9.6199999999999992</v>
      </c>
      <c r="G583" s="550">
        <v>9.51</v>
      </c>
      <c r="H583" s="551">
        <v>8.3712330000000001</v>
      </c>
      <c r="I583" s="550">
        <v>320341</v>
      </c>
    </row>
    <row r="584" spans="1:9" x14ac:dyDescent="0.2">
      <c r="A584" s="549">
        <v>3330</v>
      </c>
      <c r="B584" s="549">
        <v>8</v>
      </c>
      <c r="C584" s="548">
        <v>41955</v>
      </c>
      <c r="D584" s="550">
        <v>9.61</v>
      </c>
      <c r="E584" s="550">
        <v>9.59</v>
      </c>
      <c r="F584" s="550">
        <v>9.61</v>
      </c>
      <c r="G584" s="550">
        <v>9.49</v>
      </c>
      <c r="H584" s="551">
        <v>8.3712330000000001</v>
      </c>
      <c r="I584" s="550">
        <v>299700</v>
      </c>
    </row>
    <row r="585" spans="1:9" x14ac:dyDescent="0.2">
      <c r="A585" s="549">
        <v>3331</v>
      </c>
      <c r="B585" s="549">
        <v>8</v>
      </c>
      <c r="C585" s="548">
        <v>41956</v>
      </c>
      <c r="D585" s="550">
        <v>9.59</v>
      </c>
      <c r="E585" s="550">
        <v>9.68</v>
      </c>
      <c r="F585" s="550">
        <v>9.74</v>
      </c>
      <c r="G585" s="550">
        <v>9.56</v>
      </c>
      <c r="H585" s="551">
        <v>8.4497959999999992</v>
      </c>
      <c r="I585" s="550">
        <v>369700</v>
      </c>
    </row>
    <row r="586" spans="1:9" x14ac:dyDescent="0.2">
      <c r="A586" s="549">
        <v>3332</v>
      </c>
      <c r="B586" s="549">
        <v>8</v>
      </c>
      <c r="C586" s="548">
        <v>41957</v>
      </c>
      <c r="D586" s="550">
        <v>9.3699999999999992</v>
      </c>
      <c r="E586" s="550">
        <v>9.17</v>
      </c>
      <c r="F586" s="550">
        <v>9.5399999999999991</v>
      </c>
      <c r="G586" s="550">
        <v>9.11</v>
      </c>
      <c r="H586" s="551">
        <v>8.0046099999999996</v>
      </c>
      <c r="I586" s="550">
        <v>744800</v>
      </c>
    </row>
    <row r="587" spans="1:9" x14ac:dyDescent="0.2">
      <c r="A587" s="549">
        <v>3333</v>
      </c>
      <c r="B587" s="549">
        <v>8</v>
      </c>
      <c r="C587" s="548">
        <v>41960</v>
      </c>
      <c r="D587" s="550">
        <v>9.1</v>
      </c>
      <c r="E587" s="550">
        <v>9.2899999999999991</v>
      </c>
      <c r="F587" s="550">
        <v>9.32</v>
      </c>
      <c r="G587" s="550">
        <v>9.1</v>
      </c>
      <c r="H587" s="551">
        <v>8.1093589999999995</v>
      </c>
      <c r="I587" s="550">
        <v>691800</v>
      </c>
    </row>
    <row r="588" spans="1:9" x14ac:dyDescent="0.2">
      <c r="A588" s="549">
        <v>3334</v>
      </c>
      <c r="B588" s="549">
        <v>8</v>
      </c>
      <c r="C588" s="548">
        <v>41961</v>
      </c>
      <c r="D588" s="550">
        <v>9.34</v>
      </c>
      <c r="E588" s="550">
        <v>9.4499999999999993</v>
      </c>
      <c r="F588" s="550">
        <v>9.4700000000000006</v>
      </c>
      <c r="G588" s="550">
        <v>9.25</v>
      </c>
      <c r="H588" s="551">
        <v>8.2490240000000004</v>
      </c>
      <c r="I588" s="550">
        <v>552100</v>
      </c>
    </row>
    <row r="589" spans="1:9" x14ac:dyDescent="0.2">
      <c r="A589" s="549">
        <v>3335</v>
      </c>
      <c r="B589" s="549">
        <v>8</v>
      </c>
      <c r="C589" s="548">
        <v>41962</v>
      </c>
      <c r="D589" s="550">
        <v>9.4600000000000009</v>
      </c>
      <c r="E589" s="550">
        <v>9.51</v>
      </c>
      <c r="F589" s="550">
        <v>9.56</v>
      </c>
      <c r="G589" s="550">
        <v>9.4600000000000009</v>
      </c>
      <c r="H589" s="551">
        <v>8.3013999999999992</v>
      </c>
      <c r="I589" s="550">
        <v>668100</v>
      </c>
    </row>
    <row r="590" spans="1:9" x14ac:dyDescent="0.2">
      <c r="A590" s="549">
        <v>3336</v>
      </c>
      <c r="B590" s="549">
        <v>8</v>
      </c>
      <c r="C590" s="548">
        <v>41963</v>
      </c>
      <c r="D590" s="550">
        <v>9.5299999999999994</v>
      </c>
      <c r="E590" s="550">
        <v>9.5299999999999994</v>
      </c>
      <c r="F590" s="550">
        <v>9.6199999999999992</v>
      </c>
      <c r="G590" s="550">
        <v>9.49</v>
      </c>
      <c r="H590" s="551">
        <v>8.3188580000000005</v>
      </c>
      <c r="I590" s="550">
        <v>364800</v>
      </c>
    </row>
    <row r="591" spans="1:9" x14ac:dyDescent="0.2">
      <c r="A591" s="549">
        <v>3337</v>
      </c>
      <c r="B591" s="549">
        <v>8</v>
      </c>
      <c r="C591" s="548">
        <v>41964</v>
      </c>
      <c r="D591" s="550">
        <v>9.73</v>
      </c>
      <c r="E591" s="550">
        <v>9.6199999999999992</v>
      </c>
      <c r="F591" s="550">
        <v>9.74</v>
      </c>
      <c r="G591" s="550">
        <v>9.57</v>
      </c>
      <c r="H591" s="551">
        <v>8.3974200000000003</v>
      </c>
      <c r="I591" s="550">
        <v>575900</v>
      </c>
    </row>
    <row r="592" spans="1:9" x14ac:dyDescent="0.2">
      <c r="A592" s="549">
        <v>3338</v>
      </c>
      <c r="B592" s="549">
        <v>8</v>
      </c>
      <c r="C592" s="548">
        <v>41967</v>
      </c>
      <c r="D592" s="550">
        <v>9.65</v>
      </c>
      <c r="E592" s="550">
        <v>9.5500000000000007</v>
      </c>
      <c r="F592" s="550">
        <v>9.65</v>
      </c>
      <c r="G592" s="550">
        <v>9.5299999999999994</v>
      </c>
      <c r="H592" s="551">
        <v>8.3363160000000001</v>
      </c>
      <c r="I592" s="550">
        <v>293500</v>
      </c>
    </row>
    <row r="593" spans="1:9" x14ac:dyDescent="0.2">
      <c r="A593" s="549">
        <v>3339</v>
      </c>
      <c r="B593" s="549">
        <v>8</v>
      </c>
      <c r="C593" s="548">
        <v>41968</v>
      </c>
      <c r="D593" s="550">
        <v>9.64</v>
      </c>
      <c r="E593" s="550">
        <v>9.5500000000000007</v>
      </c>
      <c r="F593" s="550">
        <v>9.68</v>
      </c>
      <c r="G593" s="550">
        <v>9.5299999999999994</v>
      </c>
      <c r="H593" s="551">
        <v>8.3363160000000001</v>
      </c>
      <c r="I593" s="550">
        <v>239600</v>
      </c>
    </row>
    <row r="594" spans="1:9" x14ac:dyDescent="0.2">
      <c r="A594" s="549">
        <v>3340</v>
      </c>
      <c r="B594" s="549">
        <v>8</v>
      </c>
      <c r="C594" s="548">
        <v>41969</v>
      </c>
      <c r="D594" s="550">
        <v>9.56</v>
      </c>
      <c r="E594" s="550">
        <v>9.5399999999999991</v>
      </c>
      <c r="F594" s="550">
        <v>9.58</v>
      </c>
      <c r="G594" s="550">
        <v>9.41</v>
      </c>
      <c r="H594" s="551">
        <v>8.3275860000000002</v>
      </c>
      <c r="I594" s="550">
        <v>503300</v>
      </c>
    </row>
    <row r="595" spans="1:9" x14ac:dyDescent="0.2">
      <c r="A595" s="549">
        <v>3341</v>
      </c>
      <c r="B595" s="549">
        <v>8</v>
      </c>
      <c r="C595" s="548">
        <v>41970</v>
      </c>
      <c r="D595" s="550">
        <v>9.59</v>
      </c>
      <c r="E595" s="550">
        <v>9.64</v>
      </c>
      <c r="F595" s="550">
        <v>9.83</v>
      </c>
      <c r="G595" s="550">
        <v>9.5500000000000007</v>
      </c>
      <c r="H595" s="551">
        <v>8.4148800000000001</v>
      </c>
      <c r="I595" s="550">
        <v>285500</v>
      </c>
    </row>
    <row r="596" spans="1:9" x14ac:dyDescent="0.2">
      <c r="A596" s="549">
        <v>3342</v>
      </c>
      <c r="B596" s="549">
        <v>8</v>
      </c>
      <c r="C596" s="548">
        <v>41971</v>
      </c>
      <c r="D596" s="550">
        <v>9.66</v>
      </c>
      <c r="E596" s="550">
        <v>9.68</v>
      </c>
      <c r="F596" s="550">
        <v>9.7799999999999994</v>
      </c>
      <c r="G596" s="550">
        <v>9.61</v>
      </c>
      <c r="H596" s="551">
        <v>8.4497959999999992</v>
      </c>
      <c r="I596" s="550">
        <v>210800</v>
      </c>
    </row>
    <row r="597" spans="1:9" x14ac:dyDescent="0.2">
      <c r="A597" s="549">
        <v>3343</v>
      </c>
      <c r="B597" s="549">
        <v>8</v>
      </c>
      <c r="C597" s="548">
        <v>41974</v>
      </c>
      <c r="D597" s="550">
        <v>9.75</v>
      </c>
      <c r="E597" s="550">
        <v>9.8699999999999992</v>
      </c>
      <c r="F597" s="550">
        <v>9.92</v>
      </c>
      <c r="G597" s="550">
        <v>9.7200000000000006</v>
      </c>
      <c r="H597" s="551">
        <v>8.6156469999999992</v>
      </c>
      <c r="I597" s="550">
        <v>652300</v>
      </c>
    </row>
    <row r="598" spans="1:9" x14ac:dyDescent="0.2">
      <c r="A598" s="549">
        <v>3344</v>
      </c>
      <c r="B598" s="549">
        <v>8</v>
      </c>
      <c r="C598" s="548">
        <v>41975</v>
      </c>
      <c r="D598" s="550">
        <v>9.93</v>
      </c>
      <c r="E598" s="550">
        <v>10.09</v>
      </c>
      <c r="F598" s="550">
        <v>10.25</v>
      </c>
      <c r="G598" s="550">
        <v>9.84</v>
      </c>
      <c r="H598" s="551">
        <v>8.8076889999999999</v>
      </c>
      <c r="I598" s="550">
        <v>630600</v>
      </c>
    </row>
    <row r="599" spans="1:9" x14ac:dyDescent="0.2">
      <c r="A599" s="549">
        <v>3345</v>
      </c>
      <c r="B599" s="549">
        <v>8</v>
      </c>
      <c r="C599" s="548">
        <v>41976</v>
      </c>
      <c r="D599" s="550">
        <v>9.74</v>
      </c>
      <c r="E599" s="550">
        <v>9.81</v>
      </c>
      <c r="F599" s="550">
        <v>9.8699999999999992</v>
      </c>
      <c r="G599" s="550">
        <v>9.69</v>
      </c>
      <c r="H599" s="551">
        <v>8.5632739999999998</v>
      </c>
      <c r="I599" s="550">
        <v>975100</v>
      </c>
    </row>
    <row r="600" spans="1:9" x14ac:dyDescent="0.2">
      <c r="A600" s="549">
        <v>3346</v>
      </c>
      <c r="B600" s="549">
        <v>8</v>
      </c>
      <c r="C600" s="548">
        <v>41977</v>
      </c>
      <c r="D600" s="550">
        <v>9.82</v>
      </c>
      <c r="E600" s="550">
        <v>9.7200000000000006</v>
      </c>
      <c r="F600" s="550">
        <v>9.82</v>
      </c>
      <c r="G600" s="550">
        <v>9.67</v>
      </c>
      <c r="H600" s="551">
        <v>8.4847099999999998</v>
      </c>
      <c r="I600" s="550">
        <v>484500</v>
      </c>
    </row>
    <row r="601" spans="1:9" x14ac:dyDescent="0.2">
      <c r="A601" s="549">
        <v>3347</v>
      </c>
      <c r="B601" s="549">
        <v>8</v>
      </c>
      <c r="C601" s="548">
        <v>41978</v>
      </c>
      <c r="D601" s="550">
        <v>9.6999999999999993</v>
      </c>
      <c r="E601" s="550">
        <v>9.73</v>
      </c>
      <c r="F601" s="550">
        <v>9.77</v>
      </c>
      <c r="G601" s="550">
        <v>9.6999999999999993</v>
      </c>
      <c r="H601" s="551">
        <v>8.4934419999999999</v>
      </c>
      <c r="I601" s="550">
        <v>252300</v>
      </c>
    </row>
    <row r="602" spans="1:9" x14ac:dyDescent="0.2">
      <c r="A602" s="549">
        <v>3348</v>
      </c>
      <c r="B602" s="549">
        <v>8</v>
      </c>
      <c r="C602" s="548">
        <v>41981</v>
      </c>
      <c r="D602" s="550">
        <v>9.73</v>
      </c>
      <c r="E602" s="550">
        <v>9.2799999999999994</v>
      </c>
      <c r="F602" s="550">
        <v>9.73</v>
      </c>
      <c r="G602" s="550">
        <v>9.26</v>
      </c>
      <c r="H602" s="551">
        <v>8.1006289999999996</v>
      </c>
      <c r="I602" s="550">
        <v>1009300</v>
      </c>
    </row>
    <row r="603" spans="1:9" x14ac:dyDescent="0.2">
      <c r="A603" s="549">
        <v>3349</v>
      </c>
      <c r="B603" s="549">
        <v>8</v>
      </c>
      <c r="C603" s="548">
        <v>41982</v>
      </c>
      <c r="D603" s="550">
        <v>9.25</v>
      </c>
      <c r="E603" s="550">
        <v>9.61</v>
      </c>
      <c r="F603" s="550">
        <v>9.6300000000000008</v>
      </c>
      <c r="G603" s="550">
        <v>9.23</v>
      </c>
      <c r="H603" s="551">
        <v>8.3886909999999997</v>
      </c>
      <c r="I603" s="550">
        <v>761500</v>
      </c>
    </row>
    <row r="604" spans="1:9" x14ac:dyDescent="0.2">
      <c r="A604" s="549">
        <v>3350</v>
      </c>
      <c r="B604" s="549">
        <v>8</v>
      </c>
      <c r="C604" s="548">
        <v>41983</v>
      </c>
      <c r="D604" s="550">
        <v>9.6199999999999992</v>
      </c>
      <c r="E604" s="550">
        <v>9.5500000000000007</v>
      </c>
      <c r="F604" s="550">
        <v>9.6300000000000008</v>
      </c>
      <c r="G604" s="550">
        <v>9.5</v>
      </c>
      <c r="H604" s="551">
        <v>8.3363160000000001</v>
      </c>
      <c r="I604" s="550">
        <v>577300</v>
      </c>
    </row>
    <row r="605" spans="1:9" x14ac:dyDescent="0.2">
      <c r="A605" s="549">
        <v>3351</v>
      </c>
      <c r="B605" s="549">
        <v>8</v>
      </c>
      <c r="C605" s="548">
        <v>41984</v>
      </c>
      <c r="D605" s="550">
        <v>9.5500000000000007</v>
      </c>
      <c r="E605" s="550">
        <v>9.52</v>
      </c>
      <c r="F605" s="550">
        <v>9.5500000000000007</v>
      </c>
      <c r="G605" s="550">
        <v>9.3800000000000008</v>
      </c>
      <c r="H605" s="551">
        <v>8.3101289999999999</v>
      </c>
      <c r="I605" s="550">
        <v>716100</v>
      </c>
    </row>
    <row r="606" spans="1:9" x14ac:dyDescent="0.2">
      <c r="A606" s="549">
        <v>3352</v>
      </c>
      <c r="B606" s="549">
        <v>8</v>
      </c>
      <c r="C606" s="548">
        <v>41985</v>
      </c>
      <c r="D606" s="550">
        <v>9.48</v>
      </c>
      <c r="E606" s="550">
        <v>9.34</v>
      </c>
      <c r="F606" s="550">
        <v>9.48</v>
      </c>
      <c r="G606" s="550">
        <v>9.23</v>
      </c>
      <c r="H606" s="551">
        <v>8.1530050000000003</v>
      </c>
      <c r="I606" s="550">
        <v>630600</v>
      </c>
    </row>
    <row r="607" spans="1:9" x14ac:dyDescent="0.2">
      <c r="A607" s="549">
        <v>3353</v>
      </c>
      <c r="B607" s="549">
        <v>8</v>
      </c>
      <c r="C607" s="548">
        <v>41988</v>
      </c>
      <c r="D607" s="550">
        <v>9.44</v>
      </c>
      <c r="E607" s="550">
        <v>9.42</v>
      </c>
      <c r="F607" s="550">
        <v>9.5</v>
      </c>
      <c r="G607" s="550">
        <v>9.31</v>
      </c>
      <c r="H607" s="551">
        <v>8.2228390000000005</v>
      </c>
      <c r="I607" s="550">
        <v>497500</v>
      </c>
    </row>
    <row r="608" spans="1:9" x14ac:dyDescent="0.2">
      <c r="A608" s="549">
        <v>3354</v>
      </c>
      <c r="B608" s="549">
        <v>8</v>
      </c>
      <c r="C608" s="548">
        <v>41989</v>
      </c>
      <c r="D608" s="550">
        <v>9.43</v>
      </c>
      <c r="E608" s="550">
        <v>9.36</v>
      </c>
      <c r="F608" s="550">
        <v>9.4600000000000009</v>
      </c>
      <c r="G608" s="550">
        <v>9.2899999999999991</v>
      </c>
      <c r="H608" s="551">
        <v>8.1704650000000001</v>
      </c>
      <c r="I608" s="550">
        <v>727600</v>
      </c>
    </row>
    <row r="609" spans="1:9" x14ac:dyDescent="0.2">
      <c r="A609" s="549">
        <v>3355</v>
      </c>
      <c r="B609" s="549">
        <v>8</v>
      </c>
      <c r="C609" s="548">
        <v>41990</v>
      </c>
      <c r="D609" s="550">
        <v>9.34</v>
      </c>
      <c r="E609" s="550">
        <v>9.35</v>
      </c>
      <c r="F609" s="550">
        <v>9.4499999999999993</v>
      </c>
      <c r="G609" s="550">
        <v>9.26</v>
      </c>
      <c r="H609" s="551">
        <v>8.1617339999999992</v>
      </c>
      <c r="I609" s="550">
        <v>487200</v>
      </c>
    </row>
    <row r="610" spans="1:9" x14ac:dyDescent="0.2">
      <c r="A610" s="549">
        <v>3356</v>
      </c>
      <c r="B610" s="549">
        <v>8</v>
      </c>
      <c r="C610" s="548">
        <v>41991</v>
      </c>
      <c r="D610" s="550">
        <v>9.42</v>
      </c>
      <c r="E610" s="550">
        <v>9.42</v>
      </c>
      <c r="F610" s="550">
        <v>9.5299999999999994</v>
      </c>
      <c r="G610" s="550">
        <v>9.2899999999999991</v>
      </c>
      <c r="H610" s="551">
        <v>8.2228390000000005</v>
      </c>
      <c r="I610" s="550">
        <v>624600</v>
      </c>
    </row>
    <row r="611" spans="1:9" x14ac:dyDescent="0.2">
      <c r="A611" s="549">
        <v>3357</v>
      </c>
      <c r="B611" s="549">
        <v>8</v>
      </c>
      <c r="C611" s="548">
        <v>41992</v>
      </c>
      <c r="D611" s="550">
        <v>9.4700000000000006</v>
      </c>
      <c r="E611" s="550">
        <v>9.6199999999999992</v>
      </c>
      <c r="F611" s="550">
        <v>9.6300000000000008</v>
      </c>
      <c r="G611" s="550">
        <v>9.4499999999999993</v>
      </c>
      <c r="H611" s="551">
        <v>8.3974200000000003</v>
      </c>
      <c r="I611" s="550">
        <v>1445300</v>
      </c>
    </row>
    <row r="612" spans="1:9" x14ac:dyDescent="0.2">
      <c r="A612" s="549">
        <v>3358</v>
      </c>
      <c r="B612" s="549">
        <v>8</v>
      </c>
      <c r="C612" s="548">
        <v>41995</v>
      </c>
      <c r="D612" s="550">
        <v>9.65</v>
      </c>
      <c r="E612" s="550">
        <v>9.6999999999999993</v>
      </c>
      <c r="F612" s="550">
        <v>9.75</v>
      </c>
      <c r="G612" s="550">
        <v>9.59</v>
      </c>
      <c r="H612" s="551">
        <v>8.4672540000000005</v>
      </c>
      <c r="I612" s="550">
        <v>405100</v>
      </c>
    </row>
    <row r="613" spans="1:9" x14ac:dyDescent="0.2">
      <c r="A613" s="549">
        <v>3359</v>
      </c>
      <c r="B613" s="549">
        <v>8</v>
      </c>
      <c r="C613" s="548">
        <v>41996</v>
      </c>
      <c r="D613" s="550">
        <v>9.74</v>
      </c>
      <c r="E613" s="550">
        <v>9.7200000000000006</v>
      </c>
      <c r="F613" s="550">
        <v>9.81</v>
      </c>
      <c r="G613" s="550">
        <v>9.69</v>
      </c>
      <c r="H613" s="551">
        <v>8.4847099999999998</v>
      </c>
      <c r="I613" s="550">
        <v>254300</v>
      </c>
    </row>
    <row r="614" spans="1:9" x14ac:dyDescent="0.2">
      <c r="A614" s="549">
        <v>3360</v>
      </c>
      <c r="B614" s="549">
        <v>8</v>
      </c>
      <c r="C614" s="548">
        <v>41997</v>
      </c>
      <c r="D614" s="550">
        <v>9.7100000000000009</v>
      </c>
      <c r="E614" s="550">
        <v>9.6999999999999993</v>
      </c>
      <c r="F614" s="550">
        <v>9.7899999999999991</v>
      </c>
      <c r="G614" s="550">
        <v>9.66</v>
      </c>
      <c r="H614" s="551">
        <v>8.4672540000000005</v>
      </c>
      <c r="I614" s="550">
        <v>90700</v>
      </c>
    </row>
    <row r="615" spans="1:9" x14ac:dyDescent="0.2">
      <c r="A615" s="549">
        <v>3361</v>
      </c>
      <c r="B615" s="549">
        <v>8</v>
      </c>
      <c r="C615" s="548">
        <v>42002</v>
      </c>
      <c r="D615" s="550">
        <v>9.6999999999999993</v>
      </c>
      <c r="E615" s="550">
        <v>9.6300000000000008</v>
      </c>
      <c r="F615" s="550">
        <v>9.6999999999999993</v>
      </c>
      <c r="G615" s="550">
        <v>9.61</v>
      </c>
      <c r="H615" s="551">
        <v>8.4826680000000003</v>
      </c>
      <c r="I615" s="550">
        <v>164400</v>
      </c>
    </row>
    <row r="616" spans="1:9" x14ac:dyDescent="0.2">
      <c r="A616" s="549">
        <v>3362</v>
      </c>
      <c r="B616" s="549">
        <v>8</v>
      </c>
      <c r="C616" s="548">
        <v>42003</v>
      </c>
      <c r="D616" s="550">
        <v>9.6199999999999992</v>
      </c>
      <c r="E616" s="550">
        <v>9.6199999999999992</v>
      </c>
      <c r="F616" s="550">
        <v>9.67</v>
      </c>
      <c r="G616" s="550">
        <v>9.52</v>
      </c>
      <c r="H616" s="551">
        <v>8.4738600000000002</v>
      </c>
      <c r="I616" s="550">
        <v>143900</v>
      </c>
    </row>
    <row r="617" spans="1:9" x14ac:dyDescent="0.2">
      <c r="A617" s="549">
        <v>3363</v>
      </c>
      <c r="B617" s="549">
        <v>8</v>
      </c>
      <c r="C617" s="548">
        <v>42004</v>
      </c>
      <c r="D617" s="550">
        <v>9.61</v>
      </c>
      <c r="E617" s="550">
        <v>9.64</v>
      </c>
      <c r="F617" s="550">
        <v>9.67</v>
      </c>
      <c r="G617" s="550">
        <v>9.5299999999999994</v>
      </c>
      <c r="H617" s="551">
        <v>8.4914769999999997</v>
      </c>
      <c r="I617" s="550">
        <v>116000</v>
      </c>
    </row>
    <row r="618" spans="1:9" x14ac:dyDescent="0.2">
      <c r="A618" s="549">
        <v>3364</v>
      </c>
      <c r="B618" s="549">
        <v>8</v>
      </c>
      <c r="C618" s="548">
        <v>42006</v>
      </c>
      <c r="D618" s="550">
        <v>9.64</v>
      </c>
      <c r="E618" s="550">
        <v>9.7200000000000006</v>
      </c>
      <c r="F618" s="550">
        <v>9.7799999999999994</v>
      </c>
      <c r="G618" s="550">
        <v>9.64</v>
      </c>
      <c r="H618" s="551">
        <v>8.5619460000000007</v>
      </c>
      <c r="I618" s="550">
        <v>165100</v>
      </c>
    </row>
    <row r="619" spans="1:9" x14ac:dyDescent="0.2">
      <c r="A619" s="549">
        <v>3365</v>
      </c>
      <c r="B619" s="549">
        <v>8</v>
      </c>
      <c r="C619" s="548">
        <v>42009</v>
      </c>
      <c r="D619" s="550">
        <v>9.7200000000000006</v>
      </c>
      <c r="E619" s="550">
        <v>9.83</v>
      </c>
      <c r="F619" s="550">
        <v>9.84</v>
      </c>
      <c r="G619" s="550">
        <v>9.68</v>
      </c>
      <c r="H619" s="551">
        <v>8.6588379999999994</v>
      </c>
      <c r="I619" s="550">
        <v>290700</v>
      </c>
    </row>
    <row r="620" spans="1:9" x14ac:dyDescent="0.2">
      <c r="A620" s="549">
        <v>3366</v>
      </c>
      <c r="B620" s="549">
        <v>8</v>
      </c>
      <c r="C620" s="548">
        <v>42010</v>
      </c>
      <c r="D620" s="550">
        <v>9.84</v>
      </c>
      <c r="E620" s="550">
        <v>9.7200000000000006</v>
      </c>
      <c r="F620" s="550">
        <v>9.84</v>
      </c>
      <c r="G620" s="550">
        <v>9.61</v>
      </c>
      <c r="H620" s="551">
        <v>8.5619460000000007</v>
      </c>
      <c r="I620" s="550">
        <v>305200</v>
      </c>
    </row>
    <row r="621" spans="1:9" x14ac:dyDescent="0.2">
      <c r="A621" s="549">
        <v>3367</v>
      </c>
      <c r="B621" s="549">
        <v>8</v>
      </c>
      <c r="C621" s="548">
        <v>42011</v>
      </c>
      <c r="D621" s="550">
        <v>9.75</v>
      </c>
      <c r="E621" s="550">
        <v>9.7899999999999991</v>
      </c>
      <c r="F621" s="550">
        <v>9.84</v>
      </c>
      <c r="G621" s="550">
        <v>9.68</v>
      </c>
      <c r="H621" s="551">
        <v>8.6236080000000008</v>
      </c>
      <c r="I621" s="550">
        <v>298300</v>
      </c>
    </row>
    <row r="622" spans="1:9" x14ac:dyDescent="0.2">
      <c r="A622" s="549">
        <v>3368</v>
      </c>
      <c r="B622" s="549">
        <v>8</v>
      </c>
      <c r="C622" s="548">
        <v>42012</v>
      </c>
      <c r="D622" s="550">
        <v>9.82</v>
      </c>
      <c r="E622" s="550">
        <v>9.81</v>
      </c>
      <c r="F622" s="550">
        <v>9.84</v>
      </c>
      <c r="G622" s="550">
        <v>9.6999999999999993</v>
      </c>
      <c r="H622" s="551">
        <v>8.6412230000000001</v>
      </c>
      <c r="I622" s="550">
        <v>360800</v>
      </c>
    </row>
    <row r="623" spans="1:9" x14ac:dyDescent="0.2">
      <c r="A623" s="549">
        <v>3369</v>
      </c>
      <c r="B623" s="549">
        <v>8</v>
      </c>
      <c r="C623" s="548">
        <v>42013</v>
      </c>
      <c r="D623" s="550">
        <v>9.7899999999999991</v>
      </c>
      <c r="E623" s="550">
        <v>9.8000000000000007</v>
      </c>
      <c r="F623" s="550">
        <v>9.82</v>
      </c>
      <c r="G623" s="550">
        <v>9.66</v>
      </c>
      <c r="H623" s="551">
        <v>8.6324140000000007</v>
      </c>
      <c r="I623" s="550">
        <v>273500</v>
      </c>
    </row>
    <row r="624" spans="1:9" x14ac:dyDescent="0.2">
      <c r="A624" s="549">
        <v>3370</v>
      </c>
      <c r="B624" s="549">
        <v>8</v>
      </c>
      <c r="C624" s="548">
        <v>42016</v>
      </c>
      <c r="D624" s="550">
        <v>9.7899999999999991</v>
      </c>
      <c r="E624" s="550">
        <v>9.7200000000000006</v>
      </c>
      <c r="F624" s="550">
        <v>9.7899999999999991</v>
      </c>
      <c r="G624" s="550">
        <v>9.5500000000000007</v>
      </c>
      <c r="H624" s="551">
        <v>8.5619460000000007</v>
      </c>
      <c r="I624" s="550">
        <v>680600</v>
      </c>
    </row>
    <row r="625" spans="1:9" x14ac:dyDescent="0.2">
      <c r="A625" s="549">
        <v>3371</v>
      </c>
      <c r="B625" s="549">
        <v>8</v>
      </c>
      <c r="C625" s="548">
        <v>42017</v>
      </c>
      <c r="D625" s="550">
        <v>9.65</v>
      </c>
      <c r="E625" s="550">
        <v>9.61</v>
      </c>
      <c r="F625" s="550">
        <v>9.6999999999999993</v>
      </c>
      <c r="G625" s="550">
        <v>9.5399999999999991</v>
      </c>
      <c r="H625" s="551">
        <v>8.4650510000000008</v>
      </c>
      <c r="I625" s="550">
        <v>360600</v>
      </c>
    </row>
    <row r="626" spans="1:9" x14ac:dyDescent="0.2">
      <c r="A626" s="549">
        <v>3372</v>
      </c>
      <c r="B626" s="549">
        <v>8</v>
      </c>
      <c r="C626" s="548">
        <v>42018</v>
      </c>
      <c r="D626" s="550">
        <v>9.58</v>
      </c>
      <c r="E626" s="550">
        <v>9.57</v>
      </c>
      <c r="F626" s="550">
        <v>9.59</v>
      </c>
      <c r="G626" s="550">
        <v>9.41</v>
      </c>
      <c r="H626" s="551">
        <v>8.4298169999999999</v>
      </c>
      <c r="I626" s="550">
        <v>328900</v>
      </c>
    </row>
    <row r="627" spans="1:9" x14ac:dyDescent="0.2">
      <c r="A627" s="549">
        <v>3373</v>
      </c>
      <c r="B627" s="549">
        <v>8</v>
      </c>
      <c r="C627" s="548">
        <v>42019</v>
      </c>
      <c r="D627" s="550">
        <v>9.6</v>
      </c>
      <c r="E627" s="550">
        <v>9.76</v>
      </c>
      <c r="F627" s="550">
        <v>9.7899999999999991</v>
      </c>
      <c r="G627" s="550">
        <v>9.51</v>
      </c>
      <c r="H627" s="551">
        <v>8.5971820000000001</v>
      </c>
      <c r="I627" s="550">
        <v>253500</v>
      </c>
    </row>
    <row r="628" spans="1:9" x14ac:dyDescent="0.2">
      <c r="A628" s="549">
        <v>3374</v>
      </c>
      <c r="B628" s="549">
        <v>8</v>
      </c>
      <c r="C628" s="548">
        <v>42020</v>
      </c>
      <c r="D628" s="550">
        <v>9.77</v>
      </c>
      <c r="E628" s="550">
        <v>9.8000000000000007</v>
      </c>
      <c r="F628" s="550">
        <v>9.92</v>
      </c>
      <c r="G628" s="550">
        <v>9.74</v>
      </c>
      <c r="H628" s="551">
        <v>8.6324140000000007</v>
      </c>
      <c r="I628" s="550">
        <v>354900</v>
      </c>
    </row>
    <row r="629" spans="1:9" x14ac:dyDescent="0.2">
      <c r="A629" s="549">
        <v>3375</v>
      </c>
      <c r="B629" s="549">
        <v>8</v>
      </c>
      <c r="C629" s="548">
        <v>42023</v>
      </c>
      <c r="D629" s="550">
        <v>9.8699999999999992</v>
      </c>
      <c r="E629" s="550">
        <v>9.85</v>
      </c>
      <c r="F629" s="550">
        <v>9.92</v>
      </c>
      <c r="G629" s="550">
        <v>9.7200000000000006</v>
      </c>
      <c r="H629" s="551">
        <v>8.6764580000000002</v>
      </c>
      <c r="I629" s="550">
        <v>165400</v>
      </c>
    </row>
    <row r="630" spans="1:9" x14ac:dyDescent="0.2">
      <c r="A630" s="549">
        <v>3376</v>
      </c>
      <c r="B630" s="549">
        <v>8</v>
      </c>
      <c r="C630" s="548">
        <v>42024</v>
      </c>
      <c r="D630" s="550">
        <v>9.92</v>
      </c>
      <c r="E630" s="550">
        <v>9.9499999999999993</v>
      </c>
      <c r="F630" s="550">
        <v>9.98</v>
      </c>
      <c r="G630" s="550">
        <v>9.85</v>
      </c>
      <c r="H630" s="551">
        <v>8.7645429999999998</v>
      </c>
      <c r="I630" s="550">
        <v>322300</v>
      </c>
    </row>
    <row r="631" spans="1:9" x14ac:dyDescent="0.2">
      <c r="A631" s="549">
        <v>3377</v>
      </c>
      <c r="B631" s="549">
        <v>8</v>
      </c>
      <c r="C631" s="548">
        <v>42025</v>
      </c>
      <c r="D631" s="550">
        <v>9.9</v>
      </c>
      <c r="E631" s="550">
        <v>9.98</v>
      </c>
      <c r="F631" s="550">
        <v>10.06</v>
      </c>
      <c r="G631" s="550">
        <v>9.8800000000000008</v>
      </c>
      <c r="H631" s="551">
        <v>8.7909699999999997</v>
      </c>
      <c r="I631" s="550">
        <v>771300</v>
      </c>
    </row>
    <row r="632" spans="1:9" x14ac:dyDescent="0.2">
      <c r="A632" s="549">
        <v>3378</v>
      </c>
      <c r="B632" s="549">
        <v>8</v>
      </c>
      <c r="C632" s="548">
        <v>42026</v>
      </c>
      <c r="D632" s="550">
        <v>9.9499999999999993</v>
      </c>
      <c r="E632" s="550">
        <v>10.17</v>
      </c>
      <c r="F632" s="550">
        <v>10.23</v>
      </c>
      <c r="G632" s="550">
        <v>9.94</v>
      </c>
      <c r="H632" s="551">
        <v>8.9583329999999997</v>
      </c>
      <c r="I632" s="550">
        <v>602600</v>
      </c>
    </row>
    <row r="633" spans="1:9" x14ac:dyDescent="0.2">
      <c r="A633" s="549">
        <v>3379</v>
      </c>
      <c r="B633" s="549">
        <v>8</v>
      </c>
      <c r="C633" s="548">
        <v>42027</v>
      </c>
      <c r="D633" s="550">
        <v>10.19</v>
      </c>
      <c r="E633" s="550">
        <v>10.16</v>
      </c>
      <c r="F633" s="550">
        <v>10.3</v>
      </c>
      <c r="G633" s="550">
        <v>10.119999999999999</v>
      </c>
      <c r="H633" s="551">
        <v>8.9495240000000003</v>
      </c>
      <c r="I633" s="550">
        <v>564200</v>
      </c>
    </row>
    <row r="634" spans="1:9" x14ac:dyDescent="0.2">
      <c r="A634" s="549">
        <v>3380</v>
      </c>
      <c r="B634" s="549">
        <v>8</v>
      </c>
      <c r="C634" s="548">
        <v>42030</v>
      </c>
      <c r="D634" s="550">
        <v>10.23</v>
      </c>
      <c r="E634" s="550">
        <v>9.9600000000000009</v>
      </c>
      <c r="F634" s="550">
        <v>10.28</v>
      </c>
      <c r="G634" s="550">
        <v>9.7899999999999991</v>
      </c>
      <c r="H634" s="551">
        <v>8.7733519999999992</v>
      </c>
      <c r="I634" s="550">
        <v>669000</v>
      </c>
    </row>
    <row r="635" spans="1:9" x14ac:dyDescent="0.2">
      <c r="A635" s="549">
        <v>3381</v>
      </c>
      <c r="B635" s="549">
        <v>8</v>
      </c>
      <c r="C635" s="548">
        <v>42031</v>
      </c>
      <c r="D635" s="550">
        <v>9.9499999999999993</v>
      </c>
      <c r="E635" s="550">
        <v>10.28</v>
      </c>
      <c r="F635" s="550">
        <v>10.3</v>
      </c>
      <c r="G635" s="550">
        <v>9.85</v>
      </c>
      <c r="H635" s="551">
        <v>9.0552250000000001</v>
      </c>
      <c r="I635" s="550">
        <v>636000</v>
      </c>
    </row>
    <row r="636" spans="1:9" x14ac:dyDescent="0.2">
      <c r="A636" s="549">
        <v>3382</v>
      </c>
      <c r="B636" s="549">
        <v>8</v>
      </c>
      <c r="C636" s="548">
        <v>42032</v>
      </c>
      <c r="D636" s="550">
        <v>10.3</v>
      </c>
      <c r="E636" s="550">
        <v>10.3</v>
      </c>
      <c r="F636" s="550">
        <v>10.44</v>
      </c>
      <c r="G636" s="550">
        <v>10.17</v>
      </c>
      <c r="H636" s="551">
        <v>9.0728439999999999</v>
      </c>
      <c r="I636" s="550">
        <v>742200</v>
      </c>
    </row>
    <row r="637" spans="1:9" x14ac:dyDescent="0.2">
      <c r="A637" s="549">
        <v>3383</v>
      </c>
      <c r="B637" s="549">
        <v>8</v>
      </c>
      <c r="C637" s="548">
        <v>42033</v>
      </c>
      <c r="D637" s="550">
        <v>10.36</v>
      </c>
      <c r="E637" s="550">
        <v>10.36</v>
      </c>
      <c r="F637" s="550">
        <v>10.4</v>
      </c>
      <c r="G637" s="550">
        <v>10.23</v>
      </c>
      <c r="H637" s="551">
        <v>9.1256939999999993</v>
      </c>
      <c r="I637" s="550">
        <v>1553900</v>
      </c>
    </row>
    <row r="638" spans="1:9" x14ac:dyDescent="0.2">
      <c r="A638" s="549">
        <v>3384</v>
      </c>
      <c r="B638" s="549">
        <v>8</v>
      </c>
      <c r="C638" s="548">
        <v>42034</v>
      </c>
      <c r="D638" s="550">
        <v>10.39</v>
      </c>
      <c r="E638" s="550">
        <v>10.119999999999999</v>
      </c>
      <c r="F638" s="550">
        <v>10.44</v>
      </c>
      <c r="G638" s="550">
        <v>10.119999999999999</v>
      </c>
      <c r="H638" s="551">
        <v>8.9142890000000001</v>
      </c>
      <c r="I638" s="550">
        <v>1102700</v>
      </c>
    </row>
    <row r="639" spans="1:9" x14ac:dyDescent="0.2">
      <c r="A639" s="549">
        <v>3385</v>
      </c>
      <c r="B639" s="549">
        <v>8</v>
      </c>
      <c r="C639" s="548">
        <v>42037</v>
      </c>
      <c r="D639" s="550">
        <v>10.130000000000001</v>
      </c>
      <c r="E639" s="550">
        <v>10.42</v>
      </c>
      <c r="F639" s="550">
        <v>10.48</v>
      </c>
      <c r="G639" s="550">
        <v>10.119999999999999</v>
      </c>
      <c r="H639" s="551">
        <v>9.1785460000000008</v>
      </c>
      <c r="I639" s="550">
        <v>477800</v>
      </c>
    </row>
    <row r="640" spans="1:9" x14ac:dyDescent="0.2">
      <c r="A640" s="549">
        <v>3386</v>
      </c>
      <c r="B640" s="549">
        <v>8</v>
      </c>
      <c r="C640" s="548">
        <v>42038</v>
      </c>
      <c r="D640" s="550">
        <v>10.42</v>
      </c>
      <c r="E640" s="550">
        <v>10.4</v>
      </c>
      <c r="F640" s="550">
        <v>10.51</v>
      </c>
      <c r="G640" s="550">
        <v>10.37</v>
      </c>
      <c r="H640" s="551">
        <v>9.1609289999999994</v>
      </c>
      <c r="I640" s="550">
        <v>432200</v>
      </c>
    </row>
    <row r="641" spans="1:9" x14ac:dyDescent="0.2">
      <c r="A641" s="549">
        <v>3387</v>
      </c>
      <c r="B641" s="549">
        <v>8</v>
      </c>
      <c r="C641" s="548">
        <v>42039</v>
      </c>
      <c r="D641" s="550">
        <v>10.39</v>
      </c>
      <c r="E641" s="550">
        <v>10.41</v>
      </c>
      <c r="F641" s="550">
        <v>10.49</v>
      </c>
      <c r="G641" s="550">
        <v>10.37</v>
      </c>
      <c r="H641" s="551">
        <v>9.1697380000000006</v>
      </c>
      <c r="I641" s="550">
        <v>357000</v>
      </c>
    </row>
    <row r="642" spans="1:9" x14ac:dyDescent="0.2">
      <c r="A642" s="549">
        <v>3388</v>
      </c>
      <c r="B642" s="549">
        <v>8</v>
      </c>
      <c r="C642" s="548">
        <v>42040</v>
      </c>
      <c r="D642" s="550">
        <v>10.41</v>
      </c>
      <c r="E642" s="550">
        <v>10.43</v>
      </c>
      <c r="F642" s="550">
        <v>10.49</v>
      </c>
      <c r="G642" s="550">
        <v>10.37</v>
      </c>
      <c r="H642" s="551">
        <v>9.1873550000000002</v>
      </c>
      <c r="I642" s="550">
        <v>259800</v>
      </c>
    </row>
    <row r="643" spans="1:9" x14ac:dyDescent="0.2">
      <c r="A643" s="549">
        <v>3389</v>
      </c>
      <c r="B643" s="549">
        <v>8</v>
      </c>
      <c r="C643" s="548">
        <v>42041</v>
      </c>
      <c r="D643" s="550">
        <v>10.43</v>
      </c>
      <c r="E643" s="550">
        <v>10.15</v>
      </c>
      <c r="F643" s="550">
        <v>10.43</v>
      </c>
      <c r="G643" s="550">
        <v>10.11</v>
      </c>
      <c r="H643" s="551">
        <v>8.9407139999999998</v>
      </c>
      <c r="I643" s="550">
        <v>379500</v>
      </c>
    </row>
    <row r="644" spans="1:9" x14ac:dyDescent="0.2">
      <c r="A644" s="549">
        <v>3390</v>
      </c>
      <c r="B644" s="549">
        <v>8</v>
      </c>
      <c r="C644" s="548">
        <v>42044</v>
      </c>
      <c r="D644" s="550">
        <v>10.43</v>
      </c>
      <c r="E644" s="550">
        <v>10.210000000000001</v>
      </c>
      <c r="F644" s="550">
        <v>10.45</v>
      </c>
      <c r="G644" s="550">
        <v>10.16</v>
      </c>
      <c r="H644" s="551">
        <v>8.9935670000000005</v>
      </c>
      <c r="I644" s="550">
        <v>214000</v>
      </c>
    </row>
    <row r="645" spans="1:9" x14ac:dyDescent="0.2">
      <c r="A645" s="549">
        <v>3391</v>
      </c>
      <c r="B645" s="549">
        <v>8</v>
      </c>
      <c r="C645" s="548">
        <v>42045</v>
      </c>
      <c r="D645" s="550">
        <v>10.18</v>
      </c>
      <c r="E645" s="550">
        <v>10.25</v>
      </c>
      <c r="F645" s="550">
        <v>10.35</v>
      </c>
      <c r="G645" s="550">
        <v>10.18</v>
      </c>
      <c r="H645" s="551">
        <v>9.0288020000000007</v>
      </c>
      <c r="I645" s="550">
        <v>435500</v>
      </c>
    </row>
    <row r="646" spans="1:9" x14ac:dyDescent="0.2">
      <c r="A646" s="549">
        <v>3392</v>
      </c>
      <c r="B646" s="549">
        <v>8</v>
      </c>
      <c r="C646" s="548">
        <v>42046</v>
      </c>
      <c r="D646" s="550">
        <v>10.25</v>
      </c>
      <c r="E646" s="550">
        <v>10.36</v>
      </c>
      <c r="F646" s="550">
        <v>10.36</v>
      </c>
      <c r="G646" s="550">
        <v>10.25</v>
      </c>
      <c r="H646" s="551">
        <v>9.1256939999999993</v>
      </c>
      <c r="I646" s="550">
        <v>320100</v>
      </c>
    </row>
    <row r="647" spans="1:9" x14ac:dyDescent="0.2">
      <c r="A647" s="549">
        <v>3393</v>
      </c>
      <c r="B647" s="549">
        <v>8</v>
      </c>
      <c r="C647" s="548">
        <v>42047</v>
      </c>
      <c r="D647" s="550">
        <v>10.31</v>
      </c>
      <c r="E647" s="550">
        <v>10.36</v>
      </c>
      <c r="F647" s="550">
        <v>10.5</v>
      </c>
      <c r="G647" s="550">
        <v>10.28</v>
      </c>
      <c r="H647" s="551">
        <v>9.1256939999999993</v>
      </c>
      <c r="I647" s="550">
        <v>526400</v>
      </c>
    </row>
    <row r="648" spans="1:9" x14ac:dyDescent="0.2">
      <c r="A648" s="549">
        <v>3394</v>
      </c>
      <c r="B648" s="549">
        <v>8</v>
      </c>
      <c r="C648" s="548">
        <v>42048</v>
      </c>
      <c r="D648" s="550">
        <v>10.41</v>
      </c>
      <c r="E648" s="550">
        <v>10.24</v>
      </c>
      <c r="F648" s="550">
        <v>10.42</v>
      </c>
      <c r="G648" s="550">
        <v>10.23</v>
      </c>
      <c r="H648" s="551">
        <v>9.0199909999999992</v>
      </c>
      <c r="I648" s="550">
        <v>183900</v>
      </c>
    </row>
    <row r="649" spans="1:9" x14ac:dyDescent="0.2">
      <c r="A649" s="549">
        <v>3395</v>
      </c>
      <c r="B649" s="549">
        <v>8</v>
      </c>
      <c r="C649" s="548">
        <v>42052</v>
      </c>
      <c r="D649" s="550">
        <v>10.24</v>
      </c>
      <c r="E649" s="550">
        <v>10.19</v>
      </c>
      <c r="F649" s="550">
        <v>10.35</v>
      </c>
      <c r="G649" s="550">
        <v>10.18</v>
      </c>
      <c r="H649" s="551">
        <v>8.9759499999999992</v>
      </c>
      <c r="I649" s="550">
        <v>275900</v>
      </c>
    </row>
    <row r="650" spans="1:9" x14ac:dyDescent="0.2">
      <c r="A650" s="549">
        <v>3396</v>
      </c>
      <c r="B650" s="549">
        <v>8</v>
      </c>
      <c r="C650" s="548">
        <v>42053</v>
      </c>
      <c r="D650" s="550">
        <v>10.220000000000001</v>
      </c>
      <c r="E650" s="550">
        <v>10.199999999999999</v>
      </c>
      <c r="F650" s="550">
        <v>10.27</v>
      </c>
      <c r="G650" s="550">
        <v>10.119999999999999</v>
      </c>
      <c r="H650" s="551">
        <v>8.9847579999999994</v>
      </c>
      <c r="I650" s="550">
        <v>357700</v>
      </c>
    </row>
    <row r="651" spans="1:9" x14ac:dyDescent="0.2">
      <c r="A651" s="549">
        <v>3397</v>
      </c>
      <c r="B651" s="549">
        <v>8</v>
      </c>
      <c r="C651" s="548">
        <v>42054</v>
      </c>
      <c r="D651" s="550">
        <v>10.23</v>
      </c>
      <c r="E651" s="550">
        <v>10.220000000000001</v>
      </c>
      <c r="F651" s="550">
        <v>10.31</v>
      </c>
      <c r="G651" s="550">
        <v>10.17</v>
      </c>
      <c r="H651" s="551">
        <v>9.0023759999999999</v>
      </c>
      <c r="I651" s="550">
        <v>239800</v>
      </c>
    </row>
    <row r="652" spans="1:9" x14ac:dyDescent="0.2">
      <c r="A652" s="549">
        <v>3398</v>
      </c>
      <c r="B652" s="549">
        <v>8</v>
      </c>
      <c r="C652" s="548">
        <v>42055</v>
      </c>
      <c r="D652" s="550">
        <v>10.199999999999999</v>
      </c>
      <c r="E652" s="550">
        <v>10.24</v>
      </c>
      <c r="F652" s="550">
        <v>10.28</v>
      </c>
      <c r="G652" s="550">
        <v>10.15</v>
      </c>
      <c r="H652" s="551">
        <v>9.0199909999999992</v>
      </c>
      <c r="I652" s="550">
        <v>415100</v>
      </c>
    </row>
    <row r="653" spans="1:9" x14ac:dyDescent="0.2">
      <c r="A653" s="549">
        <v>3399</v>
      </c>
      <c r="B653" s="549">
        <v>8</v>
      </c>
      <c r="C653" s="548">
        <v>42058</v>
      </c>
      <c r="D653" s="550">
        <v>10.119999999999999</v>
      </c>
      <c r="E653" s="550">
        <v>10.15</v>
      </c>
      <c r="F653" s="550">
        <v>10.16</v>
      </c>
      <c r="G653" s="550">
        <v>9.9700000000000006</v>
      </c>
      <c r="H653" s="551">
        <v>8.9407139999999998</v>
      </c>
      <c r="I653" s="550">
        <v>384900</v>
      </c>
    </row>
    <row r="654" spans="1:9" x14ac:dyDescent="0.2">
      <c r="A654" s="549">
        <v>3400</v>
      </c>
      <c r="B654" s="549">
        <v>8</v>
      </c>
      <c r="C654" s="548">
        <v>42059</v>
      </c>
      <c r="D654" s="550">
        <v>10.119999999999999</v>
      </c>
      <c r="E654" s="550">
        <v>10.210000000000001</v>
      </c>
      <c r="F654" s="550">
        <v>10.35</v>
      </c>
      <c r="G654" s="550">
        <v>10.119999999999999</v>
      </c>
      <c r="H654" s="551">
        <v>8.9935670000000005</v>
      </c>
      <c r="I654" s="550">
        <v>366900</v>
      </c>
    </row>
    <row r="655" spans="1:9" x14ac:dyDescent="0.2">
      <c r="A655" s="549">
        <v>3401</v>
      </c>
      <c r="B655" s="549">
        <v>8</v>
      </c>
      <c r="C655" s="548">
        <v>42060</v>
      </c>
      <c r="D655" s="550">
        <v>10.25</v>
      </c>
      <c r="E655" s="550">
        <v>10.18</v>
      </c>
      <c r="F655" s="550">
        <v>10.34</v>
      </c>
      <c r="G655" s="550">
        <v>10.14</v>
      </c>
      <c r="H655" s="551">
        <v>8.9671389999999995</v>
      </c>
      <c r="I655" s="550">
        <v>322800</v>
      </c>
    </row>
    <row r="656" spans="1:9" x14ac:dyDescent="0.2">
      <c r="A656" s="549">
        <v>3402</v>
      </c>
      <c r="B656" s="549">
        <v>8</v>
      </c>
      <c r="C656" s="548">
        <v>42061</v>
      </c>
      <c r="D656" s="550">
        <v>10.25</v>
      </c>
      <c r="E656" s="550">
        <v>10.19</v>
      </c>
      <c r="F656" s="550">
        <v>10.27</v>
      </c>
      <c r="G656" s="550">
        <v>10.119999999999999</v>
      </c>
      <c r="H656" s="551">
        <v>8.9759499999999992</v>
      </c>
      <c r="I656" s="550">
        <v>226400</v>
      </c>
    </row>
    <row r="657" spans="1:9" x14ac:dyDescent="0.2">
      <c r="A657" s="549">
        <v>3403</v>
      </c>
      <c r="B657" s="549">
        <v>8</v>
      </c>
      <c r="C657" s="548">
        <v>42062</v>
      </c>
      <c r="D657" s="550">
        <v>10.24</v>
      </c>
      <c r="E657" s="550">
        <v>10.23</v>
      </c>
      <c r="F657" s="550">
        <v>10.31</v>
      </c>
      <c r="G657" s="550">
        <v>10.199999999999999</v>
      </c>
      <c r="H657" s="551">
        <v>9.0111849999999993</v>
      </c>
      <c r="I657" s="550">
        <v>396200</v>
      </c>
    </row>
    <row r="658" spans="1:9" x14ac:dyDescent="0.2">
      <c r="A658" s="549">
        <v>3404</v>
      </c>
      <c r="B658" s="549">
        <v>8</v>
      </c>
      <c r="C658" s="548">
        <v>42065</v>
      </c>
      <c r="D658" s="550">
        <v>10.23</v>
      </c>
      <c r="E658" s="550">
        <v>10.26</v>
      </c>
      <c r="F658" s="550">
        <v>10.28</v>
      </c>
      <c r="G658" s="550">
        <v>10.07</v>
      </c>
      <c r="H658" s="551">
        <v>9.0376089999999998</v>
      </c>
      <c r="I658" s="550">
        <v>447000</v>
      </c>
    </row>
    <row r="659" spans="1:9" x14ac:dyDescent="0.2">
      <c r="A659" s="549">
        <v>3405</v>
      </c>
      <c r="B659" s="549">
        <v>8</v>
      </c>
      <c r="C659" s="548">
        <v>42066</v>
      </c>
      <c r="D659" s="550">
        <v>10.31</v>
      </c>
      <c r="E659" s="550">
        <v>10.29</v>
      </c>
      <c r="F659" s="550">
        <v>10.35</v>
      </c>
      <c r="G659" s="550">
        <v>10.18</v>
      </c>
      <c r="H659" s="551">
        <v>9.0640350000000005</v>
      </c>
      <c r="I659" s="550">
        <v>330100</v>
      </c>
    </row>
    <row r="660" spans="1:9" x14ac:dyDescent="0.2">
      <c r="A660" s="549">
        <v>3406</v>
      </c>
      <c r="B660" s="549">
        <v>8</v>
      </c>
      <c r="C660" s="548">
        <v>42067</v>
      </c>
      <c r="D660" s="550">
        <v>10.3</v>
      </c>
      <c r="E660" s="550">
        <v>10.3</v>
      </c>
      <c r="F660" s="550">
        <v>10.32</v>
      </c>
      <c r="G660" s="550">
        <v>10.16</v>
      </c>
      <c r="H660" s="551">
        <v>9.0728439999999999</v>
      </c>
      <c r="I660" s="550">
        <v>338100</v>
      </c>
    </row>
    <row r="661" spans="1:9" x14ac:dyDescent="0.2">
      <c r="A661" s="549">
        <v>3407</v>
      </c>
      <c r="B661" s="549">
        <v>8</v>
      </c>
      <c r="C661" s="548">
        <v>42068</v>
      </c>
      <c r="D661" s="550">
        <v>10.33</v>
      </c>
      <c r="E661" s="550">
        <v>10.27</v>
      </c>
      <c r="F661" s="550">
        <v>10.39</v>
      </c>
      <c r="G661" s="550">
        <v>10.220000000000001</v>
      </c>
      <c r="H661" s="551">
        <v>9.0464179999999992</v>
      </c>
      <c r="I661" s="550">
        <v>350600</v>
      </c>
    </row>
    <row r="662" spans="1:9" x14ac:dyDescent="0.2">
      <c r="A662" s="549">
        <v>3408</v>
      </c>
      <c r="B662" s="549">
        <v>8</v>
      </c>
      <c r="C662" s="548">
        <v>42069</v>
      </c>
      <c r="D662" s="550">
        <v>9.7799999999999994</v>
      </c>
      <c r="E662" s="550">
        <v>9.34</v>
      </c>
      <c r="F662" s="550">
        <v>9.7799999999999994</v>
      </c>
      <c r="G662" s="550">
        <v>8.66</v>
      </c>
      <c r="H662" s="551">
        <v>8.2272200000000009</v>
      </c>
      <c r="I662" s="550">
        <v>2204100</v>
      </c>
    </row>
    <row r="663" spans="1:9" x14ac:dyDescent="0.2">
      <c r="A663" s="549">
        <v>3409</v>
      </c>
      <c r="B663" s="549">
        <v>8</v>
      </c>
      <c r="C663" s="548">
        <v>42072</v>
      </c>
      <c r="D663" s="550">
        <v>8.1</v>
      </c>
      <c r="E663" s="550">
        <v>8.5399999999999991</v>
      </c>
      <c r="F663" s="550">
        <v>8.99</v>
      </c>
      <c r="G663" s="550">
        <v>7.5</v>
      </c>
      <c r="H663" s="551">
        <v>7.522532</v>
      </c>
      <c r="I663" s="550">
        <v>5304100</v>
      </c>
    </row>
    <row r="664" spans="1:9" x14ac:dyDescent="0.2">
      <c r="A664" s="549">
        <v>3410</v>
      </c>
      <c r="B664" s="549">
        <v>8</v>
      </c>
      <c r="C664" s="548">
        <v>42073</v>
      </c>
      <c r="D664" s="550">
        <v>8.11</v>
      </c>
      <c r="E664" s="550">
        <v>8.9499999999999993</v>
      </c>
      <c r="F664" s="550">
        <v>9.16</v>
      </c>
      <c r="G664" s="550">
        <v>8.11</v>
      </c>
      <c r="H664" s="551">
        <v>7.8836839999999997</v>
      </c>
      <c r="I664" s="550">
        <v>2469400</v>
      </c>
    </row>
    <row r="665" spans="1:9" x14ac:dyDescent="0.2">
      <c r="A665" s="549">
        <v>3411</v>
      </c>
      <c r="B665" s="549">
        <v>8</v>
      </c>
      <c r="C665" s="548">
        <v>42074</v>
      </c>
      <c r="D665" s="550">
        <v>8.9499999999999993</v>
      </c>
      <c r="E665" s="550">
        <v>8.8000000000000007</v>
      </c>
      <c r="F665" s="550">
        <v>8.99</v>
      </c>
      <c r="G665" s="550">
        <v>8.59</v>
      </c>
      <c r="H665" s="551">
        <v>7.751557</v>
      </c>
      <c r="I665" s="550">
        <v>938000</v>
      </c>
    </row>
    <row r="666" spans="1:9" x14ac:dyDescent="0.2">
      <c r="A666" s="549">
        <v>3412</v>
      </c>
      <c r="B666" s="549">
        <v>8</v>
      </c>
      <c r="C666" s="548">
        <v>42075</v>
      </c>
      <c r="D666" s="550">
        <v>8.65</v>
      </c>
      <c r="E666" s="550">
        <v>9.0299999999999994</v>
      </c>
      <c r="F666" s="550">
        <v>9.0299999999999994</v>
      </c>
      <c r="G666" s="550">
        <v>8.6300000000000008</v>
      </c>
      <c r="H666" s="551">
        <v>7.9541529999999998</v>
      </c>
      <c r="I666" s="550">
        <v>716200</v>
      </c>
    </row>
    <row r="667" spans="1:9" x14ac:dyDescent="0.2">
      <c r="A667" s="549">
        <v>3413</v>
      </c>
      <c r="B667" s="549">
        <v>8</v>
      </c>
      <c r="C667" s="548">
        <v>42076</v>
      </c>
      <c r="D667" s="550">
        <v>8.74</v>
      </c>
      <c r="E667" s="550">
        <v>8.5</v>
      </c>
      <c r="F667" s="550">
        <v>8.85</v>
      </c>
      <c r="G667" s="550">
        <v>8.4</v>
      </c>
      <c r="H667" s="551">
        <v>7.487298</v>
      </c>
      <c r="I667" s="550">
        <v>1674700</v>
      </c>
    </row>
    <row r="668" spans="1:9" x14ac:dyDescent="0.2">
      <c r="A668" s="549">
        <v>3414</v>
      </c>
      <c r="B668" s="549">
        <v>8</v>
      </c>
      <c r="C668" s="548">
        <v>42079</v>
      </c>
      <c r="D668" s="550">
        <v>9.5500000000000007</v>
      </c>
      <c r="E668" s="550">
        <v>9.19</v>
      </c>
      <c r="F668" s="550">
        <v>9.64</v>
      </c>
      <c r="G668" s="550">
        <v>9.06</v>
      </c>
      <c r="H668" s="551">
        <v>8.0950919999999993</v>
      </c>
      <c r="I668" s="550">
        <v>1827000</v>
      </c>
    </row>
    <row r="669" spans="1:9" x14ac:dyDescent="0.2">
      <c r="A669" s="549">
        <v>3415</v>
      </c>
      <c r="B669" s="549">
        <v>8</v>
      </c>
      <c r="C669" s="548">
        <v>42080</v>
      </c>
      <c r="D669" s="550">
        <v>9.26</v>
      </c>
      <c r="E669" s="550">
        <v>9.35</v>
      </c>
      <c r="F669" s="550">
        <v>9.49</v>
      </c>
      <c r="G669" s="550">
        <v>9.25</v>
      </c>
      <c r="H669" s="551">
        <v>8.2360299999999995</v>
      </c>
      <c r="I669" s="550">
        <v>809400</v>
      </c>
    </row>
    <row r="670" spans="1:9" x14ac:dyDescent="0.2">
      <c r="A670" s="549">
        <v>3416</v>
      </c>
      <c r="B670" s="549">
        <v>8</v>
      </c>
      <c r="C670" s="548">
        <v>42081</v>
      </c>
      <c r="D670" s="550">
        <v>9.3000000000000007</v>
      </c>
      <c r="E670" s="550">
        <v>9.3000000000000007</v>
      </c>
      <c r="F670" s="550">
        <v>9.43</v>
      </c>
      <c r="G670" s="550">
        <v>9.25</v>
      </c>
      <c r="H670" s="551">
        <v>8.1919850000000007</v>
      </c>
      <c r="I670" s="550">
        <v>821300</v>
      </c>
    </row>
    <row r="671" spans="1:9" x14ac:dyDescent="0.2">
      <c r="A671" s="549">
        <v>3417</v>
      </c>
      <c r="B671" s="549">
        <v>8</v>
      </c>
      <c r="C671" s="548">
        <v>42082</v>
      </c>
      <c r="D671" s="550">
        <v>9.3000000000000007</v>
      </c>
      <c r="E671" s="550">
        <v>9.31</v>
      </c>
      <c r="F671" s="550">
        <v>9.43</v>
      </c>
      <c r="G671" s="550">
        <v>9.26</v>
      </c>
      <c r="H671" s="551">
        <v>8.2007930000000009</v>
      </c>
      <c r="I671" s="550">
        <v>527600</v>
      </c>
    </row>
    <row r="672" spans="1:9" x14ac:dyDescent="0.2">
      <c r="A672" s="549">
        <v>3418</v>
      </c>
      <c r="B672" s="549">
        <v>8</v>
      </c>
      <c r="C672" s="548">
        <v>42083</v>
      </c>
      <c r="D672" s="550">
        <v>9.31</v>
      </c>
      <c r="E672" s="550">
        <v>9.27</v>
      </c>
      <c r="F672" s="550">
        <v>9.42</v>
      </c>
      <c r="G672" s="550">
        <v>8.9499999999999993</v>
      </c>
      <c r="H672" s="551">
        <v>8.1655599999999993</v>
      </c>
      <c r="I672" s="550">
        <v>2095700</v>
      </c>
    </row>
    <row r="673" spans="1:9" x14ac:dyDescent="0.2">
      <c r="A673" s="549">
        <v>3419</v>
      </c>
      <c r="B673" s="549">
        <v>8</v>
      </c>
      <c r="C673" s="548">
        <v>42086</v>
      </c>
      <c r="D673" s="550">
        <v>9.3000000000000007</v>
      </c>
      <c r="E673" s="550">
        <v>9.2799999999999994</v>
      </c>
      <c r="F673" s="550">
        <v>9.42</v>
      </c>
      <c r="G673" s="550">
        <v>9.2200000000000006</v>
      </c>
      <c r="H673" s="551">
        <v>8.1743679999999994</v>
      </c>
      <c r="I673" s="550">
        <v>373500</v>
      </c>
    </row>
    <row r="674" spans="1:9" x14ac:dyDescent="0.2">
      <c r="A674" s="549">
        <v>3420</v>
      </c>
      <c r="B674" s="549">
        <v>8</v>
      </c>
      <c r="C674" s="548">
        <v>42087</v>
      </c>
      <c r="D674" s="550">
        <v>9.23</v>
      </c>
      <c r="E674" s="550">
        <v>9.3000000000000007</v>
      </c>
      <c r="F674" s="550">
        <v>9.39</v>
      </c>
      <c r="G674" s="550">
        <v>9.1999999999999993</v>
      </c>
      <c r="H674" s="551">
        <v>8.1919850000000007</v>
      </c>
      <c r="I674" s="550">
        <v>406900</v>
      </c>
    </row>
    <row r="675" spans="1:9" x14ac:dyDescent="0.2">
      <c r="A675" s="549">
        <v>3421</v>
      </c>
      <c r="B675" s="549">
        <v>8</v>
      </c>
      <c r="C675" s="548">
        <v>42088</v>
      </c>
      <c r="D675" s="550">
        <v>9.36</v>
      </c>
      <c r="E675" s="550">
        <v>9.36</v>
      </c>
      <c r="F675" s="550">
        <v>9.44</v>
      </c>
      <c r="G675" s="550">
        <v>9.2899999999999991</v>
      </c>
      <c r="H675" s="551">
        <v>8.2448359999999994</v>
      </c>
      <c r="I675" s="550">
        <v>497600</v>
      </c>
    </row>
    <row r="676" spans="1:9" x14ac:dyDescent="0.2">
      <c r="A676" s="549">
        <v>3422</v>
      </c>
      <c r="B676" s="549">
        <v>8</v>
      </c>
      <c r="C676" s="548">
        <v>42089</v>
      </c>
      <c r="D676" s="550">
        <v>9.35</v>
      </c>
      <c r="E676" s="550">
        <v>9.4700000000000006</v>
      </c>
      <c r="F676" s="550">
        <v>9.5399999999999991</v>
      </c>
      <c r="G676" s="550">
        <v>9.26</v>
      </c>
      <c r="H676" s="551">
        <v>8.3417309999999993</v>
      </c>
      <c r="I676" s="550">
        <v>1044800</v>
      </c>
    </row>
    <row r="677" spans="1:9" x14ac:dyDescent="0.2">
      <c r="A677" s="549">
        <v>3423</v>
      </c>
      <c r="B677" s="549">
        <v>8</v>
      </c>
      <c r="C677" s="548">
        <v>42090</v>
      </c>
      <c r="D677" s="550">
        <v>9.4</v>
      </c>
      <c r="E677" s="550">
        <v>9.35</v>
      </c>
      <c r="F677" s="550">
        <v>9.44</v>
      </c>
      <c r="G677" s="550">
        <v>9.27</v>
      </c>
      <c r="H677" s="551">
        <v>8.3128360000000008</v>
      </c>
      <c r="I677" s="550">
        <v>481700</v>
      </c>
    </row>
    <row r="678" spans="1:9" x14ac:dyDescent="0.2">
      <c r="A678" s="549">
        <v>3424</v>
      </c>
      <c r="B678" s="549">
        <v>8</v>
      </c>
      <c r="C678" s="548">
        <v>42093</v>
      </c>
      <c r="D678" s="550">
        <v>9.42</v>
      </c>
      <c r="E678" s="550">
        <v>9.41</v>
      </c>
      <c r="F678" s="550">
        <v>9.49</v>
      </c>
      <c r="G678" s="550">
        <v>9.31</v>
      </c>
      <c r="H678" s="551">
        <v>8.3661809999999992</v>
      </c>
      <c r="I678" s="550">
        <v>963700</v>
      </c>
    </row>
    <row r="679" spans="1:9" x14ac:dyDescent="0.2">
      <c r="A679" s="549">
        <v>3425</v>
      </c>
      <c r="B679" s="549">
        <v>8</v>
      </c>
      <c r="C679" s="548">
        <v>42094</v>
      </c>
      <c r="D679" s="550">
        <v>9.39</v>
      </c>
      <c r="E679" s="550">
        <v>9.36</v>
      </c>
      <c r="F679" s="550">
        <v>9.4</v>
      </c>
      <c r="G679" s="550">
        <v>9.26</v>
      </c>
      <c r="H679" s="551">
        <v>8.3217269999999992</v>
      </c>
      <c r="I679" s="550">
        <v>481900</v>
      </c>
    </row>
    <row r="680" spans="1:9" x14ac:dyDescent="0.2">
      <c r="A680" s="549">
        <v>3426</v>
      </c>
      <c r="B680" s="549">
        <v>8</v>
      </c>
      <c r="C680" s="548">
        <v>42095</v>
      </c>
      <c r="D680" s="550">
        <v>9.3800000000000008</v>
      </c>
      <c r="E680" s="550">
        <v>9.33</v>
      </c>
      <c r="F680" s="550">
        <v>9.3800000000000008</v>
      </c>
      <c r="G680" s="550">
        <v>9.2100000000000009</v>
      </c>
      <c r="H680" s="551">
        <v>8.2950529999999993</v>
      </c>
      <c r="I680" s="550">
        <v>455900</v>
      </c>
    </row>
    <row r="681" spans="1:9" x14ac:dyDescent="0.2">
      <c r="A681" s="549">
        <v>3427</v>
      </c>
      <c r="B681" s="549">
        <v>8</v>
      </c>
      <c r="C681" s="548">
        <v>42096</v>
      </c>
      <c r="D681" s="550">
        <v>9.3000000000000007</v>
      </c>
      <c r="E681" s="550">
        <v>9.35</v>
      </c>
      <c r="F681" s="550">
        <v>9.42</v>
      </c>
      <c r="G681" s="550">
        <v>9.2899999999999991</v>
      </c>
      <c r="H681" s="551">
        <v>8.3128360000000008</v>
      </c>
      <c r="I681" s="550">
        <v>329000</v>
      </c>
    </row>
    <row r="682" spans="1:9" x14ac:dyDescent="0.2">
      <c r="A682" s="549">
        <v>3428</v>
      </c>
      <c r="B682" s="549">
        <v>8</v>
      </c>
      <c r="C682" s="548">
        <v>42100</v>
      </c>
      <c r="D682" s="550">
        <v>9.35</v>
      </c>
      <c r="E682" s="550">
        <v>9.7200000000000006</v>
      </c>
      <c r="F682" s="550">
        <v>9.74</v>
      </c>
      <c r="G682" s="550">
        <v>9.35</v>
      </c>
      <c r="H682" s="551">
        <v>8.6417950000000001</v>
      </c>
      <c r="I682" s="550">
        <v>630100</v>
      </c>
    </row>
    <row r="683" spans="1:9" x14ac:dyDescent="0.2">
      <c r="A683" s="549">
        <v>3429</v>
      </c>
      <c r="B683" s="549">
        <v>8</v>
      </c>
      <c r="C683" s="548">
        <v>42101</v>
      </c>
      <c r="D683" s="550">
        <v>9.74</v>
      </c>
      <c r="E683" s="550">
        <v>9.5500000000000007</v>
      </c>
      <c r="F683" s="550">
        <v>9.74</v>
      </c>
      <c r="G683" s="550">
        <v>9.52</v>
      </c>
      <c r="H683" s="551">
        <v>8.490653</v>
      </c>
      <c r="I683" s="550">
        <v>414500</v>
      </c>
    </row>
    <row r="684" spans="1:9" x14ac:dyDescent="0.2">
      <c r="A684" s="549">
        <v>3430</v>
      </c>
      <c r="B684" s="549">
        <v>8</v>
      </c>
      <c r="C684" s="548">
        <v>42102</v>
      </c>
      <c r="D684" s="550">
        <v>9.6</v>
      </c>
      <c r="E684" s="550">
        <v>9.56</v>
      </c>
      <c r="F684" s="550">
        <v>9.6199999999999992</v>
      </c>
      <c r="G684" s="550">
        <v>9.4700000000000006</v>
      </c>
      <c r="H684" s="551">
        <v>8.4995419999999999</v>
      </c>
      <c r="I684" s="550">
        <v>263600</v>
      </c>
    </row>
    <row r="685" spans="1:9" x14ac:dyDescent="0.2">
      <c r="A685" s="549">
        <v>3431</v>
      </c>
      <c r="B685" s="549">
        <v>8</v>
      </c>
      <c r="C685" s="548">
        <v>42103</v>
      </c>
      <c r="D685" s="550">
        <v>9.5299999999999994</v>
      </c>
      <c r="E685" s="550">
        <v>9.51</v>
      </c>
      <c r="F685" s="550">
        <v>9.57</v>
      </c>
      <c r="G685" s="550">
        <v>9.4499999999999993</v>
      </c>
      <c r="H685" s="551">
        <v>8.4550879999999999</v>
      </c>
      <c r="I685" s="550">
        <v>622000</v>
      </c>
    </row>
    <row r="686" spans="1:9" x14ac:dyDescent="0.2">
      <c r="A686" s="549">
        <v>3432</v>
      </c>
      <c r="B686" s="549">
        <v>8</v>
      </c>
      <c r="C686" s="548">
        <v>42104</v>
      </c>
      <c r="D686" s="550">
        <v>9.5</v>
      </c>
      <c r="E686" s="550">
        <v>9.64</v>
      </c>
      <c r="F686" s="550">
        <v>9.66</v>
      </c>
      <c r="G686" s="550">
        <v>9.43</v>
      </c>
      <c r="H686" s="551">
        <v>8.5706679999999995</v>
      </c>
      <c r="I686" s="550">
        <v>1503200</v>
      </c>
    </row>
    <row r="687" spans="1:9" x14ac:dyDescent="0.2">
      <c r="A687" s="549">
        <v>3433</v>
      </c>
      <c r="B687" s="549">
        <v>8</v>
      </c>
      <c r="C687" s="548">
        <v>42107</v>
      </c>
      <c r="D687" s="550">
        <v>9.69</v>
      </c>
      <c r="E687" s="550">
        <v>9.73</v>
      </c>
      <c r="F687" s="550">
        <v>9.9700000000000006</v>
      </c>
      <c r="G687" s="550">
        <v>9.64</v>
      </c>
      <c r="H687" s="551">
        <v>8.6506830000000008</v>
      </c>
      <c r="I687" s="550">
        <v>634600</v>
      </c>
    </row>
    <row r="688" spans="1:9" x14ac:dyDescent="0.2">
      <c r="A688" s="549">
        <v>3434</v>
      </c>
      <c r="B688" s="549">
        <v>8</v>
      </c>
      <c r="C688" s="548">
        <v>42108</v>
      </c>
      <c r="D688" s="550">
        <v>9.84</v>
      </c>
      <c r="E688" s="550">
        <v>9.81</v>
      </c>
      <c r="F688" s="550">
        <v>9.84</v>
      </c>
      <c r="G688" s="550">
        <v>9.69</v>
      </c>
      <c r="H688" s="551">
        <v>8.7218099999999996</v>
      </c>
      <c r="I688" s="550">
        <v>472800</v>
      </c>
    </row>
    <row r="689" spans="1:9" x14ac:dyDescent="0.2">
      <c r="A689" s="549">
        <v>3435</v>
      </c>
      <c r="B689" s="549">
        <v>8</v>
      </c>
      <c r="C689" s="548">
        <v>42109</v>
      </c>
      <c r="D689" s="550">
        <v>9.9</v>
      </c>
      <c r="E689" s="550">
        <v>9.92</v>
      </c>
      <c r="F689" s="550">
        <v>10</v>
      </c>
      <c r="G689" s="550">
        <v>9.83</v>
      </c>
      <c r="H689" s="551">
        <v>8.8196100000000008</v>
      </c>
      <c r="I689" s="550">
        <v>869900</v>
      </c>
    </row>
    <row r="690" spans="1:9" x14ac:dyDescent="0.2">
      <c r="A690" s="549">
        <v>3436</v>
      </c>
      <c r="B690" s="549">
        <v>8</v>
      </c>
      <c r="C690" s="548">
        <v>42110</v>
      </c>
      <c r="D690" s="550">
        <v>9.98</v>
      </c>
      <c r="E690" s="550">
        <v>9.91</v>
      </c>
      <c r="F690" s="550">
        <v>10.06</v>
      </c>
      <c r="G690" s="550">
        <v>9.85</v>
      </c>
      <c r="H690" s="551">
        <v>8.8107159999999993</v>
      </c>
      <c r="I690" s="550">
        <v>804100</v>
      </c>
    </row>
    <row r="691" spans="1:9" x14ac:dyDescent="0.2">
      <c r="A691" s="549">
        <v>3437</v>
      </c>
      <c r="B691" s="549">
        <v>8</v>
      </c>
      <c r="C691" s="548">
        <v>42111</v>
      </c>
      <c r="D691" s="550">
        <v>9.91</v>
      </c>
      <c r="E691" s="550">
        <v>10.02</v>
      </c>
      <c r="F691" s="550">
        <v>10.039999999999999</v>
      </c>
      <c r="G691" s="550">
        <v>9.89</v>
      </c>
      <c r="H691" s="551">
        <v>8.9085160000000005</v>
      </c>
      <c r="I691" s="550">
        <v>447700</v>
      </c>
    </row>
    <row r="692" spans="1:9" x14ac:dyDescent="0.2">
      <c r="A692" s="549">
        <v>3438</v>
      </c>
      <c r="B692" s="549">
        <v>8</v>
      </c>
      <c r="C692" s="548">
        <v>42114</v>
      </c>
      <c r="D692" s="550">
        <v>10</v>
      </c>
      <c r="E692" s="550">
        <v>9.94</v>
      </c>
      <c r="F692" s="550">
        <v>10.050000000000001</v>
      </c>
      <c r="G692" s="550">
        <v>9.91</v>
      </c>
      <c r="H692" s="551">
        <v>8.8373889999999999</v>
      </c>
      <c r="I692" s="550">
        <v>481900</v>
      </c>
    </row>
    <row r="693" spans="1:9" x14ac:dyDescent="0.2">
      <c r="A693" s="549">
        <v>3439</v>
      </c>
      <c r="B693" s="549">
        <v>8</v>
      </c>
      <c r="C693" s="548">
        <v>42115</v>
      </c>
      <c r="D693" s="550">
        <v>10</v>
      </c>
      <c r="E693" s="550">
        <v>9.98</v>
      </c>
      <c r="F693" s="550">
        <v>10.1</v>
      </c>
      <c r="G693" s="550">
        <v>9.92</v>
      </c>
      <c r="H693" s="551">
        <v>8.8729519999999997</v>
      </c>
      <c r="I693" s="550">
        <v>679700</v>
      </c>
    </row>
    <row r="694" spans="1:9" x14ac:dyDescent="0.2">
      <c r="A694" s="549">
        <v>3440</v>
      </c>
      <c r="B694" s="549">
        <v>8</v>
      </c>
      <c r="C694" s="548">
        <v>42116</v>
      </c>
      <c r="D694" s="550">
        <v>9.99</v>
      </c>
      <c r="E694" s="550">
        <v>10.01</v>
      </c>
      <c r="F694" s="550">
        <v>10.039999999999999</v>
      </c>
      <c r="G694" s="550">
        <v>9.9600000000000009</v>
      </c>
      <c r="H694" s="551">
        <v>8.8996250000000003</v>
      </c>
      <c r="I694" s="550">
        <v>216900</v>
      </c>
    </row>
    <row r="695" spans="1:9" x14ac:dyDescent="0.2">
      <c r="A695" s="549">
        <v>3441</v>
      </c>
      <c r="B695" s="549">
        <v>8</v>
      </c>
      <c r="C695" s="548">
        <v>42117</v>
      </c>
      <c r="D695" s="550">
        <v>10</v>
      </c>
      <c r="E695" s="550">
        <v>9.98</v>
      </c>
      <c r="F695" s="550">
        <v>10.01</v>
      </c>
      <c r="G695" s="550">
        <v>9.93</v>
      </c>
      <c r="H695" s="551">
        <v>8.8729519999999997</v>
      </c>
      <c r="I695" s="550">
        <v>488000</v>
      </c>
    </row>
    <row r="696" spans="1:9" x14ac:dyDescent="0.2">
      <c r="A696" s="549">
        <v>3442</v>
      </c>
      <c r="B696" s="549">
        <v>8</v>
      </c>
      <c r="C696" s="548">
        <v>42118</v>
      </c>
      <c r="D696" s="550">
        <v>9.94</v>
      </c>
      <c r="E696" s="550">
        <v>9.9499999999999993</v>
      </c>
      <c r="F696" s="550">
        <v>9.9700000000000006</v>
      </c>
      <c r="G696" s="550">
        <v>9.85</v>
      </c>
      <c r="H696" s="551">
        <v>8.8462809999999994</v>
      </c>
      <c r="I696" s="550">
        <v>366000</v>
      </c>
    </row>
    <row r="697" spans="1:9" x14ac:dyDescent="0.2">
      <c r="A697" s="549">
        <v>3443</v>
      </c>
      <c r="B697" s="549">
        <v>8</v>
      </c>
      <c r="C697" s="548">
        <v>42121</v>
      </c>
      <c r="D697" s="550">
        <v>9.98</v>
      </c>
      <c r="E697" s="550">
        <v>9.9499999999999993</v>
      </c>
      <c r="F697" s="550">
        <v>9.99</v>
      </c>
      <c r="G697" s="550">
        <v>9.91</v>
      </c>
      <c r="H697" s="551">
        <v>8.8462809999999994</v>
      </c>
      <c r="I697" s="550">
        <v>250900</v>
      </c>
    </row>
    <row r="698" spans="1:9" x14ac:dyDescent="0.2">
      <c r="A698" s="549">
        <v>3444</v>
      </c>
      <c r="B698" s="549">
        <v>8</v>
      </c>
      <c r="C698" s="548">
        <v>42122</v>
      </c>
      <c r="D698" s="550">
        <v>9.94</v>
      </c>
      <c r="E698" s="550">
        <v>9.9</v>
      </c>
      <c r="F698" s="550">
        <v>9.99</v>
      </c>
      <c r="G698" s="550">
        <v>9.86</v>
      </c>
      <c r="H698" s="551">
        <v>8.8018260000000001</v>
      </c>
      <c r="I698" s="550">
        <v>282000</v>
      </c>
    </row>
    <row r="699" spans="1:9" x14ac:dyDescent="0.2">
      <c r="A699" s="549">
        <v>3445</v>
      </c>
      <c r="B699" s="549">
        <v>8</v>
      </c>
      <c r="C699" s="548">
        <v>42123</v>
      </c>
      <c r="D699" s="550">
        <v>9.92</v>
      </c>
      <c r="E699" s="550">
        <v>9.91</v>
      </c>
      <c r="F699" s="550">
        <v>9.93</v>
      </c>
      <c r="G699" s="550">
        <v>9.8000000000000007</v>
      </c>
      <c r="H699" s="551">
        <v>8.8107159999999993</v>
      </c>
      <c r="I699" s="550">
        <v>280600</v>
      </c>
    </row>
    <row r="700" spans="1:9" x14ac:dyDescent="0.2">
      <c r="A700" s="549">
        <v>3446</v>
      </c>
      <c r="B700" s="549">
        <v>8</v>
      </c>
      <c r="C700" s="548">
        <v>42124</v>
      </c>
      <c r="D700" s="550">
        <v>9.85</v>
      </c>
      <c r="E700" s="550">
        <v>9.83</v>
      </c>
      <c r="F700" s="550">
        <v>9.85</v>
      </c>
      <c r="G700" s="550">
        <v>9.7200000000000006</v>
      </c>
      <c r="H700" s="551">
        <v>8.739592</v>
      </c>
      <c r="I700" s="550">
        <v>1115300</v>
      </c>
    </row>
    <row r="701" spans="1:9" x14ac:dyDescent="0.2">
      <c r="A701" s="549">
        <v>3447</v>
      </c>
      <c r="B701" s="549">
        <v>8</v>
      </c>
      <c r="C701" s="548">
        <v>42125</v>
      </c>
      <c r="D701" s="550">
        <v>9.83</v>
      </c>
      <c r="E701" s="550">
        <v>9.8000000000000007</v>
      </c>
      <c r="F701" s="550">
        <v>9.83</v>
      </c>
      <c r="G701" s="550">
        <v>9.74</v>
      </c>
      <c r="H701" s="551">
        <v>8.7129200000000004</v>
      </c>
      <c r="I701" s="550">
        <v>309600</v>
      </c>
    </row>
    <row r="702" spans="1:9" x14ac:dyDescent="0.2">
      <c r="A702" s="549">
        <v>3448</v>
      </c>
      <c r="B702" s="549">
        <v>8</v>
      </c>
      <c r="C702" s="548">
        <v>42128</v>
      </c>
      <c r="D702" s="550">
        <v>9.81</v>
      </c>
      <c r="E702" s="550">
        <v>9.8800000000000008</v>
      </c>
      <c r="F702" s="550">
        <v>9.93</v>
      </c>
      <c r="G702" s="550">
        <v>9.7899999999999991</v>
      </c>
      <c r="H702" s="551">
        <v>8.7840450000000008</v>
      </c>
      <c r="I702" s="550">
        <v>560900</v>
      </c>
    </row>
    <row r="703" spans="1:9" x14ac:dyDescent="0.2">
      <c r="A703" s="549">
        <v>3449</v>
      </c>
      <c r="B703" s="549">
        <v>8</v>
      </c>
      <c r="C703" s="548">
        <v>42129</v>
      </c>
      <c r="D703" s="550">
        <v>9.82</v>
      </c>
      <c r="E703" s="550">
        <v>9.8800000000000008</v>
      </c>
      <c r="F703" s="550">
        <v>9.89</v>
      </c>
      <c r="G703" s="550">
        <v>9.7799999999999994</v>
      </c>
      <c r="H703" s="551">
        <v>8.7840450000000008</v>
      </c>
      <c r="I703" s="550">
        <v>768600</v>
      </c>
    </row>
    <row r="704" spans="1:9" x14ac:dyDescent="0.2">
      <c r="A704" s="549">
        <v>3450</v>
      </c>
      <c r="B704" s="549">
        <v>8</v>
      </c>
      <c r="C704" s="548">
        <v>42130</v>
      </c>
      <c r="D704" s="550">
        <v>9.84</v>
      </c>
      <c r="E704" s="550">
        <v>9.7799999999999994</v>
      </c>
      <c r="F704" s="550">
        <v>9.8800000000000008</v>
      </c>
      <c r="G704" s="550">
        <v>9.73</v>
      </c>
      <c r="H704" s="551">
        <v>8.6951370000000008</v>
      </c>
      <c r="I704" s="550">
        <v>587800</v>
      </c>
    </row>
    <row r="705" spans="1:9" x14ac:dyDescent="0.2">
      <c r="A705" s="549">
        <v>3451</v>
      </c>
      <c r="B705" s="549">
        <v>8</v>
      </c>
      <c r="C705" s="548">
        <v>42131</v>
      </c>
      <c r="D705" s="550">
        <v>9.6999999999999993</v>
      </c>
      <c r="E705" s="550">
        <v>9.91</v>
      </c>
      <c r="F705" s="550">
        <v>9.91</v>
      </c>
      <c r="G705" s="550">
        <v>9.69</v>
      </c>
      <c r="H705" s="551">
        <v>8.8107159999999993</v>
      </c>
      <c r="I705" s="550">
        <v>760200</v>
      </c>
    </row>
    <row r="706" spans="1:9" x14ac:dyDescent="0.2">
      <c r="A706" s="549">
        <v>3452</v>
      </c>
      <c r="B706" s="549">
        <v>8</v>
      </c>
      <c r="C706" s="548">
        <v>42132</v>
      </c>
      <c r="D706" s="550">
        <v>9.94</v>
      </c>
      <c r="E706" s="550">
        <v>9.6300000000000008</v>
      </c>
      <c r="F706" s="550">
        <v>9.94</v>
      </c>
      <c r="G706" s="550">
        <v>9.61</v>
      </c>
      <c r="H706" s="551">
        <v>8.5617769999999993</v>
      </c>
      <c r="I706" s="550">
        <v>1367400</v>
      </c>
    </row>
    <row r="707" spans="1:9" x14ac:dyDescent="0.2">
      <c r="A707" s="549">
        <v>3453</v>
      </c>
      <c r="B707" s="549">
        <v>8</v>
      </c>
      <c r="C707" s="548">
        <v>42135</v>
      </c>
      <c r="D707" s="550">
        <v>9.7100000000000009</v>
      </c>
      <c r="E707" s="550">
        <v>9.74</v>
      </c>
      <c r="F707" s="550">
        <v>9.93</v>
      </c>
      <c r="G707" s="550">
        <v>9.7100000000000009</v>
      </c>
      <c r="H707" s="551">
        <v>8.6595750000000002</v>
      </c>
      <c r="I707" s="550">
        <v>1488800</v>
      </c>
    </row>
    <row r="708" spans="1:9" x14ac:dyDescent="0.2">
      <c r="A708" s="549">
        <v>3454</v>
      </c>
      <c r="B708" s="549">
        <v>8</v>
      </c>
      <c r="C708" s="548">
        <v>42136</v>
      </c>
      <c r="D708" s="550">
        <v>9.7799999999999994</v>
      </c>
      <c r="E708" s="550">
        <v>9.74</v>
      </c>
      <c r="F708" s="550">
        <v>9.7799999999999994</v>
      </c>
      <c r="G708" s="550">
        <v>9.69</v>
      </c>
      <c r="H708" s="551">
        <v>8.6595750000000002</v>
      </c>
      <c r="I708" s="550">
        <v>588200</v>
      </c>
    </row>
    <row r="709" spans="1:9" x14ac:dyDescent="0.2">
      <c r="A709" s="549">
        <v>3455</v>
      </c>
      <c r="B709" s="549">
        <v>8</v>
      </c>
      <c r="C709" s="548">
        <v>42137</v>
      </c>
      <c r="D709" s="550">
        <v>9.7899999999999991</v>
      </c>
      <c r="E709" s="550">
        <v>9.73</v>
      </c>
      <c r="F709" s="550">
        <v>9.7899999999999991</v>
      </c>
      <c r="G709" s="550">
        <v>9.69</v>
      </c>
      <c r="H709" s="551">
        <v>8.6506830000000008</v>
      </c>
      <c r="I709" s="550">
        <v>447000</v>
      </c>
    </row>
    <row r="710" spans="1:9" x14ac:dyDescent="0.2">
      <c r="A710" s="549">
        <v>3456</v>
      </c>
      <c r="B710" s="549">
        <v>8</v>
      </c>
      <c r="C710" s="548">
        <v>42138</v>
      </c>
      <c r="D710" s="550">
        <v>9.6999999999999993</v>
      </c>
      <c r="E710" s="550">
        <v>9.77</v>
      </c>
      <c r="F710" s="550">
        <v>9.8000000000000007</v>
      </c>
      <c r="G710" s="550">
        <v>9.6999999999999993</v>
      </c>
      <c r="H710" s="551">
        <v>8.6862480000000009</v>
      </c>
      <c r="I710" s="550">
        <v>260800</v>
      </c>
    </row>
    <row r="711" spans="1:9" x14ac:dyDescent="0.2">
      <c r="A711" s="549">
        <v>3457</v>
      </c>
      <c r="B711" s="549">
        <v>8</v>
      </c>
      <c r="C711" s="548">
        <v>42139</v>
      </c>
      <c r="D711" s="550">
        <v>9.83</v>
      </c>
      <c r="E711" s="550">
        <v>9.8000000000000007</v>
      </c>
      <c r="F711" s="550">
        <v>9.84</v>
      </c>
      <c r="G711" s="550">
        <v>9.77</v>
      </c>
      <c r="H711" s="551">
        <v>8.7129200000000004</v>
      </c>
      <c r="I711" s="550">
        <v>983800</v>
      </c>
    </row>
    <row r="712" spans="1:9" x14ac:dyDescent="0.2">
      <c r="A712" s="549">
        <v>3458</v>
      </c>
      <c r="B712" s="549">
        <v>8</v>
      </c>
      <c r="C712" s="548">
        <v>42143</v>
      </c>
      <c r="D712" s="550">
        <v>9.8000000000000007</v>
      </c>
      <c r="E712" s="550">
        <v>9.75</v>
      </c>
      <c r="F712" s="550">
        <v>9.85</v>
      </c>
      <c r="G712" s="550">
        <v>9.73</v>
      </c>
      <c r="H712" s="551">
        <v>8.6684660000000004</v>
      </c>
      <c r="I712" s="550">
        <v>815600</v>
      </c>
    </row>
    <row r="713" spans="1:9" x14ac:dyDescent="0.2">
      <c r="A713" s="549">
        <v>3459</v>
      </c>
      <c r="B713" s="549">
        <v>8</v>
      </c>
      <c r="C713" s="548">
        <v>42144</v>
      </c>
      <c r="D713" s="550">
        <v>9.73</v>
      </c>
      <c r="E713" s="550">
        <v>9.7899999999999991</v>
      </c>
      <c r="F713" s="550">
        <v>9.84</v>
      </c>
      <c r="G713" s="550">
        <v>9.73</v>
      </c>
      <c r="H713" s="551">
        <v>8.704027</v>
      </c>
      <c r="I713" s="550">
        <v>365300</v>
      </c>
    </row>
    <row r="714" spans="1:9" x14ac:dyDescent="0.2">
      <c r="A714" s="549">
        <v>3460</v>
      </c>
      <c r="B714" s="549">
        <v>8</v>
      </c>
      <c r="C714" s="548">
        <v>42145</v>
      </c>
      <c r="D714" s="550">
        <v>9.83</v>
      </c>
      <c r="E714" s="550">
        <v>9.83</v>
      </c>
      <c r="F714" s="550">
        <v>9.8699999999999992</v>
      </c>
      <c r="G714" s="550">
        <v>9.8000000000000007</v>
      </c>
      <c r="H714" s="551">
        <v>8.739592</v>
      </c>
      <c r="I714" s="550">
        <v>569500</v>
      </c>
    </row>
    <row r="715" spans="1:9" x14ac:dyDescent="0.2">
      <c r="A715" s="549">
        <v>3461</v>
      </c>
      <c r="B715" s="549">
        <v>8</v>
      </c>
      <c r="C715" s="548">
        <v>42146</v>
      </c>
      <c r="D715" s="550">
        <v>9.81</v>
      </c>
      <c r="E715" s="550">
        <v>9.73</v>
      </c>
      <c r="F715" s="550">
        <v>9.81</v>
      </c>
      <c r="G715" s="550">
        <v>9.7100000000000009</v>
      </c>
      <c r="H715" s="551">
        <v>8.6506830000000008</v>
      </c>
      <c r="I715" s="550">
        <v>757300</v>
      </c>
    </row>
    <row r="716" spans="1:9" x14ac:dyDescent="0.2">
      <c r="A716" s="549">
        <v>3462</v>
      </c>
      <c r="B716" s="549">
        <v>8</v>
      </c>
      <c r="C716" s="548">
        <v>42149</v>
      </c>
      <c r="D716" s="550">
        <v>9.68</v>
      </c>
      <c r="E716" s="550">
        <v>9.76</v>
      </c>
      <c r="F716" s="550">
        <v>9.77</v>
      </c>
      <c r="G716" s="550">
        <v>9.68</v>
      </c>
      <c r="H716" s="551">
        <v>8.6773559999999996</v>
      </c>
      <c r="I716" s="550">
        <v>106800</v>
      </c>
    </row>
    <row r="717" spans="1:9" x14ac:dyDescent="0.2">
      <c r="A717" s="549">
        <v>3463</v>
      </c>
      <c r="B717" s="549">
        <v>8</v>
      </c>
      <c r="C717" s="548">
        <v>42150</v>
      </c>
      <c r="D717" s="550">
        <v>9.6999999999999993</v>
      </c>
      <c r="E717" s="550">
        <v>9.4700000000000006</v>
      </c>
      <c r="F717" s="550">
        <v>9.7200000000000006</v>
      </c>
      <c r="G717" s="550">
        <v>9.43</v>
      </c>
      <c r="H717" s="551">
        <v>8.4195270000000004</v>
      </c>
      <c r="I717" s="550">
        <v>660100</v>
      </c>
    </row>
    <row r="718" spans="1:9" x14ac:dyDescent="0.2">
      <c r="A718" s="549">
        <v>3464</v>
      </c>
      <c r="B718" s="549">
        <v>8</v>
      </c>
      <c r="C718" s="548">
        <v>42151</v>
      </c>
      <c r="D718" s="550">
        <v>9.5</v>
      </c>
      <c r="E718" s="550">
        <v>9.6</v>
      </c>
      <c r="F718" s="550">
        <v>9.66</v>
      </c>
      <c r="G718" s="550">
        <v>9.48</v>
      </c>
      <c r="H718" s="551">
        <v>8.535107</v>
      </c>
      <c r="I718" s="550">
        <v>603500</v>
      </c>
    </row>
    <row r="719" spans="1:9" x14ac:dyDescent="0.2">
      <c r="A719" s="549">
        <v>3465</v>
      </c>
      <c r="B719" s="549">
        <v>8</v>
      </c>
      <c r="C719" s="548">
        <v>42152</v>
      </c>
      <c r="D719" s="550">
        <v>9.6</v>
      </c>
      <c r="E719" s="550">
        <v>9.69</v>
      </c>
      <c r="F719" s="550">
        <v>9.7200000000000006</v>
      </c>
      <c r="G719" s="550">
        <v>9.51</v>
      </c>
      <c r="H719" s="551">
        <v>8.6151199999999992</v>
      </c>
      <c r="I719" s="550">
        <v>355100</v>
      </c>
    </row>
    <row r="720" spans="1:9" x14ac:dyDescent="0.2">
      <c r="A720" s="549">
        <v>3466</v>
      </c>
      <c r="B720" s="549">
        <v>8</v>
      </c>
      <c r="C720" s="548">
        <v>42153</v>
      </c>
      <c r="D720" s="550">
        <v>9.6999999999999993</v>
      </c>
      <c r="E720" s="550">
        <v>9.76</v>
      </c>
      <c r="F720" s="550">
        <v>9.77</v>
      </c>
      <c r="G720" s="550">
        <v>9.65</v>
      </c>
      <c r="H720" s="551">
        <v>8.6773559999999996</v>
      </c>
      <c r="I720" s="550">
        <v>404400</v>
      </c>
    </row>
    <row r="721" spans="1:9" x14ac:dyDescent="0.2">
      <c r="A721" s="549">
        <v>3467</v>
      </c>
      <c r="B721" s="549">
        <v>8</v>
      </c>
      <c r="C721" s="548">
        <v>42156</v>
      </c>
      <c r="D721" s="550">
        <v>9.73</v>
      </c>
      <c r="E721" s="550">
        <v>9.65</v>
      </c>
      <c r="F721" s="550">
        <v>9.76</v>
      </c>
      <c r="G721" s="550">
        <v>9.6199999999999992</v>
      </c>
      <c r="H721" s="551">
        <v>8.5795580000000005</v>
      </c>
      <c r="I721" s="550">
        <v>211400</v>
      </c>
    </row>
    <row r="722" spans="1:9" x14ac:dyDescent="0.2">
      <c r="A722" s="549">
        <v>3468</v>
      </c>
      <c r="B722" s="549">
        <v>8</v>
      </c>
      <c r="C722" s="548">
        <v>42157</v>
      </c>
      <c r="D722" s="550">
        <v>9.6999999999999993</v>
      </c>
      <c r="E722" s="550">
        <v>9.56</v>
      </c>
      <c r="F722" s="550">
        <v>9.73</v>
      </c>
      <c r="G722" s="550">
        <v>9.5299999999999994</v>
      </c>
      <c r="H722" s="551">
        <v>8.4995419999999999</v>
      </c>
      <c r="I722" s="550">
        <v>290200</v>
      </c>
    </row>
    <row r="723" spans="1:9" x14ac:dyDescent="0.2">
      <c r="A723" s="549">
        <v>3469</v>
      </c>
      <c r="B723" s="549">
        <v>8</v>
      </c>
      <c r="C723" s="548">
        <v>42158</v>
      </c>
      <c r="D723" s="550">
        <v>9.6</v>
      </c>
      <c r="E723" s="550">
        <v>9.58</v>
      </c>
      <c r="F723" s="550">
        <v>9.6</v>
      </c>
      <c r="G723" s="550">
        <v>9.41</v>
      </c>
      <c r="H723" s="551">
        <v>8.5173220000000001</v>
      </c>
      <c r="I723" s="550">
        <v>611600</v>
      </c>
    </row>
    <row r="724" spans="1:9" x14ac:dyDescent="0.2">
      <c r="A724" s="549">
        <v>3470</v>
      </c>
      <c r="B724" s="549">
        <v>8</v>
      </c>
      <c r="C724" s="548">
        <v>42159</v>
      </c>
      <c r="D724" s="550">
        <v>9.48</v>
      </c>
      <c r="E724" s="550">
        <v>9.25</v>
      </c>
      <c r="F724" s="550">
        <v>9.5399999999999991</v>
      </c>
      <c r="G724" s="550">
        <v>9.17</v>
      </c>
      <c r="H724" s="551">
        <v>8.223929</v>
      </c>
      <c r="I724" s="550">
        <v>637300</v>
      </c>
    </row>
    <row r="725" spans="1:9" x14ac:dyDescent="0.2">
      <c r="A725" s="549">
        <v>3471</v>
      </c>
      <c r="B725" s="549">
        <v>8</v>
      </c>
      <c r="C725" s="548">
        <v>42160</v>
      </c>
      <c r="D725" s="550">
        <v>9.2200000000000006</v>
      </c>
      <c r="E725" s="550">
        <v>9.0399999999999991</v>
      </c>
      <c r="F725" s="550">
        <v>9.32</v>
      </c>
      <c r="G725" s="550">
        <v>9.02</v>
      </c>
      <c r="H725" s="551">
        <v>8.0372229999999991</v>
      </c>
      <c r="I725" s="550">
        <v>587700</v>
      </c>
    </row>
    <row r="726" spans="1:9" x14ac:dyDescent="0.2">
      <c r="A726" s="549">
        <v>3472</v>
      </c>
      <c r="B726" s="549">
        <v>8</v>
      </c>
      <c r="C726" s="548">
        <v>42163</v>
      </c>
      <c r="D726" s="550">
        <v>9.08</v>
      </c>
      <c r="E726" s="550">
        <v>9.0299999999999994</v>
      </c>
      <c r="F726" s="550">
        <v>9.15</v>
      </c>
      <c r="G726" s="550">
        <v>9.02</v>
      </c>
      <c r="H726" s="551">
        <v>8.0283320000000007</v>
      </c>
      <c r="I726" s="550">
        <v>273900</v>
      </c>
    </row>
    <row r="727" spans="1:9" x14ac:dyDescent="0.2">
      <c r="A727" s="549">
        <v>3473</v>
      </c>
      <c r="B727" s="549">
        <v>8</v>
      </c>
      <c r="C727" s="548">
        <v>42164</v>
      </c>
      <c r="D727" s="550">
        <v>9.01</v>
      </c>
      <c r="E727" s="550">
        <v>9.02</v>
      </c>
      <c r="F727" s="550">
        <v>9.0500000000000007</v>
      </c>
      <c r="G727" s="550">
        <v>8.8699999999999992</v>
      </c>
      <c r="H727" s="551">
        <v>8.0194430000000008</v>
      </c>
      <c r="I727" s="550">
        <v>657800</v>
      </c>
    </row>
    <row r="728" spans="1:9" x14ac:dyDescent="0.2">
      <c r="A728" s="549">
        <v>3474</v>
      </c>
      <c r="B728" s="549">
        <v>8</v>
      </c>
      <c r="C728" s="548">
        <v>42165</v>
      </c>
      <c r="D728" s="550">
        <v>9</v>
      </c>
      <c r="E728" s="550">
        <v>9.1999999999999993</v>
      </c>
      <c r="F728" s="550">
        <v>9.25</v>
      </c>
      <c r="G728" s="550">
        <v>8.99</v>
      </c>
      <c r="H728" s="551">
        <v>8.1794770000000003</v>
      </c>
      <c r="I728" s="550">
        <v>886800</v>
      </c>
    </row>
    <row r="729" spans="1:9" x14ac:dyDescent="0.2">
      <c r="A729" s="549">
        <v>3475</v>
      </c>
      <c r="B729" s="549">
        <v>8</v>
      </c>
      <c r="C729" s="548">
        <v>42166</v>
      </c>
      <c r="D729" s="550">
        <v>9.2899999999999991</v>
      </c>
      <c r="E729" s="550">
        <v>9.26</v>
      </c>
      <c r="F729" s="550">
        <v>9.3000000000000007</v>
      </c>
      <c r="G729" s="550">
        <v>9.2200000000000006</v>
      </c>
      <c r="H729" s="551">
        <v>8.2328189999999992</v>
      </c>
      <c r="I729" s="550">
        <v>272400</v>
      </c>
    </row>
    <row r="730" spans="1:9" x14ac:dyDescent="0.2">
      <c r="A730" s="549">
        <v>3476</v>
      </c>
      <c r="B730" s="549">
        <v>8</v>
      </c>
      <c r="C730" s="548">
        <v>42167</v>
      </c>
      <c r="D730" s="550">
        <v>9.3000000000000007</v>
      </c>
      <c r="E730" s="550">
        <v>9.31</v>
      </c>
      <c r="F730" s="550">
        <v>9.35</v>
      </c>
      <c r="G730" s="550">
        <v>9.24</v>
      </c>
      <c r="H730" s="551">
        <v>8.2772729999999992</v>
      </c>
      <c r="I730" s="550">
        <v>663800</v>
      </c>
    </row>
    <row r="731" spans="1:9" x14ac:dyDescent="0.2">
      <c r="A731" s="549">
        <v>3477</v>
      </c>
      <c r="B731" s="549">
        <v>8</v>
      </c>
      <c r="C731" s="548">
        <v>42170</v>
      </c>
      <c r="D731" s="550">
        <v>9.3000000000000007</v>
      </c>
      <c r="E731" s="550">
        <v>9.2799999999999994</v>
      </c>
      <c r="F731" s="550">
        <v>9.35</v>
      </c>
      <c r="G731" s="550">
        <v>9.27</v>
      </c>
      <c r="H731" s="551">
        <v>8.2506000000000004</v>
      </c>
      <c r="I731" s="550">
        <v>385700</v>
      </c>
    </row>
    <row r="732" spans="1:9" x14ac:dyDescent="0.2">
      <c r="A732" s="549">
        <v>3478</v>
      </c>
      <c r="B732" s="549">
        <v>8</v>
      </c>
      <c r="C732" s="548">
        <v>42171</v>
      </c>
      <c r="D732" s="550">
        <v>9.2899999999999991</v>
      </c>
      <c r="E732" s="550">
        <v>9.4</v>
      </c>
      <c r="F732" s="550">
        <v>9.44</v>
      </c>
      <c r="G732" s="550">
        <v>9.25</v>
      </c>
      <c r="H732" s="551">
        <v>8.3572889999999997</v>
      </c>
      <c r="I732" s="550">
        <v>592600</v>
      </c>
    </row>
    <row r="733" spans="1:9" x14ac:dyDescent="0.2">
      <c r="A733" s="549">
        <v>3479</v>
      </c>
      <c r="B733" s="549">
        <v>8</v>
      </c>
      <c r="C733" s="548">
        <v>42172</v>
      </c>
      <c r="D733" s="550">
        <v>9.44</v>
      </c>
      <c r="E733" s="550">
        <v>9.35</v>
      </c>
      <c r="F733" s="550">
        <v>9.49</v>
      </c>
      <c r="G733" s="550">
        <v>9.34</v>
      </c>
      <c r="H733" s="551">
        <v>8.3128360000000008</v>
      </c>
      <c r="I733" s="550">
        <v>550600</v>
      </c>
    </row>
    <row r="734" spans="1:9" x14ac:dyDescent="0.2">
      <c r="A734" s="549">
        <v>3480</v>
      </c>
      <c r="B734" s="549">
        <v>8</v>
      </c>
      <c r="C734" s="548">
        <v>42173</v>
      </c>
      <c r="D734" s="550">
        <v>9.3000000000000007</v>
      </c>
      <c r="E734" s="550">
        <v>9.5</v>
      </c>
      <c r="F734" s="550">
        <v>9.5299999999999994</v>
      </c>
      <c r="G734" s="550">
        <v>9.3000000000000007</v>
      </c>
      <c r="H734" s="551">
        <v>8.4461980000000008</v>
      </c>
      <c r="I734" s="550">
        <v>334400</v>
      </c>
    </row>
    <row r="735" spans="1:9" x14ac:dyDescent="0.2">
      <c r="A735" s="549">
        <v>3481</v>
      </c>
      <c r="B735" s="549">
        <v>8</v>
      </c>
      <c r="C735" s="548">
        <v>42174</v>
      </c>
      <c r="D735" s="550">
        <v>9.56</v>
      </c>
      <c r="E735" s="550">
        <v>9.51</v>
      </c>
      <c r="F735" s="550">
        <v>9.56</v>
      </c>
      <c r="G735" s="550">
        <v>9.42</v>
      </c>
      <c r="H735" s="551">
        <v>8.4550879999999999</v>
      </c>
      <c r="I735" s="550">
        <v>442800</v>
      </c>
    </row>
    <row r="736" spans="1:9" x14ac:dyDescent="0.2">
      <c r="A736" s="549">
        <v>3482</v>
      </c>
      <c r="B736" s="549">
        <v>8</v>
      </c>
      <c r="C736" s="548">
        <v>42177</v>
      </c>
      <c r="D736" s="550">
        <v>9.57</v>
      </c>
      <c r="E736" s="550">
        <v>9.58</v>
      </c>
      <c r="F736" s="550">
        <v>9.6</v>
      </c>
      <c r="G736" s="550">
        <v>9.42</v>
      </c>
      <c r="H736" s="551">
        <v>8.5173220000000001</v>
      </c>
      <c r="I736" s="550">
        <v>322000</v>
      </c>
    </row>
    <row r="737" spans="1:9" x14ac:dyDescent="0.2">
      <c r="A737" s="549">
        <v>3483</v>
      </c>
      <c r="B737" s="549">
        <v>8</v>
      </c>
      <c r="C737" s="548">
        <v>42178</v>
      </c>
      <c r="D737" s="550">
        <v>9.6199999999999992</v>
      </c>
      <c r="E737" s="550">
        <v>9.66</v>
      </c>
      <c r="F737" s="550">
        <v>9.69</v>
      </c>
      <c r="G737" s="550">
        <v>9.5399999999999991</v>
      </c>
      <c r="H737" s="551">
        <v>8.5884479999999996</v>
      </c>
      <c r="I737" s="550">
        <v>166500</v>
      </c>
    </row>
    <row r="738" spans="1:9" x14ac:dyDescent="0.2">
      <c r="A738" s="549">
        <v>3484</v>
      </c>
      <c r="B738" s="549">
        <v>8</v>
      </c>
      <c r="C738" s="548">
        <v>42179</v>
      </c>
      <c r="D738" s="550">
        <v>9.66</v>
      </c>
      <c r="E738" s="550">
        <v>9.77</v>
      </c>
      <c r="F738" s="550">
        <v>9.8000000000000007</v>
      </c>
      <c r="G738" s="550">
        <v>9.65</v>
      </c>
      <c r="H738" s="551">
        <v>8.6862480000000009</v>
      </c>
      <c r="I738" s="550">
        <v>270700</v>
      </c>
    </row>
    <row r="739" spans="1:9" x14ac:dyDescent="0.2">
      <c r="A739" s="549">
        <v>3485</v>
      </c>
      <c r="B739" s="549">
        <v>8</v>
      </c>
      <c r="C739" s="548">
        <v>42180</v>
      </c>
      <c r="D739" s="550">
        <v>9.8000000000000007</v>
      </c>
      <c r="E739" s="550">
        <v>9.7200000000000006</v>
      </c>
      <c r="F739" s="550">
        <v>9.8000000000000007</v>
      </c>
      <c r="G739" s="550">
        <v>9.66</v>
      </c>
      <c r="H739" s="551">
        <v>8.6417950000000001</v>
      </c>
      <c r="I739" s="550">
        <v>270700</v>
      </c>
    </row>
    <row r="740" spans="1:9" x14ac:dyDescent="0.2">
      <c r="A740" s="549">
        <v>3486</v>
      </c>
      <c r="B740" s="549">
        <v>8</v>
      </c>
      <c r="C740" s="548">
        <v>42181</v>
      </c>
      <c r="D740" s="550">
        <v>9.6300000000000008</v>
      </c>
      <c r="E740" s="550">
        <v>9.5399999999999991</v>
      </c>
      <c r="F740" s="550">
        <v>9.64</v>
      </c>
      <c r="G740" s="550">
        <v>9.4700000000000006</v>
      </c>
      <c r="H740" s="551">
        <v>8.5665870000000002</v>
      </c>
      <c r="I740" s="550">
        <v>378900</v>
      </c>
    </row>
    <row r="741" spans="1:9" x14ac:dyDescent="0.2">
      <c r="A741" s="549">
        <v>3487</v>
      </c>
      <c r="B741" s="549">
        <v>8</v>
      </c>
      <c r="C741" s="548">
        <v>42184</v>
      </c>
      <c r="D741" s="550">
        <v>9.5</v>
      </c>
      <c r="E741" s="550">
        <v>9.27</v>
      </c>
      <c r="F741" s="550">
        <v>9.5</v>
      </c>
      <c r="G741" s="550">
        <v>9.26</v>
      </c>
      <c r="H741" s="551">
        <v>8.3241370000000003</v>
      </c>
      <c r="I741" s="550">
        <v>442700</v>
      </c>
    </row>
    <row r="742" spans="1:9" x14ac:dyDescent="0.2">
      <c r="A742" s="549">
        <v>3488</v>
      </c>
      <c r="B742" s="549">
        <v>8</v>
      </c>
      <c r="C742" s="548">
        <v>42185</v>
      </c>
      <c r="D742" s="550">
        <v>9.3000000000000007</v>
      </c>
      <c r="E742" s="550">
        <v>9.36</v>
      </c>
      <c r="F742" s="550">
        <v>9.41</v>
      </c>
      <c r="G742" s="550">
        <v>9.3000000000000007</v>
      </c>
      <c r="H742" s="551">
        <v>8.4049549999999993</v>
      </c>
      <c r="I742" s="550">
        <v>269800</v>
      </c>
    </row>
    <row r="743" spans="1:9" x14ac:dyDescent="0.2">
      <c r="A743" s="549">
        <v>3489</v>
      </c>
      <c r="B743" s="549">
        <v>8</v>
      </c>
      <c r="C743" s="548">
        <v>42187</v>
      </c>
      <c r="D743" s="550">
        <v>9.36</v>
      </c>
      <c r="E743" s="550">
        <v>9.42</v>
      </c>
      <c r="F743" s="550">
        <v>9.44</v>
      </c>
      <c r="G743" s="550">
        <v>9.32</v>
      </c>
      <c r="H743" s="551">
        <v>8.4588330000000003</v>
      </c>
      <c r="I743" s="550">
        <v>297600</v>
      </c>
    </row>
    <row r="744" spans="1:9" x14ac:dyDescent="0.2">
      <c r="A744" s="549">
        <v>3490</v>
      </c>
      <c r="B744" s="549">
        <v>8</v>
      </c>
      <c r="C744" s="548">
        <v>42188</v>
      </c>
      <c r="D744" s="550">
        <v>9.39</v>
      </c>
      <c r="E744" s="550">
        <v>9.43</v>
      </c>
      <c r="F744" s="550">
        <v>9.4499999999999993</v>
      </c>
      <c r="G744" s="550">
        <v>9.35</v>
      </c>
      <c r="H744" s="551">
        <v>8.4678129999999996</v>
      </c>
      <c r="I744" s="550">
        <v>96900</v>
      </c>
    </row>
    <row r="745" spans="1:9" x14ac:dyDescent="0.2">
      <c r="A745" s="549">
        <v>3491</v>
      </c>
      <c r="B745" s="549">
        <v>8</v>
      </c>
      <c r="C745" s="548">
        <v>42191</v>
      </c>
      <c r="D745" s="550">
        <v>9.34</v>
      </c>
      <c r="E745" s="550">
        <v>9.3699999999999992</v>
      </c>
      <c r="F745" s="550">
        <v>9.4499999999999993</v>
      </c>
      <c r="G745" s="550">
        <v>9.33</v>
      </c>
      <c r="H745" s="551">
        <v>8.4139359999999996</v>
      </c>
      <c r="I745" s="550">
        <v>246200</v>
      </c>
    </row>
    <row r="746" spans="1:9" x14ac:dyDescent="0.2">
      <c r="A746" s="549">
        <v>3492</v>
      </c>
      <c r="B746" s="549">
        <v>8</v>
      </c>
      <c r="C746" s="548">
        <v>42192</v>
      </c>
      <c r="D746" s="550">
        <v>9.4</v>
      </c>
      <c r="E746" s="550">
        <v>9.59</v>
      </c>
      <c r="F746" s="550">
        <v>9.64</v>
      </c>
      <c r="G746" s="550">
        <v>9.3000000000000007</v>
      </c>
      <c r="H746" s="551">
        <v>8.6114870000000003</v>
      </c>
      <c r="I746" s="550">
        <v>363500</v>
      </c>
    </row>
    <row r="747" spans="1:9" x14ac:dyDescent="0.2">
      <c r="A747" s="549">
        <v>3493</v>
      </c>
      <c r="B747" s="549">
        <v>8</v>
      </c>
      <c r="C747" s="548">
        <v>42193</v>
      </c>
      <c r="D747" s="550">
        <v>9.59</v>
      </c>
      <c r="E747" s="550">
        <v>9.35</v>
      </c>
      <c r="F747" s="550">
        <v>9.6199999999999992</v>
      </c>
      <c r="G747" s="550">
        <v>9.34</v>
      </c>
      <c r="H747" s="551">
        <v>8.3959759999999992</v>
      </c>
      <c r="I747" s="550">
        <v>296200</v>
      </c>
    </row>
    <row r="748" spans="1:9" x14ac:dyDescent="0.2">
      <c r="A748" s="549">
        <v>3494</v>
      </c>
      <c r="B748" s="549">
        <v>8</v>
      </c>
      <c r="C748" s="548">
        <v>42194</v>
      </c>
      <c r="D748" s="550">
        <v>9.39</v>
      </c>
      <c r="E748" s="550">
        <v>9.14</v>
      </c>
      <c r="F748" s="550">
        <v>9.42</v>
      </c>
      <c r="G748" s="550">
        <v>9.1300000000000008</v>
      </c>
      <c r="H748" s="551">
        <v>8.2074020000000001</v>
      </c>
      <c r="I748" s="550">
        <v>797300</v>
      </c>
    </row>
    <row r="749" spans="1:9" x14ac:dyDescent="0.2">
      <c r="A749" s="549">
        <v>3495</v>
      </c>
      <c r="B749" s="549">
        <v>8</v>
      </c>
      <c r="C749" s="548">
        <v>42195</v>
      </c>
      <c r="D749" s="550">
        <v>9.18</v>
      </c>
      <c r="E749" s="550">
        <v>9.27</v>
      </c>
      <c r="F749" s="550">
        <v>9.31</v>
      </c>
      <c r="G749" s="550">
        <v>9.18</v>
      </c>
      <c r="H749" s="551">
        <v>8.3241370000000003</v>
      </c>
      <c r="I749" s="550">
        <v>308000</v>
      </c>
    </row>
    <row r="750" spans="1:9" x14ac:dyDescent="0.2">
      <c r="A750" s="549">
        <v>3496</v>
      </c>
      <c r="B750" s="549">
        <v>8</v>
      </c>
      <c r="C750" s="548">
        <v>42198</v>
      </c>
      <c r="D750" s="550">
        <v>9.3800000000000008</v>
      </c>
      <c r="E750" s="550">
        <v>9.34</v>
      </c>
      <c r="F750" s="550">
        <v>9.3800000000000008</v>
      </c>
      <c r="G750" s="550">
        <v>9.2100000000000009</v>
      </c>
      <c r="H750" s="551">
        <v>8.3869950000000006</v>
      </c>
      <c r="I750" s="550">
        <v>410200</v>
      </c>
    </row>
    <row r="751" spans="1:9" x14ac:dyDescent="0.2">
      <c r="A751" s="549">
        <v>3497</v>
      </c>
      <c r="B751" s="549">
        <v>8</v>
      </c>
      <c r="C751" s="548">
        <v>42199</v>
      </c>
      <c r="D751" s="550">
        <v>9.34</v>
      </c>
      <c r="E751" s="550">
        <v>9.3000000000000007</v>
      </c>
      <c r="F751" s="550">
        <v>9.35</v>
      </c>
      <c r="G751" s="550">
        <v>9.24</v>
      </c>
      <c r="H751" s="551">
        <v>8.3510770000000001</v>
      </c>
      <c r="I751" s="550">
        <v>405600</v>
      </c>
    </row>
    <row r="752" spans="1:9" x14ac:dyDescent="0.2">
      <c r="A752" s="549">
        <v>3498</v>
      </c>
      <c r="B752" s="549">
        <v>8</v>
      </c>
      <c r="C752" s="548">
        <v>42200</v>
      </c>
      <c r="D752" s="550">
        <v>9.2799999999999994</v>
      </c>
      <c r="E752" s="550">
        <v>9.48</v>
      </c>
      <c r="F752" s="550">
        <v>9.49</v>
      </c>
      <c r="G752" s="550">
        <v>9.25</v>
      </c>
      <c r="H752" s="551">
        <v>8.5127100000000002</v>
      </c>
      <c r="I752" s="550">
        <v>892100</v>
      </c>
    </row>
    <row r="753" spans="1:9" x14ac:dyDescent="0.2">
      <c r="A753" s="549">
        <v>3499</v>
      </c>
      <c r="B753" s="549">
        <v>8</v>
      </c>
      <c r="C753" s="548">
        <v>42201</v>
      </c>
      <c r="D753" s="550">
        <v>9.5</v>
      </c>
      <c r="E753" s="550">
        <v>9.68</v>
      </c>
      <c r="F753" s="550">
        <v>9.6999999999999993</v>
      </c>
      <c r="G753" s="550">
        <v>9.48</v>
      </c>
      <c r="H753" s="551">
        <v>8.6923060000000003</v>
      </c>
      <c r="I753" s="550">
        <v>530800</v>
      </c>
    </row>
    <row r="754" spans="1:9" x14ac:dyDescent="0.2">
      <c r="A754" s="549">
        <v>3500</v>
      </c>
      <c r="B754" s="549">
        <v>8</v>
      </c>
      <c r="C754" s="548">
        <v>42202</v>
      </c>
      <c r="D754" s="550">
        <v>9.6999999999999993</v>
      </c>
      <c r="E754" s="550">
        <v>9.7200000000000006</v>
      </c>
      <c r="F754" s="550">
        <v>9.75</v>
      </c>
      <c r="G754" s="550">
        <v>9.56</v>
      </c>
      <c r="H754" s="551">
        <v>8.7282229999999998</v>
      </c>
      <c r="I754" s="550">
        <v>297300</v>
      </c>
    </row>
    <row r="755" spans="1:9" x14ac:dyDescent="0.2">
      <c r="A755" s="549">
        <v>3501</v>
      </c>
      <c r="B755" s="549">
        <v>8</v>
      </c>
      <c r="C755" s="548">
        <v>42205</v>
      </c>
      <c r="D755" s="550">
        <v>9.77</v>
      </c>
      <c r="E755" s="550">
        <v>9.5</v>
      </c>
      <c r="F755" s="550">
        <v>9.77</v>
      </c>
      <c r="G755" s="550">
        <v>9.49</v>
      </c>
      <c r="H755" s="551">
        <v>8.5306700000000006</v>
      </c>
      <c r="I755" s="550">
        <v>377800</v>
      </c>
    </row>
    <row r="756" spans="1:9" x14ac:dyDescent="0.2">
      <c r="A756" s="549">
        <v>3502</v>
      </c>
      <c r="B756" s="549">
        <v>8</v>
      </c>
      <c r="C756" s="548">
        <v>42206</v>
      </c>
      <c r="D756" s="550">
        <v>9.48</v>
      </c>
      <c r="E756" s="550">
        <v>9.41</v>
      </c>
      <c r="F756" s="550">
        <v>9.5399999999999991</v>
      </c>
      <c r="G756" s="550">
        <v>9.4</v>
      </c>
      <c r="H756" s="551">
        <v>8.4498540000000002</v>
      </c>
      <c r="I756" s="550">
        <v>226500</v>
      </c>
    </row>
    <row r="757" spans="1:9" x14ac:dyDescent="0.2">
      <c r="A757" s="549">
        <v>3503</v>
      </c>
      <c r="B757" s="549">
        <v>8</v>
      </c>
      <c r="C757" s="548">
        <v>42207</v>
      </c>
      <c r="D757" s="550">
        <v>9.44</v>
      </c>
      <c r="E757" s="550">
        <v>9.35</v>
      </c>
      <c r="F757" s="550">
        <v>9.44</v>
      </c>
      <c r="G757" s="550">
        <v>9.26</v>
      </c>
      <c r="H757" s="551">
        <v>8.3959759999999992</v>
      </c>
      <c r="I757" s="550">
        <v>691600</v>
      </c>
    </row>
    <row r="758" spans="1:9" x14ac:dyDescent="0.2">
      <c r="A758" s="549">
        <v>3504</v>
      </c>
      <c r="B758" s="549">
        <v>8</v>
      </c>
      <c r="C758" s="548">
        <v>42208</v>
      </c>
      <c r="D758" s="550">
        <v>9.41</v>
      </c>
      <c r="E758" s="550">
        <v>9.34</v>
      </c>
      <c r="F758" s="550">
        <v>9.41</v>
      </c>
      <c r="G758" s="550">
        <v>9.2100000000000009</v>
      </c>
      <c r="H758" s="551">
        <v>8.3869950000000006</v>
      </c>
      <c r="I758" s="550">
        <v>294800</v>
      </c>
    </row>
    <row r="759" spans="1:9" x14ac:dyDescent="0.2">
      <c r="A759" s="549">
        <v>3505</v>
      </c>
      <c r="B759" s="549">
        <v>8</v>
      </c>
      <c r="C759" s="548">
        <v>42209</v>
      </c>
      <c r="D759" s="550">
        <v>9.27</v>
      </c>
      <c r="E759" s="550">
        <v>9.3699999999999992</v>
      </c>
      <c r="F759" s="550">
        <v>9.43</v>
      </c>
      <c r="G759" s="550">
        <v>9.27</v>
      </c>
      <c r="H759" s="551">
        <v>8.4139359999999996</v>
      </c>
      <c r="I759" s="550">
        <v>552500</v>
      </c>
    </row>
    <row r="760" spans="1:9" x14ac:dyDescent="0.2">
      <c r="A760" s="549">
        <v>3506</v>
      </c>
      <c r="B760" s="549">
        <v>8</v>
      </c>
      <c r="C760" s="548">
        <v>42212</v>
      </c>
      <c r="D760" s="550">
        <v>9.31</v>
      </c>
      <c r="E760" s="550">
        <v>9.24</v>
      </c>
      <c r="F760" s="550">
        <v>9.35</v>
      </c>
      <c r="G760" s="550">
        <v>9.2100000000000009</v>
      </c>
      <c r="H760" s="551">
        <v>8.2971990000000009</v>
      </c>
      <c r="I760" s="550">
        <v>457800</v>
      </c>
    </row>
    <row r="761" spans="1:9" x14ac:dyDescent="0.2">
      <c r="A761" s="549">
        <v>3507</v>
      </c>
      <c r="B761" s="549">
        <v>8</v>
      </c>
      <c r="C761" s="548">
        <v>42213</v>
      </c>
      <c r="D761" s="550">
        <v>9.26</v>
      </c>
      <c r="E761" s="550">
        <v>9.3000000000000007</v>
      </c>
      <c r="F761" s="550">
        <v>9.33</v>
      </c>
      <c r="G761" s="550">
        <v>9.0500000000000007</v>
      </c>
      <c r="H761" s="551">
        <v>8.3510770000000001</v>
      </c>
      <c r="I761" s="550">
        <v>440500</v>
      </c>
    </row>
    <row r="762" spans="1:9" x14ac:dyDescent="0.2">
      <c r="A762" s="549">
        <v>3508</v>
      </c>
      <c r="B762" s="549">
        <v>8</v>
      </c>
      <c r="C762" s="548">
        <v>42214</v>
      </c>
      <c r="D762" s="550">
        <v>9.23</v>
      </c>
      <c r="E762" s="550">
        <v>9.3800000000000008</v>
      </c>
      <c r="F762" s="550">
        <v>9.43</v>
      </c>
      <c r="G762" s="550">
        <v>9.23</v>
      </c>
      <c r="H762" s="551">
        <v>8.4229140000000005</v>
      </c>
      <c r="I762" s="550">
        <v>222700</v>
      </c>
    </row>
    <row r="763" spans="1:9" x14ac:dyDescent="0.2">
      <c r="A763" s="549">
        <v>3509</v>
      </c>
      <c r="B763" s="549">
        <v>8</v>
      </c>
      <c r="C763" s="548">
        <v>42215</v>
      </c>
      <c r="D763" s="550">
        <v>9.33</v>
      </c>
      <c r="E763" s="550">
        <v>9.2799999999999994</v>
      </c>
      <c r="F763" s="550">
        <v>9.3699999999999992</v>
      </c>
      <c r="G763" s="550">
        <v>9.26</v>
      </c>
      <c r="H763" s="551">
        <v>8.3331180000000007</v>
      </c>
      <c r="I763" s="550">
        <v>358700</v>
      </c>
    </row>
    <row r="764" spans="1:9" x14ac:dyDescent="0.2">
      <c r="A764" s="549">
        <v>3510</v>
      </c>
      <c r="B764" s="549">
        <v>8</v>
      </c>
      <c r="C764" s="548">
        <v>42216</v>
      </c>
      <c r="D764" s="550">
        <v>9.2899999999999991</v>
      </c>
      <c r="E764" s="550">
        <v>9.58</v>
      </c>
      <c r="F764" s="550">
        <v>9.59</v>
      </c>
      <c r="G764" s="550">
        <v>9.2899999999999991</v>
      </c>
      <c r="H764" s="551">
        <v>8.6025080000000003</v>
      </c>
      <c r="I764" s="550">
        <v>241000</v>
      </c>
    </row>
    <row r="765" spans="1:9" x14ac:dyDescent="0.2">
      <c r="A765" s="549">
        <v>3511</v>
      </c>
      <c r="B765" s="549">
        <v>8</v>
      </c>
      <c r="C765" s="548">
        <v>42220</v>
      </c>
      <c r="D765" s="550">
        <v>9.61</v>
      </c>
      <c r="E765" s="550">
        <v>9.41</v>
      </c>
      <c r="F765" s="550">
        <v>9.6199999999999992</v>
      </c>
      <c r="G765" s="550">
        <v>9.3800000000000008</v>
      </c>
      <c r="H765" s="551">
        <v>8.4498540000000002</v>
      </c>
      <c r="I765" s="550">
        <v>574900</v>
      </c>
    </row>
    <row r="766" spans="1:9" x14ac:dyDescent="0.2">
      <c r="A766" s="549">
        <v>3512</v>
      </c>
      <c r="B766" s="549">
        <v>8</v>
      </c>
      <c r="C766" s="548">
        <v>42221</v>
      </c>
      <c r="D766" s="550">
        <v>9.4700000000000006</v>
      </c>
      <c r="E766" s="550">
        <v>9.3000000000000007</v>
      </c>
      <c r="F766" s="550">
        <v>9.4700000000000006</v>
      </c>
      <c r="G766" s="550">
        <v>9.27</v>
      </c>
      <c r="H766" s="551">
        <v>8.3510770000000001</v>
      </c>
      <c r="I766" s="550">
        <v>250900</v>
      </c>
    </row>
    <row r="767" spans="1:9" x14ac:dyDescent="0.2">
      <c r="A767" s="549">
        <v>3513</v>
      </c>
      <c r="B767" s="549">
        <v>8</v>
      </c>
      <c r="C767" s="548">
        <v>42222</v>
      </c>
      <c r="D767" s="550">
        <v>9.3000000000000007</v>
      </c>
      <c r="E767" s="550">
        <v>9.2200000000000006</v>
      </c>
      <c r="F767" s="550">
        <v>9.3000000000000007</v>
      </c>
      <c r="G767" s="550">
        <v>9.1300000000000008</v>
      </c>
      <c r="H767" s="551">
        <v>8.2792410000000007</v>
      </c>
      <c r="I767" s="550">
        <v>1066000</v>
      </c>
    </row>
    <row r="768" spans="1:9" x14ac:dyDescent="0.2">
      <c r="A768" s="549">
        <v>3514</v>
      </c>
      <c r="B768" s="549">
        <v>8</v>
      </c>
      <c r="C768" s="548">
        <v>42223</v>
      </c>
      <c r="D768" s="550">
        <v>9.19</v>
      </c>
      <c r="E768" s="550">
        <v>9.0500000000000007</v>
      </c>
      <c r="F768" s="550">
        <v>9.23</v>
      </c>
      <c r="G768" s="550">
        <v>9.02</v>
      </c>
      <c r="H768" s="551">
        <v>8.1265850000000004</v>
      </c>
      <c r="I768" s="550">
        <v>301600</v>
      </c>
    </row>
    <row r="769" spans="1:9" x14ac:dyDescent="0.2">
      <c r="A769" s="549">
        <v>3515</v>
      </c>
      <c r="B769" s="549">
        <v>8</v>
      </c>
      <c r="C769" s="548">
        <v>42226</v>
      </c>
      <c r="D769" s="550">
        <v>9.07</v>
      </c>
      <c r="E769" s="550">
        <v>9.23</v>
      </c>
      <c r="F769" s="550">
        <v>9.27</v>
      </c>
      <c r="G769" s="550">
        <v>9.0399999999999991</v>
      </c>
      <c r="H769" s="551">
        <v>8.2882210000000001</v>
      </c>
      <c r="I769" s="550">
        <v>273400</v>
      </c>
    </row>
    <row r="770" spans="1:9" x14ac:dyDescent="0.2">
      <c r="A770" s="549">
        <v>3516</v>
      </c>
      <c r="B770" s="549">
        <v>8</v>
      </c>
      <c r="C770" s="548">
        <v>42227</v>
      </c>
      <c r="D770" s="550">
        <v>9.1999999999999993</v>
      </c>
      <c r="E770" s="550">
        <v>9.15</v>
      </c>
      <c r="F770" s="550">
        <v>9.1999999999999993</v>
      </c>
      <c r="G770" s="550">
        <v>9.11</v>
      </c>
      <c r="H770" s="551">
        <v>8.2163819999999994</v>
      </c>
      <c r="I770" s="550">
        <v>198300</v>
      </c>
    </row>
    <row r="771" spans="1:9" x14ac:dyDescent="0.2">
      <c r="A771" s="549">
        <v>3517</v>
      </c>
      <c r="B771" s="549">
        <v>8</v>
      </c>
      <c r="C771" s="548">
        <v>42228</v>
      </c>
      <c r="D771" s="550">
        <v>9.09</v>
      </c>
      <c r="E771" s="550">
        <v>9.23</v>
      </c>
      <c r="F771" s="550">
        <v>9.25</v>
      </c>
      <c r="G771" s="550">
        <v>9.09</v>
      </c>
      <c r="H771" s="551">
        <v>8.2882210000000001</v>
      </c>
      <c r="I771" s="550">
        <v>292500</v>
      </c>
    </row>
    <row r="772" spans="1:9" x14ac:dyDescent="0.2">
      <c r="A772" s="549">
        <v>3518</v>
      </c>
      <c r="B772" s="549">
        <v>8</v>
      </c>
      <c r="C772" s="548">
        <v>42229</v>
      </c>
      <c r="D772" s="550">
        <v>9.18</v>
      </c>
      <c r="E772" s="550">
        <v>9.11</v>
      </c>
      <c r="F772" s="550">
        <v>9.23</v>
      </c>
      <c r="G772" s="550">
        <v>9.09</v>
      </c>
      <c r="H772" s="551">
        <v>8.1804640000000006</v>
      </c>
      <c r="I772" s="550">
        <v>220500</v>
      </c>
    </row>
    <row r="773" spans="1:9" x14ac:dyDescent="0.2">
      <c r="A773" s="549">
        <v>3519</v>
      </c>
      <c r="B773" s="549">
        <v>8</v>
      </c>
      <c r="C773" s="548">
        <v>42230</v>
      </c>
      <c r="D773" s="550">
        <v>9.26</v>
      </c>
      <c r="E773" s="550">
        <v>9.74</v>
      </c>
      <c r="F773" s="550">
        <v>9.7899999999999991</v>
      </c>
      <c r="G773" s="550">
        <v>9.26</v>
      </c>
      <c r="H773" s="551">
        <v>8.746181</v>
      </c>
      <c r="I773" s="550">
        <v>1091100</v>
      </c>
    </row>
    <row r="774" spans="1:9" x14ac:dyDescent="0.2">
      <c r="A774" s="549">
        <v>3520</v>
      </c>
      <c r="B774" s="549">
        <v>8</v>
      </c>
      <c r="C774" s="548">
        <v>42233</v>
      </c>
      <c r="D774" s="550">
        <v>9.68</v>
      </c>
      <c r="E774" s="550">
        <v>9.83</v>
      </c>
      <c r="F774" s="550">
        <v>9.93</v>
      </c>
      <c r="G774" s="550">
        <v>9.65</v>
      </c>
      <c r="H774" s="551">
        <v>8.8269990000000007</v>
      </c>
      <c r="I774" s="550">
        <v>461900</v>
      </c>
    </row>
    <row r="775" spans="1:9" x14ac:dyDescent="0.2">
      <c r="A775" s="549">
        <v>3521</v>
      </c>
      <c r="B775" s="549">
        <v>8</v>
      </c>
      <c r="C775" s="548">
        <v>42234</v>
      </c>
      <c r="D775" s="550">
        <v>9.8699999999999992</v>
      </c>
      <c r="E775" s="550">
        <v>9.77</v>
      </c>
      <c r="F775" s="550">
        <v>9.8800000000000008</v>
      </c>
      <c r="G775" s="550">
        <v>9.74</v>
      </c>
      <c r="H775" s="551">
        <v>8.7731220000000008</v>
      </c>
      <c r="I775" s="550">
        <v>274400</v>
      </c>
    </row>
    <row r="776" spans="1:9" x14ac:dyDescent="0.2">
      <c r="A776" s="549">
        <v>3522</v>
      </c>
      <c r="B776" s="549">
        <v>8</v>
      </c>
      <c r="C776" s="548">
        <v>42235</v>
      </c>
      <c r="D776" s="550">
        <v>9.77</v>
      </c>
      <c r="E776" s="550">
        <v>9.6199999999999992</v>
      </c>
      <c r="F776" s="550">
        <v>9.7799999999999994</v>
      </c>
      <c r="G776" s="550">
        <v>9.59</v>
      </c>
      <c r="H776" s="551">
        <v>8.6384260000000008</v>
      </c>
      <c r="I776" s="550">
        <v>593000</v>
      </c>
    </row>
    <row r="777" spans="1:9" x14ac:dyDescent="0.2">
      <c r="A777" s="549">
        <v>3523</v>
      </c>
      <c r="B777" s="549">
        <v>8</v>
      </c>
      <c r="C777" s="548">
        <v>42236</v>
      </c>
      <c r="D777" s="550">
        <v>9.59</v>
      </c>
      <c r="E777" s="550">
        <v>9.42</v>
      </c>
      <c r="F777" s="550">
        <v>9.65</v>
      </c>
      <c r="G777" s="550">
        <v>9.4</v>
      </c>
      <c r="H777" s="551">
        <v>8.4588330000000003</v>
      </c>
      <c r="I777" s="550">
        <v>335900</v>
      </c>
    </row>
    <row r="778" spans="1:9" x14ac:dyDescent="0.2">
      <c r="A778" s="549">
        <v>3524</v>
      </c>
      <c r="B778" s="549">
        <v>8</v>
      </c>
      <c r="C778" s="548">
        <v>42237</v>
      </c>
      <c r="D778" s="550">
        <v>9.35</v>
      </c>
      <c r="E778" s="550">
        <v>9.4</v>
      </c>
      <c r="F778" s="550">
        <v>9.6300000000000008</v>
      </c>
      <c r="G778" s="550">
        <v>9.31</v>
      </c>
      <c r="H778" s="551">
        <v>8.4408729999999998</v>
      </c>
      <c r="I778" s="550">
        <v>680700</v>
      </c>
    </row>
    <row r="779" spans="1:9" x14ac:dyDescent="0.2">
      <c r="A779" s="549">
        <v>3525</v>
      </c>
      <c r="B779" s="549">
        <v>8</v>
      </c>
      <c r="C779" s="548">
        <v>42240</v>
      </c>
      <c r="D779" s="550">
        <v>9</v>
      </c>
      <c r="E779" s="550">
        <v>8.85</v>
      </c>
      <c r="F779" s="550">
        <v>9.3699999999999992</v>
      </c>
      <c r="G779" s="550">
        <v>8.59</v>
      </c>
      <c r="H779" s="551">
        <v>7.946993</v>
      </c>
      <c r="I779" s="550">
        <v>720800</v>
      </c>
    </row>
    <row r="780" spans="1:9" x14ac:dyDescent="0.2">
      <c r="A780" s="549">
        <v>3526</v>
      </c>
      <c r="B780" s="549">
        <v>8</v>
      </c>
      <c r="C780" s="548">
        <v>42241</v>
      </c>
      <c r="D780" s="550">
        <v>9.16</v>
      </c>
      <c r="E780" s="550">
        <v>9.1999999999999993</v>
      </c>
      <c r="F780" s="550">
        <v>9.31</v>
      </c>
      <c r="G780" s="550">
        <v>9.07</v>
      </c>
      <c r="H780" s="551">
        <v>8.2612799999999993</v>
      </c>
      <c r="I780" s="550">
        <v>594600</v>
      </c>
    </row>
    <row r="781" spans="1:9" x14ac:dyDescent="0.2">
      <c r="A781" s="549">
        <v>3527</v>
      </c>
      <c r="B781" s="549">
        <v>8</v>
      </c>
      <c r="C781" s="548">
        <v>42242</v>
      </c>
      <c r="D781" s="550">
        <v>9.3000000000000007</v>
      </c>
      <c r="E781" s="550">
        <v>9.49</v>
      </c>
      <c r="F781" s="550">
        <v>9.52</v>
      </c>
      <c r="G781" s="550">
        <v>9.1199999999999992</v>
      </c>
      <c r="H781" s="551">
        <v>8.5216910000000006</v>
      </c>
      <c r="I781" s="550">
        <v>447600</v>
      </c>
    </row>
    <row r="782" spans="1:9" x14ac:dyDescent="0.2">
      <c r="A782" s="549">
        <v>3528</v>
      </c>
      <c r="B782" s="549">
        <v>8</v>
      </c>
      <c r="C782" s="548">
        <v>42243</v>
      </c>
      <c r="D782" s="550">
        <v>9.65</v>
      </c>
      <c r="E782" s="550">
        <v>9.83</v>
      </c>
      <c r="F782" s="550">
        <v>9.85</v>
      </c>
      <c r="G782" s="550">
        <v>9.4700000000000006</v>
      </c>
      <c r="H782" s="551">
        <v>8.8269990000000007</v>
      </c>
      <c r="I782" s="550">
        <v>604700</v>
      </c>
    </row>
    <row r="783" spans="1:9" x14ac:dyDescent="0.2">
      <c r="A783" s="549">
        <v>3529</v>
      </c>
      <c r="B783" s="549">
        <v>8</v>
      </c>
      <c r="C783" s="548">
        <v>42244</v>
      </c>
      <c r="D783" s="550">
        <v>9.83</v>
      </c>
      <c r="E783" s="550">
        <v>9.9499999999999993</v>
      </c>
      <c r="F783" s="550">
        <v>9.99</v>
      </c>
      <c r="G783" s="550">
        <v>9.74</v>
      </c>
      <c r="H783" s="551">
        <v>8.9347530000000006</v>
      </c>
      <c r="I783" s="550">
        <v>380200</v>
      </c>
    </row>
    <row r="784" spans="1:9" x14ac:dyDescent="0.2">
      <c r="A784" s="549">
        <v>3530</v>
      </c>
      <c r="B784" s="549">
        <v>8</v>
      </c>
      <c r="C784" s="548">
        <v>42247</v>
      </c>
      <c r="D784" s="550">
        <v>9.8800000000000008</v>
      </c>
      <c r="E784" s="550">
        <v>9.7799999999999994</v>
      </c>
      <c r="F784" s="550">
        <v>9.9499999999999993</v>
      </c>
      <c r="G784" s="550">
        <v>9.68</v>
      </c>
      <c r="H784" s="551">
        <v>8.7820999999999998</v>
      </c>
      <c r="I784" s="550">
        <v>360100</v>
      </c>
    </row>
    <row r="785" spans="1:9" x14ac:dyDescent="0.2">
      <c r="A785" s="549">
        <v>3531</v>
      </c>
      <c r="B785" s="549">
        <v>8</v>
      </c>
      <c r="C785" s="548">
        <v>42248</v>
      </c>
      <c r="D785" s="550">
        <v>9.5500000000000007</v>
      </c>
      <c r="E785" s="550">
        <v>9.44</v>
      </c>
      <c r="F785" s="550">
        <v>9.7200000000000006</v>
      </c>
      <c r="G785" s="550">
        <v>9.42</v>
      </c>
      <c r="H785" s="551">
        <v>8.4767919999999997</v>
      </c>
      <c r="I785" s="550">
        <v>388800</v>
      </c>
    </row>
    <row r="786" spans="1:9" x14ac:dyDescent="0.2">
      <c r="A786" s="549">
        <v>3532</v>
      </c>
      <c r="B786" s="549">
        <v>8</v>
      </c>
      <c r="C786" s="548">
        <v>42249</v>
      </c>
      <c r="D786" s="550">
        <v>9.59</v>
      </c>
      <c r="E786" s="550">
        <v>9.3800000000000008</v>
      </c>
      <c r="F786" s="550">
        <v>9.6199999999999992</v>
      </c>
      <c r="G786" s="550">
        <v>9.33</v>
      </c>
      <c r="H786" s="551">
        <v>8.4229140000000005</v>
      </c>
      <c r="I786" s="550">
        <v>407700</v>
      </c>
    </row>
    <row r="787" spans="1:9" x14ac:dyDescent="0.2">
      <c r="A787" s="549">
        <v>3533</v>
      </c>
      <c r="B787" s="549">
        <v>8</v>
      </c>
      <c r="C787" s="548">
        <v>42250</v>
      </c>
      <c r="D787" s="550">
        <v>9.32</v>
      </c>
      <c r="E787" s="550">
        <v>9.39</v>
      </c>
      <c r="F787" s="550">
        <v>9.5500000000000007</v>
      </c>
      <c r="G787" s="550">
        <v>9.32</v>
      </c>
      <c r="H787" s="551">
        <v>8.4318939999999998</v>
      </c>
      <c r="I787" s="550">
        <v>338400</v>
      </c>
    </row>
    <row r="788" spans="1:9" x14ac:dyDescent="0.2">
      <c r="A788" s="549">
        <v>3534</v>
      </c>
      <c r="B788" s="549">
        <v>8</v>
      </c>
      <c r="C788" s="548">
        <v>42251</v>
      </c>
      <c r="D788" s="550">
        <v>9.39</v>
      </c>
      <c r="E788" s="550">
        <v>9.2799999999999994</v>
      </c>
      <c r="F788" s="550">
        <v>9.43</v>
      </c>
      <c r="G788" s="550">
        <v>9.26</v>
      </c>
      <c r="H788" s="551">
        <v>8.3331180000000007</v>
      </c>
      <c r="I788" s="550">
        <v>225900</v>
      </c>
    </row>
    <row r="789" spans="1:9" x14ac:dyDescent="0.2">
      <c r="A789" s="549">
        <v>3535</v>
      </c>
      <c r="B789" s="549">
        <v>8</v>
      </c>
      <c r="C789" s="548">
        <v>42255</v>
      </c>
      <c r="D789" s="550">
        <v>9.24</v>
      </c>
      <c r="E789" s="550">
        <v>9.35</v>
      </c>
      <c r="F789" s="550">
        <v>9.4700000000000006</v>
      </c>
      <c r="G789" s="550">
        <v>9.24</v>
      </c>
      <c r="H789" s="551">
        <v>8.3959759999999992</v>
      </c>
      <c r="I789" s="550">
        <v>292300</v>
      </c>
    </row>
    <row r="790" spans="1:9" x14ac:dyDescent="0.2">
      <c r="A790" s="549">
        <v>3536</v>
      </c>
      <c r="B790" s="549">
        <v>8</v>
      </c>
      <c r="C790" s="548">
        <v>42256</v>
      </c>
      <c r="D790" s="550">
        <v>9.36</v>
      </c>
      <c r="E790" s="550">
        <v>9.25</v>
      </c>
      <c r="F790" s="550">
        <v>9.3800000000000008</v>
      </c>
      <c r="G790" s="550">
        <v>9.2200000000000006</v>
      </c>
      <c r="H790" s="551">
        <v>8.3061790000000002</v>
      </c>
      <c r="I790" s="550">
        <v>180800</v>
      </c>
    </row>
    <row r="791" spans="1:9" x14ac:dyDescent="0.2">
      <c r="A791" s="549">
        <v>3537</v>
      </c>
      <c r="B791" s="549">
        <v>8</v>
      </c>
      <c r="C791" s="548">
        <v>42257</v>
      </c>
      <c r="D791" s="550">
        <v>9.3000000000000007</v>
      </c>
      <c r="E791" s="550">
        <v>9.23</v>
      </c>
      <c r="F791" s="550">
        <v>9.32</v>
      </c>
      <c r="G791" s="550">
        <v>9.2100000000000009</v>
      </c>
      <c r="H791" s="551">
        <v>8.2882210000000001</v>
      </c>
      <c r="I791" s="550">
        <v>374700</v>
      </c>
    </row>
    <row r="792" spans="1:9" x14ac:dyDescent="0.2">
      <c r="A792" s="549">
        <v>3538</v>
      </c>
      <c r="B792" s="549">
        <v>8</v>
      </c>
      <c r="C792" s="548">
        <v>42258</v>
      </c>
      <c r="D792" s="550">
        <v>9.1999999999999993</v>
      </c>
      <c r="E792" s="550">
        <v>9.17</v>
      </c>
      <c r="F792" s="550">
        <v>9.24</v>
      </c>
      <c r="G792" s="550">
        <v>9.17</v>
      </c>
      <c r="H792" s="551">
        <v>8.2343430000000009</v>
      </c>
      <c r="I792" s="550">
        <v>333000</v>
      </c>
    </row>
    <row r="793" spans="1:9" x14ac:dyDescent="0.2">
      <c r="A793" s="549">
        <v>3539</v>
      </c>
      <c r="B793" s="549">
        <v>8</v>
      </c>
      <c r="C793" s="548">
        <v>42261</v>
      </c>
      <c r="D793" s="550">
        <v>9.25</v>
      </c>
      <c r="E793" s="550">
        <v>9.32</v>
      </c>
      <c r="F793" s="550">
        <v>9.4</v>
      </c>
      <c r="G793" s="550">
        <v>9.24</v>
      </c>
      <c r="H793" s="551">
        <v>8.3690359999999995</v>
      </c>
      <c r="I793" s="550">
        <v>446100</v>
      </c>
    </row>
    <row r="794" spans="1:9" x14ac:dyDescent="0.2">
      <c r="A794" s="549">
        <v>3540</v>
      </c>
      <c r="B794" s="549">
        <v>8</v>
      </c>
      <c r="C794" s="548">
        <v>42262</v>
      </c>
      <c r="D794" s="550">
        <v>9.33</v>
      </c>
      <c r="E794" s="550">
        <v>9.5299999999999994</v>
      </c>
      <c r="F794" s="550">
        <v>9.58</v>
      </c>
      <c r="G794" s="550">
        <v>9.3000000000000007</v>
      </c>
      <c r="H794" s="551">
        <v>8.5576089999999994</v>
      </c>
      <c r="I794" s="550">
        <v>457100</v>
      </c>
    </row>
    <row r="795" spans="1:9" x14ac:dyDescent="0.2">
      <c r="A795" s="549">
        <v>3541</v>
      </c>
      <c r="B795" s="549">
        <v>8</v>
      </c>
      <c r="C795" s="548">
        <v>42263</v>
      </c>
      <c r="D795" s="550">
        <v>9.48</v>
      </c>
      <c r="E795" s="550">
        <v>9.6999999999999993</v>
      </c>
      <c r="F795" s="550">
        <v>9.7100000000000009</v>
      </c>
      <c r="G795" s="550">
        <v>9.4700000000000006</v>
      </c>
      <c r="H795" s="551">
        <v>8.7102640000000005</v>
      </c>
      <c r="I795" s="550">
        <v>397600</v>
      </c>
    </row>
    <row r="796" spans="1:9" x14ac:dyDescent="0.2">
      <c r="A796" s="549">
        <v>3542</v>
      </c>
      <c r="B796" s="549">
        <v>8</v>
      </c>
      <c r="C796" s="548">
        <v>42264</v>
      </c>
      <c r="D796" s="550">
        <v>9.74</v>
      </c>
      <c r="E796" s="550">
        <v>9.81</v>
      </c>
      <c r="F796" s="550">
        <v>9.84</v>
      </c>
      <c r="G796" s="550">
        <v>9.5</v>
      </c>
      <c r="H796" s="551">
        <v>8.8090399999999995</v>
      </c>
      <c r="I796" s="550">
        <v>301900</v>
      </c>
    </row>
    <row r="797" spans="1:9" x14ac:dyDescent="0.2">
      <c r="A797" s="549">
        <v>3543</v>
      </c>
      <c r="B797" s="549">
        <v>8</v>
      </c>
      <c r="C797" s="548">
        <v>42265</v>
      </c>
      <c r="D797" s="550">
        <v>9.6999999999999993</v>
      </c>
      <c r="E797" s="550">
        <v>9.5</v>
      </c>
      <c r="F797" s="550">
        <v>9.82</v>
      </c>
      <c r="G797" s="550">
        <v>9.41</v>
      </c>
      <c r="H797" s="551">
        <v>8.5306700000000006</v>
      </c>
      <c r="I797" s="550">
        <v>1126300</v>
      </c>
    </row>
    <row r="798" spans="1:9" x14ac:dyDescent="0.2">
      <c r="A798" s="549">
        <v>3544</v>
      </c>
      <c r="B798" s="549">
        <v>8</v>
      </c>
      <c r="C798" s="548">
        <v>42268</v>
      </c>
      <c r="D798" s="550">
        <v>9.77</v>
      </c>
      <c r="E798" s="550">
        <v>9.67</v>
      </c>
      <c r="F798" s="550">
        <v>9.77</v>
      </c>
      <c r="G798" s="550">
        <v>9.49</v>
      </c>
      <c r="H798" s="551">
        <v>8.683325</v>
      </c>
      <c r="I798" s="550">
        <v>378100</v>
      </c>
    </row>
    <row r="799" spans="1:9" x14ac:dyDescent="0.2">
      <c r="A799" s="549">
        <v>3545</v>
      </c>
      <c r="B799" s="549">
        <v>8</v>
      </c>
      <c r="C799" s="548">
        <v>42269</v>
      </c>
      <c r="D799" s="550">
        <v>9.6</v>
      </c>
      <c r="E799" s="550">
        <v>9.5</v>
      </c>
      <c r="F799" s="550">
        <v>9.67</v>
      </c>
      <c r="G799" s="550">
        <v>9.4600000000000009</v>
      </c>
      <c r="H799" s="551">
        <v>8.5306700000000006</v>
      </c>
      <c r="I799" s="550">
        <v>335700</v>
      </c>
    </row>
    <row r="800" spans="1:9" x14ac:dyDescent="0.2">
      <c r="A800" s="549">
        <v>3546</v>
      </c>
      <c r="B800" s="549">
        <v>8</v>
      </c>
      <c r="C800" s="548">
        <v>42270</v>
      </c>
      <c r="D800" s="550">
        <v>9.4600000000000009</v>
      </c>
      <c r="E800" s="550">
        <v>9.49</v>
      </c>
      <c r="F800" s="550">
        <v>9.57</v>
      </c>
      <c r="G800" s="550">
        <v>9.4600000000000009</v>
      </c>
      <c r="H800" s="551">
        <v>8.5216910000000006</v>
      </c>
      <c r="I800" s="550">
        <v>167100</v>
      </c>
    </row>
    <row r="801" spans="1:9" x14ac:dyDescent="0.2">
      <c r="A801" s="549">
        <v>3547</v>
      </c>
      <c r="B801" s="549">
        <v>8</v>
      </c>
      <c r="C801" s="548">
        <v>42271</v>
      </c>
      <c r="D801" s="550">
        <v>9.49</v>
      </c>
      <c r="E801" s="550">
        <v>9.36</v>
      </c>
      <c r="F801" s="550">
        <v>9.51</v>
      </c>
      <c r="G801" s="550">
        <v>9.2899999999999991</v>
      </c>
      <c r="H801" s="551">
        <v>8.4049549999999993</v>
      </c>
      <c r="I801" s="550">
        <v>294500</v>
      </c>
    </row>
    <row r="802" spans="1:9" x14ac:dyDescent="0.2">
      <c r="A802" s="549">
        <v>3548</v>
      </c>
      <c r="B802" s="549">
        <v>8</v>
      </c>
      <c r="C802" s="548">
        <v>42272</v>
      </c>
      <c r="D802" s="550">
        <v>9.48</v>
      </c>
      <c r="E802" s="550">
        <v>9.5500000000000007</v>
      </c>
      <c r="F802" s="550">
        <v>9.58</v>
      </c>
      <c r="G802" s="550">
        <v>9.4</v>
      </c>
      <c r="H802" s="551">
        <v>8.5755689999999998</v>
      </c>
      <c r="I802" s="550">
        <v>337600</v>
      </c>
    </row>
    <row r="803" spans="1:9" x14ac:dyDescent="0.2">
      <c r="A803" s="549">
        <v>3549</v>
      </c>
      <c r="B803" s="549">
        <v>8</v>
      </c>
      <c r="C803" s="548">
        <v>42275</v>
      </c>
      <c r="D803" s="550">
        <v>9.42</v>
      </c>
      <c r="E803" s="550">
        <v>9.16</v>
      </c>
      <c r="F803" s="550">
        <v>9.43</v>
      </c>
      <c r="G803" s="550">
        <v>9.09</v>
      </c>
      <c r="H803" s="551">
        <v>8.3379159999999999</v>
      </c>
      <c r="I803" s="550">
        <v>420000</v>
      </c>
    </row>
    <row r="804" spans="1:9" x14ac:dyDescent="0.2">
      <c r="A804" s="549">
        <v>3550</v>
      </c>
      <c r="B804" s="549">
        <v>8</v>
      </c>
      <c r="C804" s="548">
        <v>42276</v>
      </c>
      <c r="D804" s="550">
        <v>9.23</v>
      </c>
      <c r="E804" s="550">
        <v>9.17</v>
      </c>
      <c r="F804" s="550">
        <v>9.3000000000000007</v>
      </c>
      <c r="G804" s="550">
        <v>9.11</v>
      </c>
      <c r="H804" s="551">
        <v>8.3470189999999995</v>
      </c>
      <c r="I804" s="550">
        <v>414300</v>
      </c>
    </row>
    <row r="805" spans="1:9" x14ac:dyDescent="0.2">
      <c r="A805" s="549">
        <v>3551</v>
      </c>
      <c r="B805" s="549">
        <v>8</v>
      </c>
      <c r="C805" s="548">
        <v>42277</v>
      </c>
      <c r="D805" s="550">
        <v>9.1999999999999993</v>
      </c>
      <c r="E805" s="550">
        <v>9.44</v>
      </c>
      <c r="F805" s="550">
        <v>9.4600000000000009</v>
      </c>
      <c r="G805" s="550">
        <v>9.15</v>
      </c>
      <c r="H805" s="551">
        <v>8.5927860000000003</v>
      </c>
      <c r="I805" s="550">
        <v>644400</v>
      </c>
    </row>
    <row r="806" spans="1:9" x14ac:dyDescent="0.2">
      <c r="A806" s="549">
        <v>3552</v>
      </c>
      <c r="B806" s="549">
        <v>8</v>
      </c>
      <c r="C806" s="548">
        <v>42278</v>
      </c>
      <c r="D806" s="550">
        <v>9.56</v>
      </c>
      <c r="E806" s="550">
        <v>9.4</v>
      </c>
      <c r="F806" s="550">
        <v>9.56</v>
      </c>
      <c r="G806" s="550">
        <v>9.2899999999999991</v>
      </c>
      <c r="H806" s="551">
        <v>8.5563760000000002</v>
      </c>
      <c r="I806" s="550">
        <v>271700</v>
      </c>
    </row>
    <row r="807" spans="1:9" x14ac:dyDescent="0.2">
      <c r="A807" s="549">
        <v>3553</v>
      </c>
      <c r="B807" s="549">
        <v>8</v>
      </c>
      <c r="C807" s="548">
        <v>42279</v>
      </c>
      <c r="D807" s="550">
        <v>9.3000000000000007</v>
      </c>
      <c r="E807" s="550">
        <v>9.3699999999999992</v>
      </c>
      <c r="F807" s="550">
        <v>9.41</v>
      </c>
      <c r="G807" s="550">
        <v>9.1999999999999993</v>
      </c>
      <c r="H807" s="551">
        <v>8.5290700000000008</v>
      </c>
      <c r="I807" s="550">
        <v>349200</v>
      </c>
    </row>
    <row r="808" spans="1:9" x14ac:dyDescent="0.2">
      <c r="A808" s="549">
        <v>3554</v>
      </c>
      <c r="B808" s="549">
        <v>8</v>
      </c>
      <c r="C808" s="548">
        <v>42282</v>
      </c>
      <c r="D808" s="550">
        <v>9.44</v>
      </c>
      <c r="E808" s="550">
        <v>9.5</v>
      </c>
      <c r="F808" s="550">
        <v>9.5</v>
      </c>
      <c r="G808" s="550">
        <v>9.4</v>
      </c>
      <c r="H808" s="551">
        <v>8.6474030000000006</v>
      </c>
      <c r="I808" s="550">
        <v>279500</v>
      </c>
    </row>
    <row r="809" spans="1:9" x14ac:dyDescent="0.2">
      <c r="A809" s="549">
        <v>3555</v>
      </c>
      <c r="B809" s="549">
        <v>8</v>
      </c>
      <c r="C809" s="548">
        <v>42283</v>
      </c>
      <c r="D809" s="550">
        <v>9.5500000000000007</v>
      </c>
      <c r="E809" s="550">
        <v>9.4600000000000009</v>
      </c>
      <c r="F809" s="550">
        <v>9.5500000000000007</v>
      </c>
      <c r="G809" s="550">
        <v>9.41</v>
      </c>
      <c r="H809" s="551">
        <v>8.6109910000000003</v>
      </c>
      <c r="I809" s="550">
        <v>322800</v>
      </c>
    </row>
    <row r="810" spans="1:9" x14ac:dyDescent="0.2">
      <c r="A810" s="549">
        <v>3556</v>
      </c>
      <c r="B810" s="549">
        <v>8</v>
      </c>
      <c r="C810" s="548">
        <v>42284</v>
      </c>
      <c r="D810" s="550">
        <v>9.5299999999999994</v>
      </c>
      <c r="E810" s="550">
        <v>9.4600000000000009</v>
      </c>
      <c r="F810" s="550">
        <v>9.6</v>
      </c>
      <c r="G810" s="550">
        <v>9.42</v>
      </c>
      <c r="H810" s="551">
        <v>8.6109910000000003</v>
      </c>
      <c r="I810" s="550">
        <v>505800</v>
      </c>
    </row>
    <row r="811" spans="1:9" x14ac:dyDescent="0.2">
      <c r="A811" s="549">
        <v>3557</v>
      </c>
      <c r="B811" s="549">
        <v>8</v>
      </c>
      <c r="C811" s="548">
        <v>42285</v>
      </c>
      <c r="D811" s="550">
        <v>9.4700000000000006</v>
      </c>
      <c r="E811" s="550">
        <v>9.39</v>
      </c>
      <c r="F811" s="550">
        <v>9.4700000000000006</v>
      </c>
      <c r="G811" s="550">
        <v>9.31</v>
      </c>
      <c r="H811" s="551">
        <v>8.5472750000000008</v>
      </c>
      <c r="I811" s="550">
        <v>581900</v>
      </c>
    </row>
    <row r="812" spans="1:9" x14ac:dyDescent="0.2">
      <c r="A812" s="549">
        <v>3558</v>
      </c>
      <c r="B812" s="549">
        <v>8</v>
      </c>
      <c r="C812" s="548">
        <v>42286</v>
      </c>
      <c r="D812" s="550">
        <v>9.4499999999999993</v>
      </c>
      <c r="E812" s="550">
        <v>9.4600000000000009</v>
      </c>
      <c r="F812" s="550">
        <v>9.5</v>
      </c>
      <c r="G812" s="550">
        <v>9.36</v>
      </c>
      <c r="H812" s="551">
        <v>8.6109910000000003</v>
      </c>
      <c r="I812" s="550">
        <v>261100</v>
      </c>
    </row>
    <row r="813" spans="1:9" x14ac:dyDescent="0.2">
      <c r="A813" s="549">
        <v>3559</v>
      </c>
      <c r="B813" s="549">
        <v>8</v>
      </c>
      <c r="C813" s="548">
        <v>42290</v>
      </c>
      <c r="D813" s="550">
        <v>9.4499999999999993</v>
      </c>
      <c r="E813" s="550">
        <v>9.44</v>
      </c>
      <c r="F813" s="550">
        <v>9.5299999999999994</v>
      </c>
      <c r="G813" s="550">
        <v>9.3800000000000008</v>
      </c>
      <c r="H813" s="551">
        <v>8.5927860000000003</v>
      </c>
      <c r="I813" s="550">
        <v>583700</v>
      </c>
    </row>
    <row r="814" spans="1:9" x14ac:dyDescent="0.2">
      <c r="A814" s="549">
        <v>3560</v>
      </c>
      <c r="B814" s="549">
        <v>8</v>
      </c>
      <c r="C814" s="548">
        <v>42291</v>
      </c>
      <c r="D814" s="550">
        <v>9.5</v>
      </c>
      <c r="E814" s="550">
        <v>9.34</v>
      </c>
      <c r="F814" s="550">
        <v>9.5299999999999994</v>
      </c>
      <c r="G814" s="550">
        <v>9.31</v>
      </c>
      <c r="H814" s="551">
        <v>8.5017619999999994</v>
      </c>
      <c r="I814" s="550">
        <v>542000</v>
      </c>
    </row>
    <row r="815" spans="1:9" x14ac:dyDescent="0.2">
      <c r="A815" s="549">
        <v>3561</v>
      </c>
      <c r="B815" s="549">
        <v>8</v>
      </c>
      <c r="C815" s="548">
        <v>42292</v>
      </c>
      <c r="D815" s="550">
        <v>9.4499999999999993</v>
      </c>
      <c r="E815" s="550">
        <v>9.44</v>
      </c>
      <c r="F815" s="550">
        <v>9.5</v>
      </c>
      <c r="G815" s="550">
        <v>9.4</v>
      </c>
      <c r="H815" s="551">
        <v>8.5927860000000003</v>
      </c>
      <c r="I815" s="550">
        <v>255400</v>
      </c>
    </row>
    <row r="816" spans="1:9" x14ac:dyDescent="0.2">
      <c r="A816" s="549">
        <v>3562</v>
      </c>
      <c r="B816" s="549">
        <v>8</v>
      </c>
      <c r="C816" s="548">
        <v>42293</v>
      </c>
      <c r="D816" s="550">
        <v>9.5</v>
      </c>
      <c r="E816" s="550">
        <v>9.36</v>
      </c>
      <c r="F816" s="550">
        <v>9.5</v>
      </c>
      <c r="G816" s="550">
        <v>9.36</v>
      </c>
      <c r="H816" s="551">
        <v>8.5199680000000004</v>
      </c>
      <c r="I816" s="550">
        <v>341700</v>
      </c>
    </row>
    <row r="817" spans="1:9" x14ac:dyDescent="0.2">
      <c r="A817" s="549">
        <v>3563</v>
      </c>
      <c r="B817" s="549">
        <v>8</v>
      </c>
      <c r="C817" s="548">
        <v>42296</v>
      </c>
      <c r="D817" s="550">
        <v>9.4600000000000009</v>
      </c>
      <c r="E817" s="550">
        <v>9.4600000000000009</v>
      </c>
      <c r="F817" s="550">
        <v>9.52</v>
      </c>
      <c r="G817" s="550">
        <v>9.4</v>
      </c>
      <c r="H817" s="551">
        <v>8.6109910000000003</v>
      </c>
      <c r="I817" s="550">
        <v>255000</v>
      </c>
    </row>
    <row r="818" spans="1:9" x14ac:dyDescent="0.2">
      <c r="A818" s="549">
        <v>3564</v>
      </c>
      <c r="B818" s="549">
        <v>8</v>
      </c>
      <c r="C818" s="548">
        <v>42297</v>
      </c>
      <c r="D818" s="550">
        <v>9.49</v>
      </c>
      <c r="E818" s="550">
        <v>9.74</v>
      </c>
      <c r="F818" s="550">
        <v>9.7899999999999991</v>
      </c>
      <c r="G818" s="550">
        <v>9.4600000000000009</v>
      </c>
      <c r="H818" s="551">
        <v>8.8658629999999992</v>
      </c>
      <c r="I818" s="550">
        <v>1835100</v>
      </c>
    </row>
    <row r="819" spans="1:9" x14ac:dyDescent="0.2">
      <c r="A819" s="549">
        <v>3565</v>
      </c>
      <c r="B819" s="549">
        <v>8</v>
      </c>
      <c r="C819" s="548">
        <v>42298</v>
      </c>
      <c r="D819" s="550">
        <v>9.68</v>
      </c>
      <c r="E819" s="550">
        <v>9.68</v>
      </c>
      <c r="F819" s="550">
        <v>9.68</v>
      </c>
      <c r="G819" s="550">
        <v>9.68</v>
      </c>
      <c r="H819" s="551">
        <v>8.8112469999999998</v>
      </c>
      <c r="I819" s="550">
        <v>0</v>
      </c>
    </row>
    <row r="820" spans="1:9" x14ac:dyDescent="0.2">
      <c r="A820" s="549">
        <v>3566</v>
      </c>
      <c r="B820" s="549">
        <v>8</v>
      </c>
      <c r="C820" s="548">
        <v>42299</v>
      </c>
      <c r="D820" s="550">
        <v>9.81</v>
      </c>
      <c r="E820" s="550">
        <v>10.06</v>
      </c>
      <c r="F820" s="550">
        <v>10.18</v>
      </c>
      <c r="G820" s="550">
        <v>9.81</v>
      </c>
      <c r="H820" s="551">
        <v>9.1571449999999999</v>
      </c>
      <c r="I820" s="550">
        <v>1636600</v>
      </c>
    </row>
    <row r="821" spans="1:9" x14ac:dyDescent="0.2">
      <c r="A821" s="549">
        <v>3567</v>
      </c>
      <c r="B821" s="549">
        <v>8</v>
      </c>
      <c r="C821" s="548">
        <v>42300</v>
      </c>
      <c r="D821" s="550">
        <v>10.15</v>
      </c>
      <c r="E821" s="550">
        <v>10.039999999999999</v>
      </c>
      <c r="F821" s="550">
        <v>10.15</v>
      </c>
      <c r="G821" s="550">
        <v>10</v>
      </c>
      <c r="H821" s="551">
        <v>9.1389399999999998</v>
      </c>
      <c r="I821" s="550">
        <v>451800</v>
      </c>
    </row>
    <row r="822" spans="1:9" x14ac:dyDescent="0.2">
      <c r="A822" s="549">
        <v>3568</v>
      </c>
      <c r="B822" s="549">
        <v>8</v>
      </c>
      <c r="C822" s="548">
        <v>42303</v>
      </c>
      <c r="D822" s="550">
        <v>10.09</v>
      </c>
      <c r="E822" s="550">
        <v>10.18</v>
      </c>
      <c r="F822" s="550">
        <v>10.23</v>
      </c>
      <c r="G822" s="550">
        <v>9.92</v>
      </c>
      <c r="H822" s="551">
        <v>9.2663759999999993</v>
      </c>
      <c r="I822" s="550">
        <v>1253800</v>
      </c>
    </row>
    <row r="823" spans="1:9" x14ac:dyDescent="0.2">
      <c r="A823" s="549">
        <v>3569</v>
      </c>
      <c r="B823" s="549">
        <v>8</v>
      </c>
      <c r="C823" s="548">
        <v>42304</v>
      </c>
      <c r="D823" s="550">
        <v>10.14</v>
      </c>
      <c r="E823" s="550">
        <v>10.06</v>
      </c>
      <c r="F823" s="550">
        <v>10.23</v>
      </c>
      <c r="G823" s="550">
        <v>9.98</v>
      </c>
      <c r="H823" s="551">
        <v>9.1571449999999999</v>
      </c>
      <c r="I823" s="550">
        <v>867300</v>
      </c>
    </row>
    <row r="824" spans="1:9" x14ac:dyDescent="0.2">
      <c r="A824" s="549">
        <v>3570</v>
      </c>
      <c r="B824" s="549">
        <v>8</v>
      </c>
      <c r="C824" s="548">
        <v>42305</v>
      </c>
      <c r="D824" s="550">
        <v>10.06</v>
      </c>
      <c r="E824" s="550">
        <v>10.15</v>
      </c>
      <c r="F824" s="550">
        <v>10.17</v>
      </c>
      <c r="G824" s="550">
        <v>10.01</v>
      </c>
      <c r="H824" s="551">
        <v>9.2390659999999993</v>
      </c>
      <c r="I824" s="550">
        <v>751700</v>
      </c>
    </row>
    <row r="825" spans="1:9" x14ac:dyDescent="0.2">
      <c r="A825" s="549">
        <v>3571</v>
      </c>
      <c r="B825" s="549">
        <v>8</v>
      </c>
      <c r="C825" s="548">
        <v>42306</v>
      </c>
      <c r="D825" s="550">
        <v>10.08</v>
      </c>
      <c r="E825" s="550">
        <v>10.27</v>
      </c>
      <c r="F825" s="550">
        <v>10.29</v>
      </c>
      <c r="G825" s="550">
        <v>10.050000000000001</v>
      </c>
      <c r="H825" s="551">
        <v>9.3482979999999998</v>
      </c>
      <c r="I825" s="550">
        <v>570900</v>
      </c>
    </row>
    <row r="826" spans="1:9" x14ac:dyDescent="0.2">
      <c r="A826" s="549">
        <v>3572</v>
      </c>
      <c r="B826" s="549">
        <v>8</v>
      </c>
      <c r="C826" s="548">
        <v>42307</v>
      </c>
      <c r="D826" s="550">
        <v>10.3</v>
      </c>
      <c r="E826" s="550">
        <v>10.09</v>
      </c>
      <c r="F826" s="550">
        <v>10.3</v>
      </c>
      <c r="G826" s="550">
        <v>10.07</v>
      </c>
      <c r="H826" s="551">
        <v>9.1844520000000003</v>
      </c>
      <c r="I826" s="550">
        <v>866400</v>
      </c>
    </row>
    <row r="827" spans="1:9" x14ac:dyDescent="0.2">
      <c r="A827" s="549">
        <v>3573</v>
      </c>
      <c r="B827" s="549">
        <v>8</v>
      </c>
      <c r="C827" s="548">
        <v>42310</v>
      </c>
      <c r="D827" s="550">
        <v>10.15</v>
      </c>
      <c r="E827" s="550">
        <v>10.08</v>
      </c>
      <c r="F827" s="550">
        <v>10.199999999999999</v>
      </c>
      <c r="G827" s="550">
        <v>10.029999999999999</v>
      </c>
      <c r="H827" s="551">
        <v>9.1753499999999999</v>
      </c>
      <c r="I827" s="550">
        <v>388100</v>
      </c>
    </row>
    <row r="828" spans="1:9" x14ac:dyDescent="0.2">
      <c r="A828" s="549">
        <v>3574</v>
      </c>
      <c r="B828" s="549">
        <v>8</v>
      </c>
      <c r="C828" s="548">
        <v>42311</v>
      </c>
      <c r="D828" s="550">
        <v>10.15</v>
      </c>
      <c r="E828" s="550">
        <v>10.19</v>
      </c>
      <c r="F828" s="550">
        <v>10.199999999999999</v>
      </c>
      <c r="G828" s="550">
        <v>10.09</v>
      </c>
      <c r="H828" s="551">
        <v>9.2754759999999994</v>
      </c>
      <c r="I828" s="550">
        <v>355800</v>
      </c>
    </row>
    <row r="829" spans="1:9" x14ac:dyDescent="0.2">
      <c r="A829" s="549">
        <v>3575</v>
      </c>
      <c r="B829" s="549">
        <v>8</v>
      </c>
      <c r="C829" s="548">
        <v>42312</v>
      </c>
      <c r="D829" s="550">
        <v>10.24</v>
      </c>
      <c r="E829" s="550">
        <v>10.09</v>
      </c>
      <c r="F829" s="550">
        <v>10.3</v>
      </c>
      <c r="G829" s="550">
        <v>10.050000000000001</v>
      </c>
      <c r="H829" s="551">
        <v>9.1844520000000003</v>
      </c>
      <c r="I829" s="550">
        <v>366300</v>
      </c>
    </row>
    <row r="830" spans="1:9" x14ac:dyDescent="0.2">
      <c r="A830" s="549">
        <v>3576</v>
      </c>
      <c r="B830" s="549">
        <v>8</v>
      </c>
      <c r="C830" s="548">
        <v>42313</v>
      </c>
      <c r="D830" s="550">
        <v>10.1</v>
      </c>
      <c r="E830" s="550">
        <v>10.15</v>
      </c>
      <c r="F830" s="550">
        <v>10.25</v>
      </c>
      <c r="G830" s="550">
        <v>10.06</v>
      </c>
      <c r="H830" s="551">
        <v>9.2390659999999993</v>
      </c>
      <c r="I830" s="550">
        <v>483700</v>
      </c>
    </row>
    <row r="831" spans="1:9" x14ac:dyDescent="0.2">
      <c r="A831" s="549">
        <v>3577</v>
      </c>
      <c r="B831" s="549">
        <v>8</v>
      </c>
      <c r="C831" s="548">
        <v>42314</v>
      </c>
      <c r="D831" s="550">
        <v>10.24</v>
      </c>
      <c r="E831" s="550">
        <v>10.49</v>
      </c>
      <c r="F831" s="550">
        <v>10.69</v>
      </c>
      <c r="G831" s="550">
        <v>10.24</v>
      </c>
      <c r="H831" s="551">
        <v>9.5485520000000008</v>
      </c>
      <c r="I831" s="550">
        <v>528600</v>
      </c>
    </row>
    <row r="832" spans="1:9" x14ac:dyDescent="0.2">
      <c r="A832" s="549">
        <v>3578</v>
      </c>
      <c r="B832" s="549">
        <v>8</v>
      </c>
      <c r="C832" s="548">
        <v>42317</v>
      </c>
      <c r="D832" s="550">
        <v>10.51</v>
      </c>
      <c r="E832" s="550">
        <v>10.58</v>
      </c>
      <c r="F832" s="550">
        <v>10.89</v>
      </c>
      <c r="G832" s="550">
        <v>10.51</v>
      </c>
      <c r="H832" s="551">
        <v>9.6304759999999998</v>
      </c>
      <c r="I832" s="550">
        <v>839500</v>
      </c>
    </row>
    <row r="833" spans="1:9" x14ac:dyDescent="0.2">
      <c r="A833" s="549">
        <v>3579</v>
      </c>
      <c r="B833" s="549">
        <v>8</v>
      </c>
      <c r="C833" s="548">
        <v>42318</v>
      </c>
      <c r="D833" s="550">
        <v>10.6</v>
      </c>
      <c r="E833" s="550">
        <v>10.79</v>
      </c>
      <c r="F833" s="550">
        <v>10.8</v>
      </c>
      <c r="G833" s="550">
        <v>10.6</v>
      </c>
      <c r="H833" s="551">
        <v>9.8216289999999997</v>
      </c>
      <c r="I833" s="550">
        <v>1210200</v>
      </c>
    </row>
    <row r="834" spans="1:9" x14ac:dyDescent="0.2">
      <c r="A834" s="549">
        <v>3580</v>
      </c>
      <c r="B834" s="549">
        <v>8</v>
      </c>
      <c r="C834" s="548">
        <v>42319</v>
      </c>
      <c r="D834" s="550">
        <v>10.83</v>
      </c>
      <c r="E834" s="550">
        <v>10.82</v>
      </c>
      <c r="F834" s="550">
        <v>10.9</v>
      </c>
      <c r="G834" s="550">
        <v>10.8</v>
      </c>
      <c r="H834" s="551">
        <v>9.8489369999999994</v>
      </c>
      <c r="I834" s="550">
        <v>555700</v>
      </c>
    </row>
    <row r="835" spans="1:9" x14ac:dyDescent="0.2">
      <c r="A835" s="549">
        <v>3581</v>
      </c>
      <c r="B835" s="549">
        <v>8</v>
      </c>
      <c r="C835" s="548">
        <v>42320</v>
      </c>
      <c r="D835" s="550">
        <v>10.82</v>
      </c>
      <c r="E835" s="550">
        <v>10.54</v>
      </c>
      <c r="F835" s="550">
        <v>10.86</v>
      </c>
      <c r="G835" s="550">
        <v>10.52</v>
      </c>
      <c r="H835" s="551">
        <v>9.5940659999999998</v>
      </c>
      <c r="I835" s="550">
        <v>862000</v>
      </c>
    </row>
    <row r="836" spans="1:9" x14ac:dyDescent="0.2">
      <c r="A836" s="549">
        <v>3582</v>
      </c>
      <c r="B836" s="549">
        <v>8</v>
      </c>
      <c r="C836" s="548">
        <v>42321</v>
      </c>
      <c r="D836" s="550">
        <v>10.54</v>
      </c>
      <c r="E836" s="550">
        <v>10.62</v>
      </c>
      <c r="F836" s="550">
        <v>10.72</v>
      </c>
      <c r="G836" s="550">
        <v>10.54</v>
      </c>
      <c r="H836" s="551">
        <v>9.6668850000000006</v>
      </c>
      <c r="I836" s="550">
        <v>704800</v>
      </c>
    </row>
    <row r="837" spans="1:9" x14ac:dyDescent="0.2">
      <c r="A837" s="549">
        <v>3583</v>
      </c>
      <c r="B837" s="549">
        <v>8</v>
      </c>
      <c r="C837" s="548">
        <v>42324</v>
      </c>
      <c r="D837" s="550">
        <v>10.66</v>
      </c>
      <c r="E837" s="550">
        <v>10.89</v>
      </c>
      <c r="F837" s="550">
        <v>10.9</v>
      </c>
      <c r="G837" s="550">
        <v>10.61</v>
      </c>
      <c r="H837" s="551">
        <v>9.9126550000000009</v>
      </c>
      <c r="I837" s="550">
        <v>646100</v>
      </c>
    </row>
    <row r="838" spans="1:9" x14ac:dyDescent="0.2">
      <c r="A838" s="549">
        <v>3584</v>
      </c>
      <c r="B838" s="549">
        <v>8</v>
      </c>
      <c r="C838" s="548">
        <v>42325</v>
      </c>
      <c r="D838" s="550">
        <v>10.92</v>
      </c>
      <c r="E838" s="550">
        <v>10.73</v>
      </c>
      <c r="F838" s="550">
        <v>10.94</v>
      </c>
      <c r="G838" s="550">
        <v>10.65</v>
      </c>
      <c r="H838" s="551">
        <v>9.7670139999999996</v>
      </c>
      <c r="I838" s="550">
        <v>503100</v>
      </c>
    </row>
    <row r="839" spans="1:9" x14ac:dyDescent="0.2">
      <c r="A839" s="549">
        <v>3585</v>
      </c>
      <c r="B839" s="549">
        <v>8</v>
      </c>
      <c r="C839" s="548">
        <v>42326</v>
      </c>
      <c r="D839" s="550">
        <v>10.72</v>
      </c>
      <c r="E839" s="550">
        <v>10.79</v>
      </c>
      <c r="F839" s="550">
        <v>10.86</v>
      </c>
      <c r="G839" s="550">
        <v>10.64</v>
      </c>
      <c r="H839" s="551">
        <v>9.8216289999999997</v>
      </c>
      <c r="I839" s="550">
        <v>345800</v>
      </c>
    </row>
    <row r="840" spans="1:9" x14ac:dyDescent="0.2">
      <c r="A840" s="549">
        <v>3586</v>
      </c>
      <c r="B840" s="549">
        <v>8</v>
      </c>
      <c r="C840" s="548">
        <v>42327</v>
      </c>
      <c r="D840" s="550">
        <v>10.79</v>
      </c>
      <c r="E840" s="550">
        <v>10.87</v>
      </c>
      <c r="F840" s="550">
        <v>10.93</v>
      </c>
      <c r="G840" s="550">
        <v>10.77</v>
      </c>
      <c r="H840" s="551">
        <v>9.8944489999999998</v>
      </c>
      <c r="I840" s="550">
        <v>459200</v>
      </c>
    </row>
    <row r="841" spans="1:9" x14ac:dyDescent="0.2">
      <c r="A841" s="549">
        <v>3587</v>
      </c>
      <c r="B841" s="549">
        <v>8</v>
      </c>
      <c r="C841" s="548">
        <v>42328</v>
      </c>
      <c r="D841" s="550">
        <v>10.93</v>
      </c>
      <c r="E841" s="550">
        <v>10.82</v>
      </c>
      <c r="F841" s="550">
        <v>10.94</v>
      </c>
      <c r="G841" s="550">
        <v>10.78</v>
      </c>
      <c r="H841" s="551">
        <v>9.8489369999999994</v>
      </c>
      <c r="I841" s="550">
        <v>280200</v>
      </c>
    </row>
    <row r="842" spans="1:9" x14ac:dyDescent="0.2">
      <c r="A842" s="549">
        <v>3588</v>
      </c>
      <c r="B842" s="549">
        <v>8</v>
      </c>
      <c r="C842" s="548">
        <v>42331</v>
      </c>
      <c r="D842" s="550">
        <v>10.81</v>
      </c>
      <c r="E842" s="550">
        <v>10.74</v>
      </c>
      <c r="F842" s="550">
        <v>10.85</v>
      </c>
      <c r="G842" s="550">
        <v>10.72</v>
      </c>
      <c r="H842" s="551">
        <v>9.776116</v>
      </c>
      <c r="I842" s="550">
        <v>261200</v>
      </c>
    </row>
    <row r="843" spans="1:9" x14ac:dyDescent="0.2">
      <c r="A843" s="549">
        <v>3589</v>
      </c>
      <c r="B843" s="549">
        <v>8</v>
      </c>
      <c r="C843" s="548">
        <v>42332</v>
      </c>
      <c r="D843" s="550">
        <v>10.29</v>
      </c>
      <c r="E843" s="550">
        <v>10.34</v>
      </c>
      <c r="F843" s="550">
        <v>10.42</v>
      </c>
      <c r="G843" s="550">
        <v>10.17</v>
      </c>
      <c r="H843" s="551">
        <v>9.4120150000000002</v>
      </c>
      <c r="I843" s="550">
        <v>1973300</v>
      </c>
    </row>
    <row r="844" spans="1:9" x14ac:dyDescent="0.2">
      <c r="A844" s="549">
        <v>3590</v>
      </c>
      <c r="B844" s="549">
        <v>8</v>
      </c>
      <c r="C844" s="548">
        <v>42333</v>
      </c>
      <c r="D844" s="550">
        <v>10.34</v>
      </c>
      <c r="E844" s="550">
        <v>10.31</v>
      </c>
      <c r="F844" s="550">
        <v>10.38</v>
      </c>
      <c r="G844" s="550">
        <v>10.220000000000001</v>
      </c>
      <c r="H844" s="551">
        <v>9.3847070000000006</v>
      </c>
      <c r="I844" s="550">
        <v>329700</v>
      </c>
    </row>
    <row r="845" spans="1:9" x14ac:dyDescent="0.2">
      <c r="A845" s="549">
        <v>3591</v>
      </c>
      <c r="B845" s="549">
        <v>8</v>
      </c>
      <c r="C845" s="548">
        <v>42334</v>
      </c>
      <c r="D845" s="550">
        <v>10.33</v>
      </c>
      <c r="E845" s="550">
        <v>10.3</v>
      </c>
      <c r="F845" s="550">
        <v>10.34</v>
      </c>
      <c r="G845" s="550">
        <v>10.28</v>
      </c>
      <c r="H845" s="551">
        <v>9.3756059999999994</v>
      </c>
      <c r="I845" s="550">
        <v>122000</v>
      </c>
    </row>
    <row r="846" spans="1:9" x14ac:dyDescent="0.2">
      <c r="A846" s="549">
        <v>3592</v>
      </c>
      <c r="B846" s="549">
        <v>8</v>
      </c>
      <c r="C846" s="548">
        <v>42335</v>
      </c>
      <c r="D846" s="550">
        <v>10.29</v>
      </c>
      <c r="E846" s="550">
        <v>10.31</v>
      </c>
      <c r="F846" s="550">
        <v>10.37</v>
      </c>
      <c r="G846" s="550">
        <v>10.27</v>
      </c>
      <c r="H846" s="551">
        <v>9.3847070000000006</v>
      </c>
      <c r="I846" s="550">
        <v>432200</v>
      </c>
    </row>
    <row r="847" spans="1:9" x14ac:dyDescent="0.2">
      <c r="A847" s="549">
        <v>3593</v>
      </c>
      <c r="B847" s="549">
        <v>8</v>
      </c>
      <c r="C847" s="548">
        <v>42338</v>
      </c>
      <c r="D847" s="550">
        <v>10.32</v>
      </c>
      <c r="E847" s="550">
        <v>10.34</v>
      </c>
      <c r="F847" s="550">
        <v>10.35</v>
      </c>
      <c r="G847" s="550">
        <v>10.27</v>
      </c>
      <c r="H847" s="551">
        <v>9.4120150000000002</v>
      </c>
      <c r="I847" s="550">
        <v>757000</v>
      </c>
    </row>
    <row r="848" spans="1:9" x14ac:dyDescent="0.2">
      <c r="A848" s="549">
        <v>3594</v>
      </c>
      <c r="B848" s="549">
        <v>8</v>
      </c>
      <c r="C848" s="548">
        <v>42339</v>
      </c>
      <c r="D848" s="550">
        <v>10.34</v>
      </c>
      <c r="E848" s="550">
        <v>10.34</v>
      </c>
      <c r="F848" s="550">
        <v>10.38</v>
      </c>
      <c r="G848" s="550">
        <v>10.28</v>
      </c>
      <c r="H848" s="551">
        <v>9.4120150000000002</v>
      </c>
      <c r="I848" s="550">
        <v>703300</v>
      </c>
    </row>
    <row r="849" spans="1:9" x14ac:dyDescent="0.2">
      <c r="A849" s="549">
        <v>3595</v>
      </c>
      <c r="B849" s="549">
        <v>8</v>
      </c>
      <c r="C849" s="548">
        <v>42340</v>
      </c>
      <c r="D849" s="550">
        <v>10.3</v>
      </c>
      <c r="E849" s="550">
        <v>10.33</v>
      </c>
      <c r="F849" s="550">
        <v>10.4</v>
      </c>
      <c r="G849" s="550">
        <v>10.09</v>
      </c>
      <c r="H849" s="551">
        <v>9.4029120000000006</v>
      </c>
      <c r="I849" s="550">
        <v>1159400</v>
      </c>
    </row>
    <row r="850" spans="1:9" x14ac:dyDescent="0.2">
      <c r="A850" s="549">
        <v>3596</v>
      </c>
      <c r="B850" s="549">
        <v>8</v>
      </c>
      <c r="C850" s="548">
        <v>42341</v>
      </c>
      <c r="D850" s="550">
        <v>10.39</v>
      </c>
      <c r="E850" s="550">
        <v>10.54</v>
      </c>
      <c r="F850" s="550">
        <v>10.59</v>
      </c>
      <c r="G850" s="550">
        <v>10.39</v>
      </c>
      <c r="H850" s="551">
        <v>9.5940659999999998</v>
      </c>
      <c r="I850" s="550">
        <v>2051400</v>
      </c>
    </row>
    <row r="851" spans="1:9" x14ac:dyDescent="0.2">
      <c r="A851" s="549">
        <v>3597</v>
      </c>
      <c r="B851" s="549">
        <v>8</v>
      </c>
      <c r="C851" s="548">
        <v>42342</v>
      </c>
      <c r="D851" s="550">
        <v>10.55</v>
      </c>
      <c r="E851" s="550">
        <v>10.44</v>
      </c>
      <c r="F851" s="550">
        <v>10.67</v>
      </c>
      <c r="G851" s="550">
        <v>10.37</v>
      </c>
      <c r="H851" s="551">
        <v>9.5030389999999993</v>
      </c>
      <c r="I851" s="550">
        <v>669000</v>
      </c>
    </row>
    <row r="852" spans="1:9" x14ac:dyDescent="0.2">
      <c r="A852" s="549">
        <v>3598</v>
      </c>
      <c r="B852" s="549">
        <v>8</v>
      </c>
      <c r="C852" s="548">
        <v>42345</v>
      </c>
      <c r="D852" s="550">
        <v>10.41</v>
      </c>
      <c r="E852" s="550">
        <v>10.25</v>
      </c>
      <c r="F852" s="550">
        <v>10.44</v>
      </c>
      <c r="G852" s="550">
        <v>10.24</v>
      </c>
      <c r="H852" s="551">
        <v>9.3300920000000005</v>
      </c>
      <c r="I852" s="550">
        <v>469000</v>
      </c>
    </row>
    <row r="853" spans="1:9" x14ac:dyDescent="0.2">
      <c r="A853" s="549">
        <v>3599</v>
      </c>
      <c r="B853" s="549">
        <v>8</v>
      </c>
      <c r="C853" s="548">
        <v>42346</v>
      </c>
      <c r="D853" s="550">
        <v>10.25</v>
      </c>
      <c r="E853" s="550">
        <v>10.25</v>
      </c>
      <c r="F853" s="550">
        <v>10.38</v>
      </c>
      <c r="G853" s="550">
        <v>10.11</v>
      </c>
      <c r="H853" s="551">
        <v>9.3300920000000005</v>
      </c>
      <c r="I853" s="550">
        <v>692500</v>
      </c>
    </row>
    <row r="854" spans="1:9" x14ac:dyDescent="0.2">
      <c r="A854" s="549">
        <v>3600</v>
      </c>
      <c r="B854" s="549">
        <v>8</v>
      </c>
      <c r="C854" s="548">
        <v>42347</v>
      </c>
      <c r="D854" s="550">
        <v>10.28</v>
      </c>
      <c r="E854" s="550">
        <v>10.36</v>
      </c>
      <c r="F854" s="550">
        <v>10.56</v>
      </c>
      <c r="G854" s="550">
        <v>10.26</v>
      </c>
      <c r="H854" s="551">
        <v>9.4302220000000005</v>
      </c>
      <c r="I854" s="550">
        <v>807100</v>
      </c>
    </row>
    <row r="855" spans="1:9" x14ac:dyDescent="0.2">
      <c r="A855" s="549">
        <v>3601</v>
      </c>
      <c r="B855" s="549">
        <v>8</v>
      </c>
      <c r="C855" s="548">
        <v>42348</v>
      </c>
      <c r="D855" s="550">
        <v>10.41</v>
      </c>
      <c r="E855" s="550">
        <v>10.35</v>
      </c>
      <c r="F855" s="550">
        <v>10.46</v>
      </c>
      <c r="G855" s="550">
        <v>10.29</v>
      </c>
      <c r="H855" s="551">
        <v>9.4211179999999999</v>
      </c>
      <c r="I855" s="550">
        <v>287000</v>
      </c>
    </row>
    <row r="856" spans="1:9" x14ac:dyDescent="0.2">
      <c r="A856" s="549">
        <v>3602</v>
      </c>
      <c r="B856" s="549">
        <v>8</v>
      </c>
      <c r="C856" s="548">
        <v>42349</v>
      </c>
      <c r="D856" s="550">
        <v>10.34</v>
      </c>
      <c r="E856" s="550">
        <v>10.220000000000001</v>
      </c>
      <c r="F856" s="550">
        <v>10.4</v>
      </c>
      <c r="G856" s="550">
        <v>10.16</v>
      </c>
      <c r="H856" s="551">
        <v>9.3027840000000008</v>
      </c>
      <c r="I856" s="550">
        <v>370900</v>
      </c>
    </row>
    <row r="857" spans="1:9" x14ac:dyDescent="0.2">
      <c r="A857" s="549">
        <v>3603</v>
      </c>
      <c r="B857" s="549">
        <v>8</v>
      </c>
      <c r="C857" s="548">
        <v>42352</v>
      </c>
      <c r="D857" s="550">
        <v>10.16</v>
      </c>
      <c r="E857" s="550">
        <v>10.24</v>
      </c>
      <c r="F857" s="550">
        <v>10.29</v>
      </c>
      <c r="G857" s="550">
        <v>10.119999999999999</v>
      </c>
      <c r="H857" s="551">
        <v>9.3209900000000001</v>
      </c>
      <c r="I857" s="550">
        <v>502900</v>
      </c>
    </row>
    <row r="858" spans="1:9" x14ac:dyDescent="0.2">
      <c r="A858" s="549">
        <v>3604</v>
      </c>
      <c r="B858" s="549">
        <v>8</v>
      </c>
      <c r="C858" s="548">
        <v>42353</v>
      </c>
      <c r="D858" s="550">
        <v>10.3</v>
      </c>
      <c r="E858" s="550">
        <v>10.45</v>
      </c>
      <c r="F858" s="550">
        <v>10.48</v>
      </c>
      <c r="G858" s="550">
        <v>10.27</v>
      </c>
      <c r="H858" s="551">
        <v>9.512143</v>
      </c>
      <c r="I858" s="550">
        <v>435700</v>
      </c>
    </row>
    <row r="859" spans="1:9" x14ac:dyDescent="0.2">
      <c r="A859" s="549">
        <v>3605</v>
      </c>
      <c r="B859" s="549">
        <v>8</v>
      </c>
      <c r="C859" s="548">
        <v>42354</v>
      </c>
      <c r="D859" s="550">
        <v>10.52</v>
      </c>
      <c r="E859" s="550">
        <v>10.93</v>
      </c>
      <c r="F859" s="550">
        <v>10.93</v>
      </c>
      <c r="G859" s="550">
        <v>10.5</v>
      </c>
      <c r="H859" s="551">
        <v>9.9490649999999992</v>
      </c>
      <c r="I859" s="550">
        <v>690900</v>
      </c>
    </row>
    <row r="860" spans="1:9" x14ac:dyDescent="0.2">
      <c r="A860" s="549">
        <v>3606</v>
      </c>
      <c r="B860" s="549">
        <v>8</v>
      </c>
      <c r="C860" s="548">
        <v>42355</v>
      </c>
      <c r="D860" s="550">
        <v>10.97</v>
      </c>
      <c r="E860" s="550">
        <v>10.76</v>
      </c>
      <c r="F860" s="550">
        <v>10.97</v>
      </c>
      <c r="G860" s="550">
        <v>10.73</v>
      </c>
      <c r="H860" s="551">
        <v>9.7943200000000008</v>
      </c>
      <c r="I860" s="550">
        <v>624200</v>
      </c>
    </row>
    <row r="861" spans="1:9" x14ac:dyDescent="0.2">
      <c r="A861" s="549">
        <v>3607</v>
      </c>
      <c r="B861" s="549">
        <v>8</v>
      </c>
      <c r="C861" s="548">
        <v>42356</v>
      </c>
      <c r="D861" s="550">
        <v>10.79</v>
      </c>
      <c r="E861" s="550">
        <v>10.87</v>
      </c>
      <c r="F861" s="550">
        <v>10.92</v>
      </c>
      <c r="G861" s="550">
        <v>10.62</v>
      </c>
      <c r="H861" s="551">
        <v>9.8944489999999998</v>
      </c>
      <c r="I861" s="550">
        <v>1887900</v>
      </c>
    </row>
    <row r="862" spans="1:9" x14ac:dyDescent="0.2">
      <c r="A862" s="549">
        <v>3608</v>
      </c>
      <c r="B862" s="549">
        <v>8</v>
      </c>
      <c r="C862" s="548">
        <v>42359</v>
      </c>
      <c r="D862" s="550">
        <v>10.93</v>
      </c>
      <c r="E862" s="550">
        <v>10.88</v>
      </c>
      <c r="F862" s="550">
        <v>10.98</v>
      </c>
      <c r="G862" s="550">
        <v>10.85</v>
      </c>
      <c r="H862" s="551">
        <v>9.9035519999999995</v>
      </c>
      <c r="I862" s="550">
        <v>478900</v>
      </c>
    </row>
    <row r="863" spans="1:9" x14ac:dyDescent="0.2">
      <c r="A863" s="549">
        <v>3609</v>
      </c>
      <c r="B863" s="549">
        <v>8</v>
      </c>
      <c r="C863" s="548">
        <v>42360</v>
      </c>
      <c r="D863" s="550">
        <v>10.9</v>
      </c>
      <c r="E863" s="550">
        <v>10.81</v>
      </c>
      <c r="F863" s="550">
        <v>10.96</v>
      </c>
      <c r="G863" s="550">
        <v>10.76</v>
      </c>
      <c r="H863" s="551">
        <v>9.8398339999999997</v>
      </c>
      <c r="I863" s="550">
        <v>345200</v>
      </c>
    </row>
    <row r="864" spans="1:9" x14ac:dyDescent="0.2">
      <c r="A864" s="549">
        <v>3610</v>
      </c>
      <c r="B864" s="549">
        <v>8</v>
      </c>
      <c r="C864" s="548">
        <v>42361</v>
      </c>
      <c r="D864" s="550">
        <v>10.89</v>
      </c>
      <c r="E864" s="550">
        <v>11.06</v>
      </c>
      <c r="F864" s="550">
        <v>11.06</v>
      </c>
      <c r="G864" s="550">
        <v>10.86</v>
      </c>
      <c r="H864" s="551">
        <v>10.067397</v>
      </c>
      <c r="I864" s="550">
        <v>432800</v>
      </c>
    </row>
    <row r="865" spans="1:9" x14ac:dyDescent="0.2">
      <c r="A865" s="549">
        <v>3611</v>
      </c>
      <c r="B865" s="549">
        <v>8</v>
      </c>
      <c r="C865" s="548">
        <v>42362</v>
      </c>
      <c r="D865" s="550">
        <v>11.06</v>
      </c>
      <c r="E865" s="550">
        <v>11.31</v>
      </c>
      <c r="F865" s="550">
        <v>11.35</v>
      </c>
      <c r="G865" s="550">
        <v>11.06</v>
      </c>
      <c r="H865" s="551">
        <v>10.29496</v>
      </c>
      <c r="I865" s="550">
        <v>324500</v>
      </c>
    </row>
    <row r="866" spans="1:9" x14ac:dyDescent="0.2">
      <c r="A866" s="549">
        <v>3612</v>
      </c>
      <c r="B866" s="549">
        <v>8</v>
      </c>
      <c r="C866" s="548">
        <v>42367</v>
      </c>
      <c r="D866" s="550">
        <v>11.33</v>
      </c>
      <c r="E866" s="550">
        <v>11.14</v>
      </c>
      <c r="F866" s="550">
        <v>11.33</v>
      </c>
      <c r="G866" s="550">
        <v>11</v>
      </c>
      <c r="H866" s="551">
        <v>10.255127999999999</v>
      </c>
      <c r="I866" s="550">
        <v>505300</v>
      </c>
    </row>
    <row r="867" spans="1:9" x14ac:dyDescent="0.2">
      <c r="A867" s="549">
        <v>3613</v>
      </c>
      <c r="B867" s="549">
        <v>8</v>
      </c>
      <c r="C867" s="548">
        <v>42368</v>
      </c>
      <c r="D867" s="550">
        <v>11.16</v>
      </c>
      <c r="E867" s="550">
        <v>11.03</v>
      </c>
      <c r="F867" s="550">
        <v>11.16</v>
      </c>
      <c r="G867" s="550">
        <v>11.01</v>
      </c>
      <c r="H867" s="551">
        <v>10.153864</v>
      </c>
      <c r="I867" s="550">
        <v>322900</v>
      </c>
    </row>
    <row r="868" spans="1:9" x14ac:dyDescent="0.2">
      <c r="A868" s="549">
        <v>3614</v>
      </c>
      <c r="B868" s="549">
        <v>8</v>
      </c>
      <c r="C868" s="548">
        <v>42369</v>
      </c>
      <c r="D868" s="550">
        <v>11.07</v>
      </c>
      <c r="E868" s="550">
        <v>10.91</v>
      </c>
      <c r="F868" s="550">
        <v>11.08</v>
      </c>
      <c r="G868" s="550">
        <v>10.88</v>
      </c>
      <c r="H868" s="551">
        <v>10.043398</v>
      </c>
      <c r="I868" s="550">
        <v>212600</v>
      </c>
    </row>
    <row r="869" spans="1:9" x14ac:dyDescent="0.2">
      <c r="A869" s="549">
        <v>3615</v>
      </c>
      <c r="B869" s="549">
        <v>8</v>
      </c>
      <c r="C869" s="548">
        <v>42373</v>
      </c>
      <c r="D869" s="550">
        <v>10.85</v>
      </c>
      <c r="E869" s="550">
        <v>10.77</v>
      </c>
      <c r="F869" s="550">
        <v>10.88</v>
      </c>
      <c r="G869" s="550">
        <v>10.62</v>
      </c>
      <c r="H869" s="551">
        <v>9.914517</v>
      </c>
      <c r="I869" s="550">
        <v>789300</v>
      </c>
    </row>
    <row r="870" spans="1:9" x14ac:dyDescent="0.2">
      <c r="A870" s="549">
        <v>3616</v>
      </c>
      <c r="B870" s="549">
        <v>8</v>
      </c>
      <c r="C870" s="548">
        <v>42374</v>
      </c>
      <c r="D870" s="550">
        <v>10.74</v>
      </c>
      <c r="E870" s="550">
        <v>10.88</v>
      </c>
      <c r="F870" s="550">
        <v>10.91</v>
      </c>
      <c r="G870" s="550">
        <v>10.74</v>
      </c>
      <c r="H870" s="551">
        <v>10.015779</v>
      </c>
      <c r="I870" s="550">
        <v>428800</v>
      </c>
    </row>
    <row r="871" spans="1:9" x14ac:dyDescent="0.2">
      <c r="A871" s="549">
        <v>3617</v>
      </c>
      <c r="B871" s="549">
        <v>8</v>
      </c>
      <c r="C871" s="548">
        <v>42375</v>
      </c>
      <c r="D871" s="550">
        <v>10.78</v>
      </c>
      <c r="E871" s="550">
        <v>10.83</v>
      </c>
      <c r="F871" s="550">
        <v>10.86</v>
      </c>
      <c r="G871" s="550">
        <v>10.75</v>
      </c>
      <c r="H871" s="551">
        <v>9.9697499999999994</v>
      </c>
      <c r="I871" s="550">
        <v>465200</v>
      </c>
    </row>
    <row r="872" spans="1:9" x14ac:dyDescent="0.2">
      <c r="A872" s="549">
        <v>3618</v>
      </c>
      <c r="B872" s="549">
        <v>8</v>
      </c>
      <c r="C872" s="548">
        <v>42376</v>
      </c>
      <c r="D872" s="550">
        <v>10.73</v>
      </c>
      <c r="E872" s="550">
        <v>10.7</v>
      </c>
      <c r="F872" s="550">
        <v>10.95</v>
      </c>
      <c r="G872" s="550">
        <v>10.67</v>
      </c>
      <c r="H872" s="551">
        <v>9.8500779999999999</v>
      </c>
      <c r="I872" s="550">
        <v>947700</v>
      </c>
    </row>
    <row r="873" spans="1:9" x14ac:dyDescent="0.2">
      <c r="A873" s="549">
        <v>3619</v>
      </c>
      <c r="B873" s="549">
        <v>8</v>
      </c>
      <c r="C873" s="548">
        <v>42377</v>
      </c>
      <c r="D873" s="550">
        <v>10.78</v>
      </c>
      <c r="E873" s="550">
        <v>11</v>
      </c>
      <c r="F873" s="550">
        <v>11.07</v>
      </c>
      <c r="G873" s="550">
        <v>10.72</v>
      </c>
      <c r="H873" s="551">
        <v>10.126248</v>
      </c>
      <c r="I873" s="550">
        <v>566500</v>
      </c>
    </row>
    <row r="874" spans="1:9" x14ac:dyDescent="0.2">
      <c r="A874" s="549">
        <v>3620</v>
      </c>
      <c r="B874" s="549">
        <v>8</v>
      </c>
      <c r="C874" s="548">
        <v>42380</v>
      </c>
      <c r="D874" s="550">
        <v>11.1</v>
      </c>
      <c r="E874" s="550">
        <v>10.96</v>
      </c>
      <c r="F874" s="550">
        <v>11.11</v>
      </c>
      <c r="G874" s="550">
        <v>10.85</v>
      </c>
      <c r="H874" s="551">
        <v>10.089425</v>
      </c>
      <c r="I874" s="550">
        <v>489500</v>
      </c>
    </row>
    <row r="875" spans="1:9" x14ac:dyDescent="0.2">
      <c r="A875" s="549">
        <v>3621</v>
      </c>
      <c r="B875" s="549">
        <v>8</v>
      </c>
      <c r="C875" s="548">
        <v>42381</v>
      </c>
      <c r="D875" s="550">
        <v>10.98</v>
      </c>
      <c r="E875" s="550">
        <v>11.06</v>
      </c>
      <c r="F875" s="550">
        <v>11.08</v>
      </c>
      <c r="G875" s="550">
        <v>10.88</v>
      </c>
      <c r="H875" s="551">
        <v>10.181481</v>
      </c>
      <c r="I875" s="550">
        <v>486700</v>
      </c>
    </row>
    <row r="876" spans="1:9" x14ac:dyDescent="0.2">
      <c r="A876" s="549">
        <v>3622</v>
      </c>
      <c r="B876" s="549">
        <v>8</v>
      </c>
      <c r="C876" s="548">
        <v>42382</v>
      </c>
      <c r="D876" s="550">
        <v>11</v>
      </c>
      <c r="E876" s="550">
        <v>10.89</v>
      </c>
      <c r="F876" s="550">
        <v>11.22</v>
      </c>
      <c r="G876" s="550">
        <v>10.86</v>
      </c>
      <c r="H876" s="551">
        <v>10.024986</v>
      </c>
      <c r="I876" s="550">
        <v>525600</v>
      </c>
    </row>
    <row r="877" spans="1:9" x14ac:dyDescent="0.2">
      <c r="A877" s="549">
        <v>3623</v>
      </c>
      <c r="B877" s="549">
        <v>8</v>
      </c>
      <c r="C877" s="548">
        <v>42383</v>
      </c>
      <c r="D877" s="550">
        <v>10.93</v>
      </c>
      <c r="E877" s="550">
        <v>11</v>
      </c>
      <c r="F877" s="550">
        <v>11.08</v>
      </c>
      <c r="G877" s="550">
        <v>10.71</v>
      </c>
      <c r="H877" s="551">
        <v>10.126248</v>
      </c>
      <c r="I877" s="550">
        <v>672500</v>
      </c>
    </row>
    <row r="878" spans="1:9" x14ac:dyDescent="0.2">
      <c r="A878" s="549">
        <v>3624</v>
      </c>
      <c r="B878" s="549">
        <v>8</v>
      </c>
      <c r="C878" s="548">
        <v>42384</v>
      </c>
      <c r="D878" s="550">
        <v>10.92</v>
      </c>
      <c r="E878" s="550">
        <v>10.68</v>
      </c>
      <c r="F878" s="550">
        <v>10.94</v>
      </c>
      <c r="G878" s="550">
        <v>10.53</v>
      </c>
      <c r="H878" s="551">
        <v>9.8316660000000002</v>
      </c>
      <c r="I878" s="550">
        <v>816300</v>
      </c>
    </row>
    <row r="879" spans="1:9" x14ac:dyDescent="0.2">
      <c r="A879" s="549">
        <v>3625</v>
      </c>
      <c r="B879" s="549">
        <v>8</v>
      </c>
      <c r="C879" s="548">
        <v>42387</v>
      </c>
      <c r="D879" s="550">
        <v>10.69</v>
      </c>
      <c r="E879" s="550">
        <v>10.39</v>
      </c>
      <c r="F879" s="550">
        <v>10.72</v>
      </c>
      <c r="G879" s="550">
        <v>10.34</v>
      </c>
      <c r="H879" s="551">
        <v>9.5647020000000005</v>
      </c>
      <c r="I879" s="550">
        <v>435300</v>
      </c>
    </row>
    <row r="880" spans="1:9" x14ac:dyDescent="0.2">
      <c r="A880" s="549">
        <v>3626</v>
      </c>
      <c r="B880" s="549">
        <v>8</v>
      </c>
      <c r="C880" s="548">
        <v>42388</v>
      </c>
      <c r="D880" s="550">
        <v>10.51</v>
      </c>
      <c r="E880" s="550">
        <v>10.65</v>
      </c>
      <c r="F880" s="550">
        <v>10.69</v>
      </c>
      <c r="G880" s="550">
        <v>10.49</v>
      </c>
      <c r="H880" s="551">
        <v>9.8040479999999999</v>
      </c>
      <c r="I880" s="550">
        <v>1131700</v>
      </c>
    </row>
    <row r="881" spans="1:9" x14ac:dyDescent="0.2">
      <c r="A881" s="549">
        <v>3627</v>
      </c>
      <c r="B881" s="549">
        <v>8</v>
      </c>
      <c r="C881" s="548">
        <v>42389</v>
      </c>
      <c r="D881" s="550">
        <v>10.52</v>
      </c>
      <c r="E881" s="550">
        <v>10.75</v>
      </c>
      <c r="F881" s="550">
        <v>10.79</v>
      </c>
      <c r="G881" s="550">
        <v>10.3</v>
      </c>
      <c r="H881" s="551">
        <v>9.8961070000000007</v>
      </c>
      <c r="I881" s="550">
        <v>1278900</v>
      </c>
    </row>
    <row r="882" spans="1:9" x14ac:dyDescent="0.2">
      <c r="A882" s="549">
        <v>3628</v>
      </c>
      <c r="B882" s="549">
        <v>8</v>
      </c>
      <c r="C882" s="548">
        <v>42390</v>
      </c>
      <c r="D882" s="550">
        <v>10.78</v>
      </c>
      <c r="E882" s="550">
        <v>10.84</v>
      </c>
      <c r="F882" s="550">
        <v>10.93</v>
      </c>
      <c r="G882" s="550">
        <v>10.64</v>
      </c>
      <c r="H882" s="551">
        <v>9.9789569999999994</v>
      </c>
      <c r="I882" s="550">
        <v>644300</v>
      </c>
    </row>
    <row r="883" spans="1:9" x14ac:dyDescent="0.2">
      <c r="A883" s="549">
        <v>3629</v>
      </c>
      <c r="B883" s="549">
        <v>8</v>
      </c>
      <c r="C883" s="548">
        <v>42391</v>
      </c>
      <c r="D883" s="550">
        <v>11</v>
      </c>
      <c r="E883" s="550">
        <v>11.22</v>
      </c>
      <c r="F883" s="550">
        <v>11.3</v>
      </c>
      <c r="G883" s="550">
        <v>10.92</v>
      </c>
      <c r="H883" s="551">
        <v>10.328773999999999</v>
      </c>
      <c r="I883" s="550">
        <v>733400</v>
      </c>
    </row>
    <row r="884" spans="1:9" x14ac:dyDescent="0.2">
      <c r="A884" s="549">
        <v>3630</v>
      </c>
      <c r="B884" s="549">
        <v>8</v>
      </c>
      <c r="C884" s="548">
        <v>42394</v>
      </c>
      <c r="D884" s="550">
        <v>11.22</v>
      </c>
      <c r="E884" s="550">
        <v>11.06</v>
      </c>
      <c r="F884" s="550">
        <v>11.25</v>
      </c>
      <c r="G884" s="550">
        <v>11.03</v>
      </c>
      <c r="H884" s="551">
        <v>10.181481</v>
      </c>
      <c r="I884" s="550">
        <v>457100</v>
      </c>
    </row>
    <row r="885" spans="1:9" x14ac:dyDescent="0.2">
      <c r="A885" s="549">
        <v>3631</v>
      </c>
      <c r="B885" s="549">
        <v>8</v>
      </c>
      <c r="C885" s="548">
        <v>42395</v>
      </c>
      <c r="D885" s="550">
        <v>11.19</v>
      </c>
      <c r="E885" s="550">
        <v>11.31</v>
      </c>
      <c r="F885" s="550">
        <v>11.45</v>
      </c>
      <c r="G885" s="550">
        <v>11.15</v>
      </c>
      <c r="H885" s="551">
        <v>10.411626</v>
      </c>
      <c r="I885" s="550">
        <v>1332900</v>
      </c>
    </row>
    <row r="886" spans="1:9" x14ac:dyDescent="0.2">
      <c r="A886" s="549">
        <v>3632</v>
      </c>
      <c r="B886" s="549">
        <v>8</v>
      </c>
      <c r="C886" s="548">
        <v>42396</v>
      </c>
      <c r="D886" s="550">
        <v>11.11</v>
      </c>
      <c r="E886" s="550">
        <v>11.11</v>
      </c>
      <c r="F886" s="550">
        <v>11.15</v>
      </c>
      <c r="G886" s="550">
        <v>10.85</v>
      </c>
      <c r="H886" s="551">
        <v>10.227510000000001</v>
      </c>
      <c r="I886" s="550">
        <v>1281800</v>
      </c>
    </row>
    <row r="887" spans="1:9" x14ac:dyDescent="0.2">
      <c r="A887" s="549">
        <v>3633</v>
      </c>
      <c r="B887" s="549">
        <v>8</v>
      </c>
      <c r="C887" s="548">
        <v>42397</v>
      </c>
      <c r="D887" s="550">
        <v>11.19</v>
      </c>
      <c r="E887" s="550">
        <v>11.44</v>
      </c>
      <c r="F887" s="550">
        <v>11.5</v>
      </c>
      <c r="G887" s="550">
        <v>11.12</v>
      </c>
      <c r="H887" s="551">
        <v>10.531298</v>
      </c>
      <c r="I887" s="550">
        <v>1042700</v>
      </c>
    </row>
    <row r="888" spans="1:9" x14ac:dyDescent="0.2">
      <c r="A888" s="549">
        <v>3634</v>
      </c>
      <c r="B888" s="549">
        <v>8</v>
      </c>
      <c r="C888" s="548">
        <v>42398</v>
      </c>
      <c r="D888" s="550">
        <v>11.5</v>
      </c>
      <c r="E888" s="550">
        <v>11.5</v>
      </c>
      <c r="F888" s="550">
        <v>11.61</v>
      </c>
      <c r="G888" s="550">
        <v>11.38</v>
      </c>
      <c r="H888" s="551">
        <v>10.586531000000001</v>
      </c>
      <c r="I888" s="550">
        <v>3780200</v>
      </c>
    </row>
    <row r="889" spans="1:9" x14ac:dyDescent="0.2">
      <c r="A889" s="549">
        <v>3635</v>
      </c>
      <c r="B889" s="549">
        <v>8</v>
      </c>
      <c r="C889" s="548">
        <v>42401</v>
      </c>
      <c r="D889" s="550">
        <v>11.57</v>
      </c>
      <c r="E889" s="550">
        <v>11.43</v>
      </c>
      <c r="F889" s="550">
        <v>11.58</v>
      </c>
      <c r="G889" s="550">
        <v>11.31</v>
      </c>
      <c r="H889" s="551">
        <v>10.522092000000001</v>
      </c>
      <c r="I889" s="550">
        <v>1114000</v>
      </c>
    </row>
    <row r="890" spans="1:9" x14ac:dyDescent="0.2">
      <c r="A890" s="549">
        <v>3636</v>
      </c>
      <c r="B890" s="549">
        <v>8</v>
      </c>
      <c r="C890" s="548">
        <v>42402</v>
      </c>
      <c r="D890" s="550">
        <v>11.38</v>
      </c>
      <c r="E890" s="550">
        <v>11.75</v>
      </c>
      <c r="F890" s="550">
        <v>11.78</v>
      </c>
      <c r="G890" s="550">
        <v>11.24</v>
      </c>
      <c r="H890" s="551">
        <v>10.816674000000001</v>
      </c>
      <c r="I890" s="550">
        <v>1144900</v>
      </c>
    </row>
    <row r="891" spans="1:9" x14ac:dyDescent="0.2">
      <c r="A891" s="549">
        <v>3637</v>
      </c>
      <c r="B891" s="549">
        <v>8</v>
      </c>
      <c r="C891" s="548">
        <v>42403</v>
      </c>
      <c r="D891" s="550">
        <v>11.79</v>
      </c>
      <c r="E891" s="550">
        <v>11.87</v>
      </c>
      <c r="F891" s="550">
        <v>11.94</v>
      </c>
      <c r="G891" s="550">
        <v>11.75</v>
      </c>
      <c r="H891" s="551">
        <v>10.927142</v>
      </c>
      <c r="I891" s="550">
        <v>1402800</v>
      </c>
    </row>
    <row r="892" spans="1:9" x14ac:dyDescent="0.2">
      <c r="A892" s="549">
        <v>3638</v>
      </c>
      <c r="B892" s="549">
        <v>8</v>
      </c>
      <c r="C892" s="548">
        <v>42404</v>
      </c>
      <c r="D892" s="550">
        <v>11.9</v>
      </c>
      <c r="E892" s="550">
        <v>11.93</v>
      </c>
      <c r="F892" s="550">
        <v>12.01</v>
      </c>
      <c r="G892" s="550">
        <v>11.81</v>
      </c>
      <c r="H892" s="551">
        <v>10.982377</v>
      </c>
      <c r="I892" s="550">
        <v>959700</v>
      </c>
    </row>
    <row r="893" spans="1:9" x14ac:dyDescent="0.2">
      <c r="A893" s="549">
        <v>3639</v>
      </c>
      <c r="B893" s="549">
        <v>8</v>
      </c>
      <c r="C893" s="548">
        <v>42405</v>
      </c>
      <c r="D893" s="550">
        <v>11.94</v>
      </c>
      <c r="E893" s="550">
        <v>11.98</v>
      </c>
      <c r="F893" s="550">
        <v>11.98</v>
      </c>
      <c r="G893" s="550">
        <v>11.86</v>
      </c>
      <c r="H893" s="551">
        <v>11.028404</v>
      </c>
      <c r="I893" s="550">
        <v>962000</v>
      </c>
    </row>
    <row r="894" spans="1:9" x14ac:dyDescent="0.2">
      <c r="A894" s="549">
        <v>3640</v>
      </c>
      <c r="B894" s="549">
        <v>8</v>
      </c>
      <c r="C894" s="548">
        <v>42408</v>
      </c>
      <c r="D894" s="550">
        <v>11.96</v>
      </c>
      <c r="E894" s="550">
        <v>11.84</v>
      </c>
      <c r="F894" s="550">
        <v>11.96</v>
      </c>
      <c r="G894" s="550">
        <v>11.8</v>
      </c>
      <c r="H894" s="551">
        <v>10.899525000000001</v>
      </c>
      <c r="I894" s="550">
        <v>550500</v>
      </c>
    </row>
    <row r="895" spans="1:9" x14ac:dyDescent="0.2">
      <c r="A895" s="549">
        <v>3641</v>
      </c>
      <c r="B895" s="549">
        <v>8</v>
      </c>
      <c r="C895" s="548">
        <v>42409</v>
      </c>
      <c r="D895" s="550">
        <v>11.8</v>
      </c>
      <c r="E895" s="550">
        <v>11.54</v>
      </c>
      <c r="F895" s="550">
        <v>11.82</v>
      </c>
      <c r="G895" s="550">
        <v>11.44</v>
      </c>
      <c r="H895" s="551">
        <v>10.623355</v>
      </c>
      <c r="I895" s="550">
        <v>552600</v>
      </c>
    </row>
    <row r="896" spans="1:9" x14ac:dyDescent="0.2">
      <c r="A896" s="549">
        <v>3642</v>
      </c>
      <c r="B896" s="549">
        <v>8</v>
      </c>
      <c r="C896" s="548">
        <v>42410</v>
      </c>
      <c r="D896" s="550">
        <v>10.58</v>
      </c>
      <c r="E896" s="550">
        <v>10.64</v>
      </c>
      <c r="F896" s="550">
        <v>10.7</v>
      </c>
      <c r="G896" s="550">
        <v>10.38</v>
      </c>
      <c r="H896" s="551">
        <v>9.7948439999999994</v>
      </c>
      <c r="I896" s="550">
        <v>2874600</v>
      </c>
    </row>
    <row r="897" spans="1:9" x14ac:dyDescent="0.2">
      <c r="A897" s="549">
        <v>3643</v>
      </c>
      <c r="B897" s="549">
        <v>8</v>
      </c>
      <c r="C897" s="548">
        <v>42411</v>
      </c>
      <c r="D897" s="550">
        <v>10.58</v>
      </c>
      <c r="E897" s="550">
        <v>10.55</v>
      </c>
      <c r="F897" s="550">
        <v>10.69</v>
      </c>
      <c r="G897" s="550">
        <v>10.51</v>
      </c>
      <c r="H897" s="551">
        <v>9.7119929999999997</v>
      </c>
      <c r="I897" s="550">
        <v>1256000</v>
      </c>
    </row>
    <row r="898" spans="1:9" x14ac:dyDescent="0.2">
      <c r="A898" s="549">
        <v>3644</v>
      </c>
      <c r="B898" s="549">
        <v>8</v>
      </c>
      <c r="C898" s="548">
        <v>42412</v>
      </c>
      <c r="D898" s="550">
        <v>10.59</v>
      </c>
      <c r="E898" s="550">
        <v>10.49</v>
      </c>
      <c r="F898" s="550">
        <v>10.63</v>
      </c>
      <c r="G898" s="550">
        <v>10.37</v>
      </c>
      <c r="H898" s="551">
        <v>9.656758</v>
      </c>
      <c r="I898" s="550">
        <v>923300</v>
      </c>
    </row>
    <row r="899" spans="1:9" x14ac:dyDescent="0.2">
      <c r="A899" s="549">
        <v>3645</v>
      </c>
      <c r="B899" s="549">
        <v>8</v>
      </c>
      <c r="C899" s="548">
        <v>42416</v>
      </c>
      <c r="D899" s="550">
        <v>10.6</v>
      </c>
      <c r="E899" s="550">
        <v>10.51</v>
      </c>
      <c r="F899" s="550">
        <v>10.65</v>
      </c>
      <c r="G899" s="550">
        <v>10.4</v>
      </c>
      <c r="H899" s="551">
        <v>9.6751690000000004</v>
      </c>
      <c r="I899" s="550">
        <v>553300</v>
      </c>
    </row>
    <row r="900" spans="1:9" x14ac:dyDescent="0.2">
      <c r="A900" s="549">
        <v>3646</v>
      </c>
      <c r="B900" s="549">
        <v>8</v>
      </c>
      <c r="C900" s="548">
        <v>42417</v>
      </c>
      <c r="D900" s="550">
        <v>10.6</v>
      </c>
      <c r="E900" s="550">
        <v>10.68</v>
      </c>
      <c r="F900" s="550">
        <v>10.8</v>
      </c>
      <c r="G900" s="550">
        <v>10.53</v>
      </c>
      <c r="H900" s="551">
        <v>9.8316660000000002</v>
      </c>
      <c r="I900" s="550">
        <v>1003900</v>
      </c>
    </row>
    <row r="901" spans="1:9" x14ac:dyDescent="0.2">
      <c r="A901" s="549">
        <v>3647</v>
      </c>
      <c r="B901" s="549">
        <v>8</v>
      </c>
      <c r="C901" s="548">
        <v>42418</v>
      </c>
      <c r="D901" s="550">
        <v>10.76</v>
      </c>
      <c r="E901" s="550">
        <v>10.69</v>
      </c>
      <c r="F901" s="550">
        <v>10.78</v>
      </c>
      <c r="G901" s="550">
        <v>10.59</v>
      </c>
      <c r="H901" s="551">
        <v>9.8408719999999992</v>
      </c>
      <c r="I901" s="550">
        <v>756000</v>
      </c>
    </row>
    <row r="902" spans="1:9" x14ac:dyDescent="0.2">
      <c r="A902" s="549">
        <v>3648</v>
      </c>
      <c r="B902" s="549">
        <v>8</v>
      </c>
      <c r="C902" s="548">
        <v>42419</v>
      </c>
      <c r="D902" s="550">
        <v>10.7</v>
      </c>
      <c r="E902" s="550">
        <v>10.55</v>
      </c>
      <c r="F902" s="550">
        <v>10.72</v>
      </c>
      <c r="G902" s="550">
        <v>10.5</v>
      </c>
      <c r="H902" s="551">
        <v>9.7119929999999997</v>
      </c>
      <c r="I902" s="550">
        <v>876900</v>
      </c>
    </row>
    <row r="903" spans="1:9" x14ac:dyDescent="0.2">
      <c r="A903" s="549">
        <v>3649</v>
      </c>
      <c r="B903" s="549">
        <v>8</v>
      </c>
      <c r="C903" s="548">
        <v>42422</v>
      </c>
      <c r="D903" s="550">
        <v>10.59</v>
      </c>
      <c r="E903" s="550">
        <v>10.59</v>
      </c>
      <c r="F903" s="550">
        <v>10.75</v>
      </c>
      <c r="G903" s="550">
        <v>10.56</v>
      </c>
      <c r="H903" s="551">
        <v>9.7488139999999994</v>
      </c>
      <c r="I903" s="550">
        <v>664600</v>
      </c>
    </row>
    <row r="904" spans="1:9" x14ac:dyDescent="0.2">
      <c r="A904" s="549">
        <v>3650</v>
      </c>
      <c r="B904" s="549">
        <v>8</v>
      </c>
      <c r="C904" s="548">
        <v>42423</v>
      </c>
      <c r="D904" s="550">
        <v>10.56</v>
      </c>
      <c r="E904" s="550">
        <v>10.46</v>
      </c>
      <c r="F904" s="550">
        <v>10.63</v>
      </c>
      <c r="G904" s="550">
        <v>10.43</v>
      </c>
      <c r="H904" s="551">
        <v>9.6291419999999999</v>
      </c>
      <c r="I904" s="550">
        <v>739700</v>
      </c>
    </row>
    <row r="905" spans="1:9" x14ac:dyDescent="0.2">
      <c r="A905" s="549">
        <v>3651</v>
      </c>
      <c r="B905" s="549">
        <v>8</v>
      </c>
      <c r="C905" s="548">
        <v>42424</v>
      </c>
      <c r="D905" s="550">
        <v>10.41</v>
      </c>
      <c r="E905" s="550">
        <v>10.4</v>
      </c>
      <c r="F905" s="550">
        <v>10.49</v>
      </c>
      <c r="G905" s="550">
        <v>10.35</v>
      </c>
      <c r="H905" s="551">
        <v>9.5739070000000002</v>
      </c>
      <c r="I905" s="550">
        <v>780800</v>
      </c>
    </row>
    <row r="906" spans="1:9" x14ac:dyDescent="0.2">
      <c r="A906" s="549">
        <v>3652</v>
      </c>
      <c r="B906" s="549">
        <v>8</v>
      </c>
      <c r="C906" s="548">
        <v>42425</v>
      </c>
      <c r="D906" s="550">
        <v>10.46</v>
      </c>
      <c r="E906" s="550">
        <v>10.52</v>
      </c>
      <c r="F906" s="550">
        <v>10.55</v>
      </c>
      <c r="G906" s="550">
        <v>10.37</v>
      </c>
      <c r="H906" s="551">
        <v>9.6843760000000003</v>
      </c>
      <c r="I906" s="550">
        <v>631200</v>
      </c>
    </row>
    <row r="907" spans="1:9" x14ac:dyDescent="0.2">
      <c r="A907" s="549">
        <v>3653</v>
      </c>
      <c r="B907" s="549">
        <v>8</v>
      </c>
      <c r="C907" s="548">
        <v>42426</v>
      </c>
      <c r="D907" s="550">
        <v>10.58</v>
      </c>
      <c r="E907" s="550">
        <v>10.41</v>
      </c>
      <c r="F907" s="550">
        <v>10.59</v>
      </c>
      <c r="G907" s="550">
        <v>10.36</v>
      </c>
      <c r="H907" s="551">
        <v>9.5831140000000001</v>
      </c>
      <c r="I907" s="550">
        <v>1074100</v>
      </c>
    </row>
    <row r="908" spans="1:9" x14ac:dyDescent="0.2">
      <c r="A908" s="549">
        <v>3654</v>
      </c>
      <c r="B908" s="549">
        <v>8</v>
      </c>
      <c r="C908" s="548">
        <v>42429</v>
      </c>
      <c r="D908" s="550">
        <v>10.46</v>
      </c>
      <c r="E908" s="550">
        <v>10.41</v>
      </c>
      <c r="F908" s="550">
        <v>10.5</v>
      </c>
      <c r="G908" s="550">
        <v>10.4</v>
      </c>
      <c r="H908" s="551">
        <v>9.5831140000000001</v>
      </c>
      <c r="I908" s="550">
        <v>1135400</v>
      </c>
    </row>
    <row r="909" spans="1:9" x14ac:dyDescent="0.2">
      <c r="A909" s="549">
        <v>3655</v>
      </c>
      <c r="B909" s="549">
        <v>8</v>
      </c>
      <c r="C909" s="548">
        <v>42430</v>
      </c>
      <c r="D909" s="550">
        <v>10.46</v>
      </c>
      <c r="E909" s="550">
        <v>10.68</v>
      </c>
      <c r="F909" s="550">
        <v>10.79</v>
      </c>
      <c r="G909" s="550">
        <v>10.3</v>
      </c>
      <c r="H909" s="551">
        <v>9.8316660000000002</v>
      </c>
      <c r="I909" s="550">
        <v>3537800</v>
      </c>
    </row>
    <row r="910" spans="1:9" x14ac:dyDescent="0.2">
      <c r="A910" s="549">
        <v>3656</v>
      </c>
      <c r="B910" s="549">
        <v>8</v>
      </c>
      <c r="C910" s="548">
        <v>42431</v>
      </c>
      <c r="D910" s="550">
        <v>10.76</v>
      </c>
      <c r="E910" s="550">
        <v>10.99</v>
      </c>
      <c r="F910" s="550">
        <v>11.03</v>
      </c>
      <c r="G910" s="550">
        <v>10.73</v>
      </c>
      <c r="H910" s="551">
        <v>10.117043000000001</v>
      </c>
      <c r="I910" s="550">
        <v>1697600</v>
      </c>
    </row>
    <row r="911" spans="1:9" x14ac:dyDescent="0.2">
      <c r="A911" s="549">
        <v>3657</v>
      </c>
      <c r="B911" s="549">
        <v>8</v>
      </c>
      <c r="C911" s="548">
        <v>42432</v>
      </c>
      <c r="D911" s="550">
        <v>11</v>
      </c>
      <c r="E911" s="550">
        <v>10.81</v>
      </c>
      <c r="F911" s="550">
        <v>11</v>
      </c>
      <c r="G911" s="550">
        <v>10.76</v>
      </c>
      <c r="H911" s="551">
        <v>9.9513409999999993</v>
      </c>
      <c r="I911" s="550">
        <v>1783000</v>
      </c>
    </row>
    <row r="912" spans="1:9" x14ac:dyDescent="0.2">
      <c r="A912" s="549">
        <v>3658</v>
      </c>
      <c r="B912" s="549">
        <v>8</v>
      </c>
      <c r="C912" s="548">
        <v>42433</v>
      </c>
      <c r="D912" s="550">
        <v>10.85</v>
      </c>
      <c r="E912" s="550">
        <v>10.79</v>
      </c>
      <c r="F912" s="550">
        <v>10.88</v>
      </c>
      <c r="G912" s="550">
        <v>10.76</v>
      </c>
      <c r="H912" s="551">
        <v>9.9329289999999997</v>
      </c>
      <c r="I912" s="550">
        <v>980000</v>
      </c>
    </row>
    <row r="913" spans="1:9" x14ac:dyDescent="0.2">
      <c r="A913" s="549">
        <v>3659</v>
      </c>
      <c r="B913" s="549">
        <v>8</v>
      </c>
      <c r="C913" s="548">
        <v>42436</v>
      </c>
      <c r="D913" s="550">
        <v>10.83</v>
      </c>
      <c r="E913" s="550">
        <v>10.87</v>
      </c>
      <c r="F913" s="550">
        <v>10.91</v>
      </c>
      <c r="G913" s="550">
        <v>10.77</v>
      </c>
      <c r="H913" s="551">
        <v>10.006575</v>
      </c>
      <c r="I913" s="550">
        <v>709600</v>
      </c>
    </row>
    <row r="914" spans="1:9" x14ac:dyDescent="0.2">
      <c r="A914" s="549">
        <v>3660</v>
      </c>
      <c r="B914" s="549">
        <v>8</v>
      </c>
      <c r="C914" s="548">
        <v>42437</v>
      </c>
      <c r="D914" s="550">
        <v>10.91</v>
      </c>
      <c r="E914" s="550">
        <v>10.85</v>
      </c>
      <c r="F914" s="550">
        <v>10.93</v>
      </c>
      <c r="G914" s="550">
        <v>10.79</v>
      </c>
      <c r="H914" s="551">
        <v>9.9881650000000004</v>
      </c>
      <c r="I914" s="550">
        <v>709700</v>
      </c>
    </row>
    <row r="915" spans="1:9" x14ac:dyDescent="0.2">
      <c r="A915" s="549">
        <v>3661</v>
      </c>
      <c r="B915" s="549">
        <v>8</v>
      </c>
      <c r="C915" s="548">
        <v>42438</v>
      </c>
      <c r="D915" s="550">
        <v>10.94</v>
      </c>
      <c r="E915" s="550">
        <v>10.85</v>
      </c>
      <c r="F915" s="550">
        <v>10.94</v>
      </c>
      <c r="G915" s="550">
        <v>10.81</v>
      </c>
      <c r="H915" s="551">
        <v>9.9881650000000004</v>
      </c>
      <c r="I915" s="550">
        <v>791600</v>
      </c>
    </row>
    <row r="916" spans="1:9" x14ac:dyDescent="0.2">
      <c r="A916" s="549">
        <v>3662</v>
      </c>
      <c r="B916" s="549">
        <v>8</v>
      </c>
      <c r="C916" s="548">
        <v>42439</v>
      </c>
      <c r="D916" s="550">
        <v>10.87</v>
      </c>
      <c r="E916" s="550">
        <v>10.81</v>
      </c>
      <c r="F916" s="550">
        <v>10.94</v>
      </c>
      <c r="G916" s="550">
        <v>10.81</v>
      </c>
      <c r="H916" s="551">
        <v>9.9513409999999993</v>
      </c>
      <c r="I916" s="550">
        <v>962600</v>
      </c>
    </row>
    <row r="917" spans="1:9" x14ac:dyDescent="0.2">
      <c r="A917" s="549">
        <v>3663</v>
      </c>
      <c r="B917" s="549">
        <v>8</v>
      </c>
      <c r="C917" s="548">
        <v>42440</v>
      </c>
      <c r="D917" s="550">
        <v>11.07</v>
      </c>
      <c r="E917" s="550">
        <v>10.88</v>
      </c>
      <c r="F917" s="550">
        <v>11.07</v>
      </c>
      <c r="G917" s="550">
        <v>10.79</v>
      </c>
      <c r="H917" s="551">
        <v>10.136461000000001</v>
      </c>
      <c r="I917" s="550">
        <v>1873300</v>
      </c>
    </row>
    <row r="918" spans="1:9" x14ac:dyDescent="0.2">
      <c r="A918" s="549">
        <v>3664</v>
      </c>
      <c r="B918" s="549">
        <v>8</v>
      </c>
      <c r="C918" s="548">
        <v>42443</v>
      </c>
      <c r="D918" s="550">
        <v>10.92</v>
      </c>
      <c r="E918" s="550">
        <v>10.9</v>
      </c>
      <c r="F918" s="550">
        <v>10.94</v>
      </c>
      <c r="G918" s="550">
        <v>10.81</v>
      </c>
      <c r="H918" s="551">
        <v>10.155094</v>
      </c>
      <c r="I918" s="550">
        <v>902300</v>
      </c>
    </row>
    <row r="919" spans="1:9" x14ac:dyDescent="0.2">
      <c r="A919" s="549">
        <v>3665</v>
      </c>
      <c r="B919" s="549">
        <v>8</v>
      </c>
      <c r="C919" s="548">
        <v>42444</v>
      </c>
      <c r="D919" s="550">
        <v>10.9</v>
      </c>
      <c r="E919" s="550">
        <v>10.91</v>
      </c>
      <c r="F919" s="550">
        <v>11</v>
      </c>
      <c r="G919" s="550">
        <v>10.85</v>
      </c>
      <c r="H919" s="551">
        <v>10.16441</v>
      </c>
      <c r="I919" s="550">
        <v>1154500</v>
      </c>
    </row>
    <row r="920" spans="1:9" x14ac:dyDescent="0.2">
      <c r="A920" s="549">
        <v>3666</v>
      </c>
      <c r="B920" s="549">
        <v>8</v>
      </c>
      <c r="C920" s="548">
        <v>42445</v>
      </c>
      <c r="D920" s="550">
        <v>11</v>
      </c>
      <c r="E920" s="550">
        <v>10.96</v>
      </c>
      <c r="F920" s="550">
        <v>11</v>
      </c>
      <c r="G920" s="550">
        <v>10.94</v>
      </c>
      <c r="H920" s="551">
        <v>10.210993999999999</v>
      </c>
      <c r="I920" s="550">
        <v>1576400</v>
      </c>
    </row>
    <row r="921" spans="1:9" x14ac:dyDescent="0.2">
      <c r="A921" s="549">
        <v>3667</v>
      </c>
      <c r="B921" s="549">
        <v>8</v>
      </c>
      <c r="C921" s="548">
        <v>42446</v>
      </c>
      <c r="D921" s="550">
        <v>11</v>
      </c>
      <c r="E921" s="550">
        <v>10.85</v>
      </c>
      <c r="F921" s="550">
        <v>11.04</v>
      </c>
      <c r="G921" s="550">
        <v>10.85</v>
      </c>
      <c r="H921" s="551">
        <v>10.108511</v>
      </c>
      <c r="I921" s="550">
        <v>1428300</v>
      </c>
    </row>
    <row r="922" spans="1:9" x14ac:dyDescent="0.2">
      <c r="A922" s="549">
        <v>3668</v>
      </c>
      <c r="B922" s="549">
        <v>8</v>
      </c>
      <c r="C922" s="548">
        <v>42447</v>
      </c>
      <c r="D922" s="550">
        <v>10.93</v>
      </c>
      <c r="E922" s="550">
        <v>10.77</v>
      </c>
      <c r="F922" s="550">
        <v>10.96</v>
      </c>
      <c r="G922" s="550">
        <v>10.76</v>
      </c>
      <c r="H922" s="551">
        <v>10.033979</v>
      </c>
      <c r="I922" s="550">
        <v>2455100</v>
      </c>
    </row>
    <row r="923" spans="1:9" x14ac:dyDescent="0.2">
      <c r="A923" s="549">
        <v>3669</v>
      </c>
      <c r="B923" s="549">
        <v>8</v>
      </c>
      <c r="C923" s="548">
        <v>42450</v>
      </c>
      <c r="D923" s="550">
        <v>10.8</v>
      </c>
      <c r="E923" s="550">
        <v>10.83</v>
      </c>
      <c r="F923" s="550">
        <v>10.85</v>
      </c>
      <c r="G923" s="550">
        <v>10.78</v>
      </c>
      <c r="H923" s="551">
        <v>10.089877</v>
      </c>
      <c r="I923" s="550">
        <v>652500</v>
      </c>
    </row>
    <row r="924" spans="1:9" x14ac:dyDescent="0.2">
      <c r="A924" s="549">
        <v>3670</v>
      </c>
      <c r="B924" s="549">
        <v>8</v>
      </c>
      <c r="C924" s="548">
        <v>42451</v>
      </c>
      <c r="D924" s="550">
        <v>10.8</v>
      </c>
      <c r="E924" s="550">
        <v>10.7</v>
      </c>
      <c r="F924" s="550">
        <v>10.83</v>
      </c>
      <c r="G924" s="550">
        <v>10.68</v>
      </c>
      <c r="H924" s="551">
        <v>9.9687619999999999</v>
      </c>
      <c r="I924" s="550">
        <v>1011100</v>
      </c>
    </row>
    <row r="925" spans="1:9" x14ac:dyDescent="0.2">
      <c r="A925" s="549">
        <v>3671</v>
      </c>
      <c r="B925" s="549">
        <v>8</v>
      </c>
      <c r="C925" s="548">
        <v>42452</v>
      </c>
      <c r="D925" s="550">
        <v>10.72</v>
      </c>
      <c r="E925" s="550">
        <v>10.81</v>
      </c>
      <c r="F925" s="550">
        <v>10.85</v>
      </c>
      <c r="G925" s="550">
        <v>10.72</v>
      </c>
      <c r="H925" s="551">
        <v>10.071246</v>
      </c>
      <c r="I925" s="550">
        <v>773700</v>
      </c>
    </row>
    <row r="926" spans="1:9" x14ac:dyDescent="0.2">
      <c r="A926" s="549">
        <v>3672</v>
      </c>
      <c r="B926" s="549">
        <v>8</v>
      </c>
      <c r="C926" s="548">
        <v>42453</v>
      </c>
      <c r="D926" s="550">
        <v>10.79</v>
      </c>
      <c r="E926" s="550">
        <v>10.78</v>
      </c>
      <c r="F926" s="550">
        <v>10.8</v>
      </c>
      <c r="G926" s="550">
        <v>10.73</v>
      </c>
      <c r="H926" s="551">
        <v>10.043293999999999</v>
      </c>
      <c r="I926" s="550">
        <v>387400</v>
      </c>
    </row>
    <row r="927" spans="1:9" x14ac:dyDescent="0.2">
      <c r="A927" s="549">
        <v>3673</v>
      </c>
      <c r="B927" s="549">
        <v>8</v>
      </c>
      <c r="C927" s="548">
        <v>42457</v>
      </c>
      <c r="D927" s="550">
        <v>10.83</v>
      </c>
      <c r="E927" s="550">
        <v>10.86</v>
      </c>
      <c r="F927" s="550">
        <v>10.92</v>
      </c>
      <c r="G927" s="550">
        <v>10.78</v>
      </c>
      <c r="H927" s="551">
        <v>10.117827999999999</v>
      </c>
      <c r="I927" s="550">
        <v>367900</v>
      </c>
    </row>
    <row r="928" spans="1:9" x14ac:dyDescent="0.2">
      <c r="A928" s="549">
        <v>3674</v>
      </c>
      <c r="B928" s="549">
        <v>8</v>
      </c>
      <c r="C928" s="548">
        <v>42458</v>
      </c>
      <c r="D928" s="550">
        <v>10.78</v>
      </c>
      <c r="E928" s="550">
        <v>10.78</v>
      </c>
      <c r="F928" s="550">
        <v>10.83</v>
      </c>
      <c r="G928" s="550">
        <v>10.73</v>
      </c>
      <c r="H928" s="551">
        <v>10.163743999999999</v>
      </c>
      <c r="I928" s="550">
        <v>618800</v>
      </c>
    </row>
    <row r="929" spans="1:9" x14ac:dyDescent="0.2">
      <c r="A929" s="549">
        <v>3675</v>
      </c>
      <c r="B929" s="549">
        <v>8</v>
      </c>
      <c r="C929" s="548">
        <v>42459</v>
      </c>
      <c r="D929" s="550">
        <v>10.85</v>
      </c>
      <c r="E929" s="550">
        <v>10.85</v>
      </c>
      <c r="F929" s="550">
        <v>10.92</v>
      </c>
      <c r="G929" s="550">
        <v>10.82</v>
      </c>
      <c r="H929" s="551">
        <v>10.229742999999999</v>
      </c>
      <c r="I929" s="550">
        <v>730600</v>
      </c>
    </row>
    <row r="930" spans="1:9" x14ac:dyDescent="0.2">
      <c r="A930" s="549">
        <v>3676</v>
      </c>
      <c r="B930" s="549">
        <v>8</v>
      </c>
      <c r="C930" s="548">
        <v>42460</v>
      </c>
      <c r="D930" s="550">
        <v>10.88</v>
      </c>
      <c r="E930" s="550">
        <v>10.87</v>
      </c>
      <c r="F930" s="550">
        <v>10.93</v>
      </c>
      <c r="G930" s="550">
        <v>10.84</v>
      </c>
      <c r="H930" s="551">
        <v>10.2486</v>
      </c>
      <c r="I930" s="550">
        <v>825100</v>
      </c>
    </row>
    <row r="931" spans="1:9" x14ac:dyDescent="0.2">
      <c r="A931" s="549">
        <v>3677</v>
      </c>
      <c r="B931" s="549">
        <v>8</v>
      </c>
      <c r="C931" s="548">
        <v>42461</v>
      </c>
      <c r="D931" s="550">
        <v>10.86</v>
      </c>
      <c r="E931" s="550">
        <v>10.88</v>
      </c>
      <c r="F931" s="550">
        <v>10.92</v>
      </c>
      <c r="G931" s="550">
        <v>10.81</v>
      </c>
      <c r="H931" s="551">
        <v>10.258027</v>
      </c>
      <c r="I931" s="550">
        <v>281700</v>
      </c>
    </row>
    <row r="932" spans="1:9" x14ac:dyDescent="0.2">
      <c r="A932" s="549">
        <v>3678</v>
      </c>
      <c r="B932" s="549">
        <v>8</v>
      </c>
      <c r="C932" s="548">
        <v>42464</v>
      </c>
      <c r="D932" s="550">
        <v>10.9</v>
      </c>
      <c r="E932" s="550">
        <v>10.86</v>
      </c>
      <c r="F932" s="550">
        <v>10.91</v>
      </c>
      <c r="G932" s="550">
        <v>10.84</v>
      </c>
      <c r="H932" s="551">
        <v>10.23917</v>
      </c>
      <c r="I932" s="550">
        <v>633900</v>
      </c>
    </row>
    <row r="933" spans="1:9" x14ac:dyDescent="0.2">
      <c r="A933" s="549">
        <v>3679</v>
      </c>
      <c r="B933" s="549">
        <v>8</v>
      </c>
      <c r="C933" s="548">
        <v>42465</v>
      </c>
      <c r="D933" s="550">
        <v>10.85</v>
      </c>
      <c r="E933" s="550">
        <v>10.73</v>
      </c>
      <c r="F933" s="550">
        <v>10.85</v>
      </c>
      <c r="G933" s="550">
        <v>10.72</v>
      </c>
      <c r="H933" s="551">
        <v>10.116600999999999</v>
      </c>
      <c r="I933" s="550">
        <v>632000</v>
      </c>
    </row>
    <row r="934" spans="1:9" x14ac:dyDescent="0.2">
      <c r="A934" s="549">
        <v>3680</v>
      </c>
      <c r="B934" s="549">
        <v>8</v>
      </c>
      <c r="C934" s="548">
        <v>42466</v>
      </c>
      <c r="D934" s="550">
        <v>10.79</v>
      </c>
      <c r="E934" s="550">
        <v>10.72</v>
      </c>
      <c r="F934" s="550">
        <v>10.79</v>
      </c>
      <c r="G934" s="550">
        <v>10.65</v>
      </c>
      <c r="H934" s="551">
        <v>10.107174000000001</v>
      </c>
      <c r="I934" s="550">
        <v>466900</v>
      </c>
    </row>
    <row r="935" spans="1:9" x14ac:dyDescent="0.2">
      <c r="A935" s="549">
        <v>3681</v>
      </c>
      <c r="B935" s="549">
        <v>8</v>
      </c>
      <c r="C935" s="548">
        <v>42467</v>
      </c>
      <c r="D935" s="550">
        <v>10.72</v>
      </c>
      <c r="E935" s="550">
        <v>10.73</v>
      </c>
      <c r="F935" s="550">
        <v>10.76</v>
      </c>
      <c r="G935" s="550">
        <v>10.69</v>
      </c>
      <c r="H935" s="551">
        <v>10.116600999999999</v>
      </c>
      <c r="I935" s="550">
        <v>300500</v>
      </c>
    </row>
    <row r="936" spans="1:9" x14ac:dyDescent="0.2">
      <c r="A936" s="549">
        <v>3682</v>
      </c>
      <c r="B936" s="549">
        <v>8</v>
      </c>
      <c r="C936" s="548">
        <v>42468</v>
      </c>
      <c r="D936" s="550">
        <v>10.79</v>
      </c>
      <c r="E936" s="550">
        <v>10.77</v>
      </c>
      <c r="F936" s="550">
        <v>10.9</v>
      </c>
      <c r="G936" s="550">
        <v>10.72</v>
      </c>
      <c r="H936" s="551">
        <v>10.154316</v>
      </c>
      <c r="I936" s="550">
        <v>990400</v>
      </c>
    </row>
    <row r="937" spans="1:9" x14ac:dyDescent="0.2">
      <c r="A937" s="549">
        <v>3683</v>
      </c>
      <c r="B937" s="549">
        <v>8</v>
      </c>
      <c r="C937" s="548">
        <v>42471</v>
      </c>
      <c r="D937" s="550">
        <v>10.83</v>
      </c>
      <c r="E937" s="550">
        <v>10.71</v>
      </c>
      <c r="F937" s="550">
        <v>10.83</v>
      </c>
      <c r="G937" s="550">
        <v>10.66</v>
      </c>
      <c r="H937" s="551">
        <v>10.097746000000001</v>
      </c>
      <c r="I937" s="550">
        <v>559000</v>
      </c>
    </row>
    <row r="938" spans="1:9" x14ac:dyDescent="0.2">
      <c r="A938" s="549">
        <v>3684</v>
      </c>
      <c r="B938" s="549">
        <v>8</v>
      </c>
      <c r="C938" s="548">
        <v>42472</v>
      </c>
      <c r="D938" s="550">
        <v>10.76</v>
      </c>
      <c r="E938" s="550">
        <v>10.63</v>
      </c>
      <c r="F938" s="550">
        <v>10.76</v>
      </c>
      <c r="G938" s="550">
        <v>10.58</v>
      </c>
      <c r="H938" s="551">
        <v>10.022320000000001</v>
      </c>
      <c r="I938" s="550">
        <v>699100</v>
      </c>
    </row>
    <row r="939" spans="1:9" x14ac:dyDescent="0.2">
      <c r="A939" s="549">
        <v>3685</v>
      </c>
      <c r="B939" s="549">
        <v>8</v>
      </c>
      <c r="C939" s="548">
        <v>42473</v>
      </c>
      <c r="D939" s="550">
        <v>10.65</v>
      </c>
      <c r="E939" s="550">
        <v>10.76</v>
      </c>
      <c r="F939" s="550">
        <v>10.79</v>
      </c>
      <c r="G939" s="550">
        <v>10.61</v>
      </c>
      <c r="H939" s="551">
        <v>10.144887000000001</v>
      </c>
      <c r="I939" s="550">
        <v>565200</v>
      </c>
    </row>
    <row r="940" spans="1:9" x14ac:dyDescent="0.2">
      <c r="A940" s="549">
        <v>3686</v>
      </c>
      <c r="B940" s="549">
        <v>8</v>
      </c>
      <c r="C940" s="548">
        <v>42474</v>
      </c>
      <c r="D940" s="550">
        <v>10.78</v>
      </c>
      <c r="E940" s="550">
        <v>10.69</v>
      </c>
      <c r="F940" s="550">
        <v>10.78</v>
      </c>
      <c r="G940" s="550">
        <v>10.6</v>
      </c>
      <c r="H940" s="551">
        <v>10.078889</v>
      </c>
      <c r="I940" s="550">
        <v>650100</v>
      </c>
    </row>
    <row r="941" spans="1:9" x14ac:dyDescent="0.2">
      <c r="A941" s="549">
        <v>3687</v>
      </c>
      <c r="B941" s="549">
        <v>8</v>
      </c>
      <c r="C941" s="548">
        <v>42475</v>
      </c>
      <c r="D941" s="550">
        <v>10.71</v>
      </c>
      <c r="E941" s="550">
        <v>10.71</v>
      </c>
      <c r="F941" s="550">
        <v>10.75</v>
      </c>
      <c r="G941" s="550">
        <v>10.64</v>
      </c>
      <c r="H941" s="551">
        <v>10.097746000000001</v>
      </c>
      <c r="I941" s="550">
        <v>330000</v>
      </c>
    </row>
    <row r="942" spans="1:9" x14ac:dyDescent="0.2">
      <c r="A942" s="549">
        <v>3688</v>
      </c>
      <c r="B942" s="549">
        <v>8</v>
      </c>
      <c r="C942" s="548">
        <v>42478</v>
      </c>
      <c r="D942" s="550">
        <v>10.73</v>
      </c>
      <c r="E942" s="550">
        <v>10.76</v>
      </c>
      <c r="F942" s="550">
        <v>10.81</v>
      </c>
      <c r="G942" s="550">
        <v>10.71</v>
      </c>
      <c r="H942" s="551">
        <v>10.144887000000001</v>
      </c>
      <c r="I942" s="550">
        <v>450800</v>
      </c>
    </row>
    <row r="943" spans="1:9" x14ac:dyDescent="0.2">
      <c r="A943" s="549">
        <v>3689</v>
      </c>
      <c r="B943" s="549">
        <v>8</v>
      </c>
      <c r="C943" s="548">
        <v>42479</v>
      </c>
      <c r="D943" s="550">
        <v>10.81</v>
      </c>
      <c r="E943" s="550">
        <v>10.75</v>
      </c>
      <c r="F943" s="550">
        <v>10.83</v>
      </c>
      <c r="G943" s="550">
        <v>10.72</v>
      </c>
      <c r="H943" s="551">
        <v>10.135459000000001</v>
      </c>
      <c r="I943" s="550">
        <v>377000</v>
      </c>
    </row>
    <row r="944" spans="1:9" x14ac:dyDescent="0.2">
      <c r="A944" s="549">
        <v>3690</v>
      </c>
      <c r="B944" s="549">
        <v>8</v>
      </c>
      <c r="C944" s="548">
        <v>42480</v>
      </c>
      <c r="D944" s="550">
        <v>10.78</v>
      </c>
      <c r="E944" s="550">
        <v>10.69</v>
      </c>
      <c r="F944" s="550">
        <v>10.78</v>
      </c>
      <c r="G944" s="550">
        <v>10.67</v>
      </c>
      <c r="H944" s="551">
        <v>10.078889</v>
      </c>
      <c r="I944" s="550">
        <v>998300</v>
      </c>
    </row>
    <row r="945" spans="1:9" x14ac:dyDescent="0.2">
      <c r="A945" s="549">
        <v>3691</v>
      </c>
      <c r="B945" s="549">
        <v>8</v>
      </c>
      <c r="C945" s="548">
        <v>42481</v>
      </c>
      <c r="D945" s="550">
        <v>10.71</v>
      </c>
      <c r="E945" s="550">
        <v>10.72</v>
      </c>
      <c r="F945" s="550">
        <v>10.74</v>
      </c>
      <c r="G945" s="550">
        <v>10.63</v>
      </c>
      <c r="H945" s="551">
        <v>10.107174000000001</v>
      </c>
      <c r="I945" s="550">
        <v>431400</v>
      </c>
    </row>
    <row r="946" spans="1:9" x14ac:dyDescent="0.2">
      <c r="A946" s="549">
        <v>3692</v>
      </c>
      <c r="B946" s="549">
        <v>8</v>
      </c>
      <c r="C946" s="548">
        <v>42482</v>
      </c>
      <c r="D946" s="550">
        <v>10.75</v>
      </c>
      <c r="E946" s="550">
        <v>10.67</v>
      </c>
      <c r="F946" s="550">
        <v>10.79</v>
      </c>
      <c r="G946" s="550">
        <v>10.64</v>
      </c>
      <c r="H946" s="551">
        <v>10.060033000000001</v>
      </c>
      <c r="I946" s="550">
        <v>585700</v>
      </c>
    </row>
    <row r="947" spans="1:9" x14ac:dyDescent="0.2">
      <c r="A947" s="549">
        <v>3693</v>
      </c>
      <c r="B947" s="549">
        <v>8</v>
      </c>
      <c r="C947" s="548">
        <v>42485</v>
      </c>
      <c r="D947" s="550">
        <v>10.7</v>
      </c>
      <c r="E947" s="550">
        <v>10.82</v>
      </c>
      <c r="F947" s="550">
        <v>10.83</v>
      </c>
      <c r="G947" s="550">
        <v>10.65</v>
      </c>
      <c r="H947" s="551">
        <v>10.201457</v>
      </c>
      <c r="I947" s="550">
        <v>466100</v>
      </c>
    </row>
    <row r="948" spans="1:9" x14ac:dyDescent="0.2">
      <c r="A948" s="549">
        <v>3694</v>
      </c>
      <c r="B948" s="549">
        <v>8</v>
      </c>
      <c r="C948" s="548">
        <v>42486</v>
      </c>
      <c r="D948" s="550">
        <v>10.83</v>
      </c>
      <c r="E948" s="550">
        <v>10.87</v>
      </c>
      <c r="F948" s="550">
        <v>10.87</v>
      </c>
      <c r="G948" s="550">
        <v>10.8</v>
      </c>
      <c r="H948" s="551">
        <v>10.2486</v>
      </c>
      <c r="I948" s="550">
        <v>616800</v>
      </c>
    </row>
    <row r="949" spans="1:9" x14ac:dyDescent="0.2">
      <c r="A949" s="549">
        <v>3695</v>
      </c>
      <c r="B949" s="549">
        <v>8</v>
      </c>
      <c r="C949" s="548">
        <v>42487</v>
      </c>
      <c r="D949" s="550">
        <v>10.85</v>
      </c>
      <c r="E949" s="550">
        <v>10.88</v>
      </c>
      <c r="F949" s="550">
        <v>10.93</v>
      </c>
      <c r="G949" s="550">
        <v>10.81</v>
      </c>
      <c r="H949" s="551">
        <v>10.258027</v>
      </c>
      <c r="I949" s="550">
        <v>533600</v>
      </c>
    </row>
    <row r="950" spans="1:9" x14ac:dyDescent="0.2">
      <c r="A950" s="549">
        <v>3696</v>
      </c>
      <c r="B950" s="549">
        <v>8</v>
      </c>
      <c r="C950" s="548">
        <v>42488</v>
      </c>
      <c r="D950" s="550">
        <v>10.86</v>
      </c>
      <c r="E950" s="550">
        <v>10.93</v>
      </c>
      <c r="F950" s="550">
        <v>10.96</v>
      </c>
      <c r="G950" s="550">
        <v>10.85</v>
      </c>
      <c r="H950" s="551">
        <v>10.305168</v>
      </c>
      <c r="I950" s="550">
        <v>403500</v>
      </c>
    </row>
    <row r="951" spans="1:9" x14ac:dyDescent="0.2">
      <c r="A951" s="549">
        <v>3697</v>
      </c>
      <c r="B951" s="549">
        <v>8</v>
      </c>
      <c r="C951" s="548">
        <v>42489</v>
      </c>
      <c r="D951" s="550">
        <v>10.94</v>
      </c>
      <c r="E951" s="550">
        <v>10.96</v>
      </c>
      <c r="F951" s="550">
        <v>10.97</v>
      </c>
      <c r="G951" s="550">
        <v>10.85</v>
      </c>
      <c r="H951" s="551">
        <v>10.333453</v>
      </c>
      <c r="I951" s="550">
        <v>1121500</v>
      </c>
    </row>
    <row r="952" spans="1:9" x14ac:dyDescent="0.2">
      <c r="A952" s="549">
        <v>3698</v>
      </c>
      <c r="B952" s="549">
        <v>8</v>
      </c>
      <c r="C952" s="548">
        <v>42492</v>
      </c>
      <c r="D952" s="550">
        <v>10.96</v>
      </c>
      <c r="E952" s="550">
        <v>11.03</v>
      </c>
      <c r="F952" s="550">
        <v>11.06</v>
      </c>
      <c r="G952" s="550">
        <v>10.93</v>
      </c>
      <c r="H952" s="551">
        <v>10.399452999999999</v>
      </c>
      <c r="I952" s="550">
        <v>549500</v>
      </c>
    </row>
    <row r="953" spans="1:9" x14ac:dyDescent="0.2">
      <c r="A953" s="549">
        <v>3699</v>
      </c>
      <c r="B953" s="549">
        <v>8</v>
      </c>
      <c r="C953" s="548">
        <v>42493</v>
      </c>
      <c r="D953" s="550">
        <v>11.03</v>
      </c>
      <c r="E953" s="550">
        <v>11.08</v>
      </c>
      <c r="F953" s="550">
        <v>11.14</v>
      </c>
      <c r="G953" s="550">
        <v>10.91</v>
      </c>
      <c r="H953" s="551">
        <v>10.446593</v>
      </c>
      <c r="I953" s="550">
        <v>838300</v>
      </c>
    </row>
    <row r="954" spans="1:9" x14ac:dyDescent="0.2">
      <c r="A954" s="549">
        <v>3700</v>
      </c>
      <c r="B954" s="549">
        <v>8</v>
      </c>
      <c r="C954" s="548">
        <v>42494</v>
      </c>
      <c r="D954" s="550">
        <v>11.07</v>
      </c>
      <c r="E954" s="550">
        <v>11.15</v>
      </c>
      <c r="F954" s="550">
        <v>11.27</v>
      </c>
      <c r="G954" s="550">
        <v>10.99</v>
      </c>
      <c r="H954" s="551">
        <v>10.512591</v>
      </c>
      <c r="I954" s="550">
        <v>869100</v>
      </c>
    </row>
    <row r="955" spans="1:9" x14ac:dyDescent="0.2">
      <c r="A955" s="549">
        <v>3701</v>
      </c>
      <c r="B955" s="549">
        <v>8</v>
      </c>
      <c r="C955" s="548">
        <v>42495</v>
      </c>
      <c r="D955" s="550">
        <v>11.19</v>
      </c>
      <c r="E955" s="550">
        <v>11.23</v>
      </c>
      <c r="F955" s="550">
        <v>11.28</v>
      </c>
      <c r="G955" s="550">
        <v>11.18</v>
      </c>
      <c r="H955" s="551">
        <v>10.588018999999999</v>
      </c>
      <c r="I955" s="550">
        <v>425000</v>
      </c>
    </row>
    <row r="956" spans="1:9" x14ac:dyDescent="0.2">
      <c r="A956" s="549">
        <v>3702</v>
      </c>
      <c r="B956" s="549">
        <v>8</v>
      </c>
      <c r="C956" s="548">
        <v>42496</v>
      </c>
      <c r="D956" s="550">
        <v>11.23</v>
      </c>
      <c r="E956" s="550">
        <v>11.24</v>
      </c>
      <c r="F956" s="550">
        <v>11.3</v>
      </c>
      <c r="G956" s="550">
        <v>11.17</v>
      </c>
      <c r="H956" s="551">
        <v>10.597447000000001</v>
      </c>
      <c r="I956" s="550">
        <v>460700</v>
      </c>
    </row>
    <row r="957" spans="1:9" x14ac:dyDescent="0.2">
      <c r="A957" s="549">
        <v>3703</v>
      </c>
      <c r="B957" s="549">
        <v>8</v>
      </c>
      <c r="C957" s="548">
        <v>42499</v>
      </c>
      <c r="D957" s="550">
        <v>11.27</v>
      </c>
      <c r="E957" s="550">
        <v>11.2</v>
      </c>
      <c r="F957" s="550">
        <v>11.27</v>
      </c>
      <c r="G957" s="550">
        <v>11.19</v>
      </c>
      <c r="H957" s="551">
        <v>10.559733</v>
      </c>
      <c r="I957" s="550">
        <v>316600</v>
      </c>
    </row>
    <row r="958" spans="1:9" x14ac:dyDescent="0.2">
      <c r="A958" s="549">
        <v>3704</v>
      </c>
      <c r="B958" s="549">
        <v>8</v>
      </c>
      <c r="C958" s="548">
        <v>42500</v>
      </c>
      <c r="D958" s="550">
        <v>11.24</v>
      </c>
      <c r="E958" s="550">
        <v>11.3</v>
      </c>
      <c r="F958" s="550">
        <v>11.31</v>
      </c>
      <c r="G958" s="550">
        <v>11.2</v>
      </c>
      <c r="H958" s="551">
        <v>10.654018000000001</v>
      </c>
      <c r="I958" s="550">
        <v>686000</v>
      </c>
    </row>
    <row r="959" spans="1:9" x14ac:dyDescent="0.2">
      <c r="A959" s="549">
        <v>3705</v>
      </c>
      <c r="B959" s="549">
        <v>8</v>
      </c>
      <c r="C959" s="548">
        <v>42501</v>
      </c>
      <c r="D959" s="550">
        <v>11.3</v>
      </c>
      <c r="E959" s="550">
        <v>11.37</v>
      </c>
      <c r="F959" s="550">
        <v>11.43</v>
      </c>
      <c r="G959" s="550">
        <v>11.29</v>
      </c>
      <c r="H959" s="551">
        <v>10.720015999999999</v>
      </c>
      <c r="I959" s="550">
        <v>623600</v>
      </c>
    </row>
    <row r="960" spans="1:9" x14ac:dyDescent="0.2">
      <c r="A960" s="549">
        <v>3706</v>
      </c>
      <c r="B960" s="549">
        <v>8</v>
      </c>
      <c r="C960" s="548">
        <v>42502</v>
      </c>
      <c r="D960" s="550">
        <v>11.44</v>
      </c>
      <c r="E960" s="550">
        <v>11.39</v>
      </c>
      <c r="F960" s="550">
        <v>11.44</v>
      </c>
      <c r="G960" s="550">
        <v>11.33</v>
      </c>
      <c r="H960" s="551">
        <v>10.738873</v>
      </c>
      <c r="I960" s="550">
        <v>480900</v>
      </c>
    </row>
    <row r="961" spans="1:9" x14ac:dyDescent="0.2">
      <c r="A961" s="549">
        <v>3707</v>
      </c>
      <c r="B961" s="549">
        <v>8</v>
      </c>
      <c r="C961" s="548">
        <v>42503</v>
      </c>
      <c r="D961" s="550">
        <v>11.49</v>
      </c>
      <c r="E961" s="550">
        <v>11.44</v>
      </c>
      <c r="F961" s="550">
        <v>11.53</v>
      </c>
      <c r="G961" s="550">
        <v>11.4</v>
      </c>
      <c r="H961" s="551">
        <v>10.786013000000001</v>
      </c>
      <c r="I961" s="550">
        <v>1074300</v>
      </c>
    </row>
    <row r="962" spans="1:9" x14ac:dyDescent="0.2">
      <c r="A962" s="549">
        <v>3708</v>
      </c>
      <c r="B962" s="549">
        <v>8</v>
      </c>
      <c r="C962" s="548">
        <v>42506</v>
      </c>
      <c r="D962" s="550">
        <v>11.49</v>
      </c>
      <c r="E962" s="550">
        <v>11.38</v>
      </c>
      <c r="F962" s="550">
        <v>11.52</v>
      </c>
      <c r="G962" s="550">
        <v>11.34</v>
      </c>
      <c r="H962" s="551">
        <v>10.729445</v>
      </c>
      <c r="I962" s="550">
        <v>900100</v>
      </c>
    </row>
    <row r="963" spans="1:9" x14ac:dyDescent="0.2">
      <c r="A963" s="549">
        <v>3709</v>
      </c>
      <c r="B963" s="549">
        <v>8</v>
      </c>
      <c r="C963" s="548">
        <v>42507</v>
      </c>
      <c r="D963" s="550">
        <v>11.39</v>
      </c>
      <c r="E963" s="550">
        <v>11.4</v>
      </c>
      <c r="F963" s="550">
        <v>11.51</v>
      </c>
      <c r="G963" s="550">
        <v>11.37</v>
      </c>
      <c r="H963" s="551">
        <v>10.7483</v>
      </c>
      <c r="I963" s="550">
        <v>759500</v>
      </c>
    </row>
    <row r="964" spans="1:9" x14ac:dyDescent="0.2">
      <c r="A964" s="549">
        <v>3710</v>
      </c>
      <c r="B964" s="549">
        <v>8</v>
      </c>
      <c r="C964" s="548">
        <v>42508</v>
      </c>
      <c r="D964" s="550">
        <v>10.9</v>
      </c>
      <c r="E964" s="550">
        <v>11.19</v>
      </c>
      <c r="F964" s="550">
        <v>11.22</v>
      </c>
      <c r="G964" s="550">
        <v>10.9</v>
      </c>
      <c r="H964" s="551">
        <v>10.550304000000001</v>
      </c>
      <c r="I964" s="550">
        <v>9655500</v>
      </c>
    </row>
    <row r="965" spans="1:9" x14ac:dyDescent="0.2">
      <c r="A965" s="549">
        <v>3711</v>
      </c>
      <c r="B965" s="549">
        <v>8</v>
      </c>
      <c r="C965" s="548">
        <v>42509</v>
      </c>
      <c r="D965" s="550">
        <v>11.17</v>
      </c>
      <c r="E965" s="550">
        <v>11.17</v>
      </c>
      <c r="F965" s="550">
        <v>11.22</v>
      </c>
      <c r="G965" s="550">
        <v>11.11</v>
      </c>
      <c r="H965" s="551">
        <v>10.531449</v>
      </c>
      <c r="I965" s="550">
        <v>1720300</v>
      </c>
    </row>
    <row r="966" spans="1:9" x14ac:dyDescent="0.2">
      <c r="A966" s="549">
        <v>3712</v>
      </c>
      <c r="B966" s="549">
        <v>8</v>
      </c>
      <c r="C966" s="548">
        <v>42510</v>
      </c>
      <c r="D966" s="550">
        <v>11.22</v>
      </c>
      <c r="E966" s="550">
        <v>11.41</v>
      </c>
      <c r="F966" s="550">
        <v>11.49</v>
      </c>
      <c r="G966" s="550">
        <v>11.19</v>
      </c>
      <c r="H966" s="551">
        <v>10.757728999999999</v>
      </c>
      <c r="I966" s="550">
        <v>1989700</v>
      </c>
    </row>
    <row r="967" spans="1:9" x14ac:dyDescent="0.2">
      <c r="A967" s="549">
        <v>3713</v>
      </c>
      <c r="B967" s="549">
        <v>8</v>
      </c>
      <c r="C967" s="548">
        <v>42514</v>
      </c>
      <c r="D967" s="550">
        <v>11.45</v>
      </c>
      <c r="E967" s="550">
        <v>11.29</v>
      </c>
      <c r="F967" s="550">
        <v>11.45</v>
      </c>
      <c r="G967" s="550">
        <v>11.27</v>
      </c>
      <c r="H967" s="551">
        <v>10.644589</v>
      </c>
      <c r="I967" s="550">
        <v>1459100</v>
      </c>
    </row>
    <row r="968" spans="1:9" x14ac:dyDescent="0.2">
      <c r="A968" s="549">
        <v>3714</v>
      </c>
      <c r="B968" s="549">
        <v>8</v>
      </c>
      <c r="C968" s="548">
        <v>42515</v>
      </c>
      <c r="D968" s="550">
        <v>11.34</v>
      </c>
      <c r="E968" s="550">
        <v>11.35</v>
      </c>
      <c r="F968" s="550">
        <v>11.42</v>
      </c>
      <c r="G968" s="550">
        <v>11.28</v>
      </c>
      <c r="H968" s="551">
        <v>10.701159000000001</v>
      </c>
      <c r="I968" s="550">
        <v>1693700</v>
      </c>
    </row>
    <row r="969" spans="1:9" x14ac:dyDescent="0.2">
      <c r="A969" s="549">
        <v>3715</v>
      </c>
      <c r="B969" s="549">
        <v>8</v>
      </c>
      <c r="C969" s="548">
        <v>42516</v>
      </c>
      <c r="D969" s="550">
        <v>11.38</v>
      </c>
      <c r="E969" s="550">
        <v>11.44</v>
      </c>
      <c r="F969" s="550">
        <v>11.5</v>
      </c>
      <c r="G969" s="550">
        <v>11.38</v>
      </c>
      <c r="H969" s="551">
        <v>10.786013000000001</v>
      </c>
      <c r="I969" s="550">
        <v>1627900</v>
      </c>
    </row>
    <row r="970" spans="1:9" x14ac:dyDescent="0.2">
      <c r="A970" s="549">
        <v>3716</v>
      </c>
      <c r="B970" s="549">
        <v>8</v>
      </c>
      <c r="C970" s="548">
        <v>42517</v>
      </c>
      <c r="D970" s="550">
        <v>11.48</v>
      </c>
      <c r="E970" s="550">
        <v>11.47</v>
      </c>
      <c r="F970" s="550">
        <v>11.54</v>
      </c>
      <c r="G970" s="550">
        <v>11.45</v>
      </c>
      <c r="H970" s="551">
        <v>10.814299999999999</v>
      </c>
      <c r="I970" s="550">
        <v>1057200</v>
      </c>
    </row>
    <row r="971" spans="1:9" x14ac:dyDescent="0.2">
      <c r="A971" s="549">
        <v>3717</v>
      </c>
      <c r="B971" s="549">
        <v>8</v>
      </c>
      <c r="C971" s="548">
        <v>42520</v>
      </c>
      <c r="D971" s="550">
        <v>11.5</v>
      </c>
      <c r="E971" s="550">
        <v>11.43</v>
      </c>
      <c r="F971" s="550">
        <v>11.5</v>
      </c>
      <c r="G971" s="550">
        <v>11.43</v>
      </c>
      <c r="H971" s="551">
        <v>10.776586999999999</v>
      </c>
      <c r="I971" s="550">
        <v>394800</v>
      </c>
    </row>
    <row r="972" spans="1:9" x14ac:dyDescent="0.2">
      <c r="A972" s="549">
        <v>3718</v>
      </c>
      <c r="B972" s="549">
        <v>8</v>
      </c>
      <c r="C972" s="548">
        <v>42521</v>
      </c>
      <c r="D972" s="550">
        <v>11.49</v>
      </c>
      <c r="E972" s="550">
        <v>11.68</v>
      </c>
      <c r="F972" s="550">
        <v>11.68</v>
      </c>
      <c r="G972" s="550">
        <v>11.45</v>
      </c>
      <c r="H972" s="551">
        <v>11.012295</v>
      </c>
      <c r="I972" s="550">
        <v>2543300</v>
      </c>
    </row>
    <row r="973" spans="1:9" x14ac:dyDescent="0.2">
      <c r="A973" s="549">
        <v>3719</v>
      </c>
      <c r="B973" s="549">
        <v>8</v>
      </c>
      <c r="C973" s="548">
        <v>42522</v>
      </c>
      <c r="D973" s="550">
        <v>11.65</v>
      </c>
      <c r="E973" s="550">
        <v>11.64</v>
      </c>
      <c r="F973" s="550">
        <v>11.66</v>
      </c>
      <c r="G973" s="550">
        <v>11.57</v>
      </c>
      <c r="H973" s="551">
        <v>10.974581000000001</v>
      </c>
      <c r="I973" s="550">
        <v>1280400</v>
      </c>
    </row>
    <row r="974" spans="1:9" x14ac:dyDescent="0.2">
      <c r="A974" s="549">
        <v>3720</v>
      </c>
      <c r="B974" s="549">
        <v>8</v>
      </c>
      <c r="C974" s="548">
        <v>42523</v>
      </c>
      <c r="D974" s="550">
        <v>11.63</v>
      </c>
      <c r="E974" s="550">
        <v>11.64</v>
      </c>
      <c r="F974" s="550">
        <v>11.64</v>
      </c>
      <c r="G974" s="550">
        <v>11.6</v>
      </c>
      <c r="H974" s="551">
        <v>10.974581000000001</v>
      </c>
      <c r="I974" s="550">
        <v>463400</v>
      </c>
    </row>
    <row r="975" spans="1:9" x14ac:dyDescent="0.2">
      <c r="A975" s="549">
        <v>3721</v>
      </c>
      <c r="B975" s="549">
        <v>8</v>
      </c>
      <c r="C975" s="548">
        <v>42524</v>
      </c>
      <c r="D975" s="550">
        <v>11.66</v>
      </c>
      <c r="E975" s="550">
        <v>11.72</v>
      </c>
      <c r="F975" s="550">
        <v>11.75</v>
      </c>
      <c r="G975" s="550">
        <v>11.63</v>
      </c>
      <c r="H975" s="551">
        <v>11.050008</v>
      </c>
      <c r="I975" s="550">
        <v>1019100</v>
      </c>
    </row>
    <row r="976" spans="1:9" x14ac:dyDescent="0.2">
      <c r="A976" s="549">
        <v>3722</v>
      </c>
      <c r="B976" s="549">
        <v>8</v>
      </c>
      <c r="C976" s="548">
        <v>42527</v>
      </c>
      <c r="D976" s="550">
        <v>11.75</v>
      </c>
      <c r="E976" s="550">
        <v>11.61</v>
      </c>
      <c r="F976" s="550">
        <v>11.81</v>
      </c>
      <c r="G976" s="550">
        <v>11.61</v>
      </c>
      <c r="H976" s="551">
        <v>10.946296</v>
      </c>
      <c r="I976" s="550">
        <v>680500</v>
      </c>
    </row>
    <row r="977" spans="1:9" x14ac:dyDescent="0.2">
      <c r="A977" s="549">
        <v>3723</v>
      </c>
      <c r="B977" s="549">
        <v>8</v>
      </c>
      <c r="C977" s="548">
        <v>42528</v>
      </c>
      <c r="D977" s="550">
        <v>11.66</v>
      </c>
      <c r="E977" s="550">
        <v>11.54</v>
      </c>
      <c r="F977" s="550">
        <v>11.68</v>
      </c>
      <c r="G977" s="550">
        <v>11.46</v>
      </c>
      <c r="H977" s="551">
        <v>10.880298</v>
      </c>
      <c r="I977" s="550">
        <v>2102100</v>
      </c>
    </row>
    <row r="978" spans="1:9" x14ac:dyDescent="0.2">
      <c r="A978" s="549">
        <v>3724</v>
      </c>
      <c r="B978" s="549">
        <v>8</v>
      </c>
      <c r="C978" s="548">
        <v>42529</v>
      </c>
      <c r="D978" s="550">
        <v>11.61</v>
      </c>
      <c r="E978" s="550">
        <v>11.62</v>
      </c>
      <c r="F978" s="550">
        <v>11.71</v>
      </c>
      <c r="G978" s="550">
        <v>11.54</v>
      </c>
      <c r="H978" s="551">
        <v>10.955724</v>
      </c>
      <c r="I978" s="550">
        <v>892200</v>
      </c>
    </row>
    <row r="979" spans="1:9" x14ac:dyDescent="0.2">
      <c r="A979" s="549">
        <v>3725</v>
      </c>
      <c r="B979" s="549">
        <v>8</v>
      </c>
      <c r="C979" s="548">
        <v>42530</v>
      </c>
      <c r="D979" s="550">
        <v>11.62</v>
      </c>
      <c r="E979" s="550">
        <v>11.59</v>
      </c>
      <c r="F979" s="550">
        <v>11.63</v>
      </c>
      <c r="G979" s="550">
        <v>11.55</v>
      </c>
      <c r="H979" s="551">
        <v>10.927439</v>
      </c>
      <c r="I979" s="550">
        <v>510000</v>
      </c>
    </row>
    <row r="980" spans="1:9" x14ac:dyDescent="0.2">
      <c r="A980" s="549">
        <v>3726</v>
      </c>
      <c r="B980" s="549">
        <v>8</v>
      </c>
      <c r="C980" s="548">
        <v>42531</v>
      </c>
      <c r="D980" s="550">
        <v>11.6</v>
      </c>
      <c r="E980" s="550">
        <v>11.66</v>
      </c>
      <c r="F980" s="550">
        <v>11.69</v>
      </c>
      <c r="G980" s="550">
        <v>11.51</v>
      </c>
      <c r="H980" s="551">
        <v>10.993437</v>
      </c>
      <c r="I980" s="550">
        <v>571300</v>
      </c>
    </row>
    <row r="981" spans="1:9" x14ac:dyDescent="0.2">
      <c r="A981" s="549">
        <v>3727</v>
      </c>
      <c r="B981" s="549">
        <v>8</v>
      </c>
      <c r="C981" s="548">
        <v>42534</v>
      </c>
      <c r="D981" s="550">
        <v>11.66</v>
      </c>
      <c r="E981" s="550">
        <v>11.74</v>
      </c>
      <c r="F981" s="550">
        <v>11.76</v>
      </c>
      <c r="G981" s="550">
        <v>11.65</v>
      </c>
      <c r="H981" s="551">
        <v>11.068864</v>
      </c>
      <c r="I981" s="550">
        <v>991900</v>
      </c>
    </row>
    <row r="982" spans="1:9" x14ac:dyDescent="0.2">
      <c r="A982" s="549">
        <v>3728</v>
      </c>
      <c r="B982" s="549">
        <v>8</v>
      </c>
      <c r="C982" s="548">
        <v>42535</v>
      </c>
      <c r="D982" s="550">
        <v>11.75</v>
      </c>
      <c r="E982" s="550">
        <v>11.75</v>
      </c>
      <c r="F982" s="550">
        <v>11.76</v>
      </c>
      <c r="G982" s="550">
        <v>11.68</v>
      </c>
      <c r="H982" s="551">
        <v>11.078293</v>
      </c>
      <c r="I982" s="550">
        <v>494700</v>
      </c>
    </row>
    <row r="983" spans="1:9" x14ac:dyDescent="0.2">
      <c r="A983" s="549">
        <v>3729</v>
      </c>
      <c r="B983" s="549">
        <v>8</v>
      </c>
      <c r="C983" s="548">
        <v>42536</v>
      </c>
      <c r="D983" s="550">
        <v>11.74</v>
      </c>
      <c r="E983" s="550">
        <v>11.73</v>
      </c>
      <c r="F983" s="550">
        <v>11.84</v>
      </c>
      <c r="G983" s="550">
        <v>11.71</v>
      </c>
      <c r="H983" s="551">
        <v>11.059436</v>
      </c>
      <c r="I983" s="550">
        <v>594100</v>
      </c>
    </row>
    <row r="984" spans="1:9" x14ac:dyDescent="0.2">
      <c r="A984" s="549">
        <v>3730</v>
      </c>
      <c r="B984" s="549">
        <v>8</v>
      </c>
      <c r="C984" s="548">
        <v>42537</v>
      </c>
      <c r="D984" s="550">
        <v>11.75</v>
      </c>
      <c r="E984" s="550">
        <v>11.78</v>
      </c>
      <c r="F984" s="550">
        <v>11.81</v>
      </c>
      <c r="G984" s="550">
        <v>11.68</v>
      </c>
      <c r="H984" s="551">
        <v>11.106577</v>
      </c>
      <c r="I984" s="550">
        <v>798600</v>
      </c>
    </row>
    <row r="985" spans="1:9" x14ac:dyDescent="0.2">
      <c r="A985" s="549">
        <v>3731</v>
      </c>
      <c r="B985" s="549">
        <v>8</v>
      </c>
      <c r="C985" s="548">
        <v>42538</v>
      </c>
      <c r="D985" s="550">
        <v>11.79</v>
      </c>
      <c r="E985" s="550">
        <v>11.9</v>
      </c>
      <c r="F985" s="550">
        <v>11.91</v>
      </c>
      <c r="G985" s="550">
        <v>11.79</v>
      </c>
      <c r="H985" s="551">
        <v>11.219716999999999</v>
      </c>
      <c r="I985" s="550">
        <v>5977600</v>
      </c>
    </row>
    <row r="986" spans="1:9" x14ac:dyDescent="0.2">
      <c r="A986" s="549">
        <v>3732</v>
      </c>
      <c r="B986" s="549">
        <v>8</v>
      </c>
      <c r="C986" s="548">
        <v>42541</v>
      </c>
      <c r="D986" s="550">
        <v>11.92</v>
      </c>
      <c r="E986" s="550">
        <v>11.85</v>
      </c>
      <c r="F986" s="550">
        <v>11.92</v>
      </c>
      <c r="G986" s="550">
        <v>11.84</v>
      </c>
      <c r="H986" s="551">
        <v>11.172575999999999</v>
      </c>
      <c r="I986" s="550">
        <v>809800</v>
      </c>
    </row>
    <row r="987" spans="1:9" x14ac:dyDescent="0.2">
      <c r="A987" s="549">
        <v>3733</v>
      </c>
      <c r="B987" s="549">
        <v>8</v>
      </c>
      <c r="C987" s="548">
        <v>42542</v>
      </c>
      <c r="D987" s="550">
        <v>11.88</v>
      </c>
      <c r="E987" s="550">
        <v>11.92</v>
      </c>
      <c r="F987" s="550">
        <v>11.95</v>
      </c>
      <c r="G987" s="550">
        <v>11.78</v>
      </c>
      <c r="H987" s="551">
        <v>11.238574</v>
      </c>
      <c r="I987" s="550">
        <v>674400</v>
      </c>
    </row>
    <row r="988" spans="1:9" x14ac:dyDescent="0.2">
      <c r="A988" s="549">
        <v>3734</v>
      </c>
      <c r="B988" s="549">
        <v>8</v>
      </c>
      <c r="C988" s="548">
        <v>42543</v>
      </c>
      <c r="D988" s="550">
        <v>11.96</v>
      </c>
      <c r="E988" s="550">
        <v>11.86</v>
      </c>
      <c r="F988" s="550">
        <v>11.96</v>
      </c>
      <c r="G988" s="550">
        <v>11.83</v>
      </c>
      <c r="H988" s="551">
        <v>11.182003999999999</v>
      </c>
      <c r="I988" s="550">
        <v>798200</v>
      </c>
    </row>
    <row r="989" spans="1:9" x14ac:dyDescent="0.2">
      <c r="A989" s="549">
        <v>3735</v>
      </c>
      <c r="B989" s="549">
        <v>8</v>
      </c>
      <c r="C989" s="548">
        <v>42544</v>
      </c>
      <c r="D989" s="550">
        <v>11.92</v>
      </c>
      <c r="E989" s="550">
        <v>11.71</v>
      </c>
      <c r="F989" s="550">
        <v>11.92</v>
      </c>
      <c r="G989" s="550">
        <v>11.66</v>
      </c>
      <c r="H989" s="551">
        <v>11.04058</v>
      </c>
      <c r="I989" s="550">
        <v>623600</v>
      </c>
    </row>
    <row r="990" spans="1:9" x14ac:dyDescent="0.2">
      <c r="A990" s="549">
        <v>3736</v>
      </c>
      <c r="B990" s="549">
        <v>8</v>
      </c>
      <c r="C990" s="548">
        <v>42545</v>
      </c>
      <c r="D990" s="550">
        <v>11.51</v>
      </c>
      <c r="E990" s="550">
        <v>11.8</v>
      </c>
      <c r="F990" s="550">
        <v>11.82</v>
      </c>
      <c r="G990" s="550">
        <v>11.5</v>
      </c>
      <c r="H990" s="551">
        <v>11.125434</v>
      </c>
      <c r="I990" s="550">
        <v>631200</v>
      </c>
    </row>
    <row r="991" spans="1:9" x14ac:dyDescent="0.2">
      <c r="A991" s="549">
        <v>3737</v>
      </c>
      <c r="B991" s="549">
        <v>8</v>
      </c>
      <c r="C991" s="548">
        <v>42548</v>
      </c>
      <c r="D991" s="550">
        <v>11.77</v>
      </c>
      <c r="E991" s="550">
        <v>11.97</v>
      </c>
      <c r="F991" s="550">
        <v>12.02</v>
      </c>
      <c r="G991" s="550">
        <v>11.77</v>
      </c>
      <c r="H991" s="551">
        <v>11.285716000000001</v>
      </c>
      <c r="I991" s="550">
        <v>789200</v>
      </c>
    </row>
    <row r="992" spans="1:9" x14ac:dyDescent="0.2">
      <c r="A992" s="549">
        <v>3738</v>
      </c>
      <c r="B992" s="549">
        <v>8</v>
      </c>
      <c r="C992" s="548">
        <v>42549</v>
      </c>
      <c r="D992" s="550">
        <v>11.9</v>
      </c>
      <c r="E992" s="550">
        <v>11.73</v>
      </c>
      <c r="F992" s="550">
        <v>11.92</v>
      </c>
      <c r="G992" s="550">
        <v>11.7</v>
      </c>
      <c r="H992" s="551">
        <v>11.186657</v>
      </c>
      <c r="I992" s="550">
        <v>662000</v>
      </c>
    </row>
    <row r="993" spans="1:9" x14ac:dyDescent="0.2">
      <c r="A993" s="549">
        <v>3739</v>
      </c>
      <c r="B993" s="549">
        <v>8</v>
      </c>
      <c r="C993" s="548">
        <v>42550</v>
      </c>
      <c r="D993" s="550">
        <v>11.79</v>
      </c>
      <c r="E993" s="550">
        <v>11.84</v>
      </c>
      <c r="F993" s="550">
        <v>11.88</v>
      </c>
      <c r="G993" s="550">
        <v>11.76</v>
      </c>
      <c r="H993" s="551">
        <v>11.291562000000001</v>
      </c>
      <c r="I993" s="550">
        <v>983500</v>
      </c>
    </row>
    <row r="994" spans="1:9" x14ac:dyDescent="0.2">
      <c r="A994" s="549">
        <v>3740</v>
      </c>
      <c r="B994" s="549">
        <v>8</v>
      </c>
      <c r="C994" s="548">
        <v>42551</v>
      </c>
      <c r="D994" s="550">
        <v>11.88</v>
      </c>
      <c r="E994" s="550">
        <v>11.89</v>
      </c>
      <c r="F994" s="550">
        <v>12.05</v>
      </c>
      <c r="G994" s="550">
        <v>11.84</v>
      </c>
      <c r="H994" s="551">
        <v>11.339247</v>
      </c>
      <c r="I994" s="550">
        <v>977500</v>
      </c>
    </row>
    <row r="995" spans="1:9" x14ac:dyDescent="0.2">
      <c r="A995" s="549">
        <v>3741</v>
      </c>
      <c r="B995" s="549">
        <v>8</v>
      </c>
      <c r="C995" s="548">
        <v>42555</v>
      </c>
      <c r="D995" s="550">
        <v>12.09</v>
      </c>
      <c r="E995" s="550">
        <v>12.05</v>
      </c>
      <c r="F995" s="550">
        <v>12.09</v>
      </c>
      <c r="G995" s="550">
        <v>11.97</v>
      </c>
      <c r="H995" s="551">
        <v>11.491835</v>
      </c>
      <c r="I995" s="550">
        <v>354600</v>
      </c>
    </row>
    <row r="996" spans="1:9" x14ac:dyDescent="0.2">
      <c r="A996" s="549">
        <v>3742</v>
      </c>
      <c r="B996" s="549">
        <v>8</v>
      </c>
      <c r="C996" s="548">
        <v>42556</v>
      </c>
      <c r="D996" s="550">
        <v>12.06</v>
      </c>
      <c r="E996" s="550">
        <v>12.25</v>
      </c>
      <c r="F996" s="550">
        <v>12.25</v>
      </c>
      <c r="G996" s="550">
        <v>12</v>
      </c>
      <c r="H996" s="551">
        <v>11.682570999999999</v>
      </c>
      <c r="I996" s="550">
        <v>775400</v>
      </c>
    </row>
    <row r="997" spans="1:9" x14ac:dyDescent="0.2">
      <c r="A997" s="549">
        <v>3743</v>
      </c>
      <c r="B997" s="549">
        <v>8</v>
      </c>
      <c r="C997" s="548">
        <v>42557</v>
      </c>
      <c r="D997" s="550">
        <v>12.23</v>
      </c>
      <c r="E997" s="550">
        <v>12.33</v>
      </c>
      <c r="F997" s="550">
        <v>12.41</v>
      </c>
      <c r="G997" s="550">
        <v>12.18</v>
      </c>
      <c r="H997" s="551">
        <v>11.758865999999999</v>
      </c>
      <c r="I997" s="550">
        <v>1070400</v>
      </c>
    </row>
    <row r="998" spans="1:9" x14ac:dyDescent="0.2">
      <c r="A998" s="549">
        <v>3744</v>
      </c>
      <c r="B998" s="549">
        <v>8</v>
      </c>
      <c r="C998" s="548">
        <v>42558</v>
      </c>
      <c r="D998" s="550">
        <v>12.4</v>
      </c>
      <c r="E998" s="550">
        <v>12.27</v>
      </c>
      <c r="F998" s="550">
        <v>12.4</v>
      </c>
      <c r="G998" s="550">
        <v>12.2</v>
      </c>
      <c r="H998" s="551">
        <v>11.701646</v>
      </c>
      <c r="I998" s="550">
        <v>620000</v>
      </c>
    </row>
    <row r="999" spans="1:9" x14ac:dyDescent="0.2">
      <c r="A999" s="549">
        <v>3745</v>
      </c>
      <c r="B999" s="549">
        <v>8</v>
      </c>
      <c r="C999" s="548">
        <v>42559</v>
      </c>
      <c r="D999" s="550">
        <v>12.27</v>
      </c>
      <c r="E999" s="550">
        <v>12.21</v>
      </c>
      <c r="F999" s="550">
        <v>12.27</v>
      </c>
      <c r="G999" s="550">
        <v>12.2</v>
      </c>
      <c r="H999" s="551">
        <v>11.644423</v>
      </c>
      <c r="I999" s="550">
        <v>521600</v>
      </c>
    </row>
    <row r="1000" spans="1:9" x14ac:dyDescent="0.2">
      <c r="A1000" s="549">
        <v>3746</v>
      </c>
      <c r="B1000" s="549">
        <v>8</v>
      </c>
      <c r="C1000" s="548">
        <v>42562</v>
      </c>
      <c r="D1000" s="550">
        <v>12.25</v>
      </c>
      <c r="E1000" s="550">
        <v>12.29</v>
      </c>
      <c r="F1000" s="550">
        <v>12.37</v>
      </c>
      <c r="G1000" s="550">
        <v>12.17</v>
      </c>
      <c r="H1000" s="551">
        <v>11.720718</v>
      </c>
      <c r="I1000" s="550">
        <v>632700</v>
      </c>
    </row>
    <row r="1001" spans="1:9" x14ac:dyDescent="0.2">
      <c r="A1001" s="549">
        <v>3747</v>
      </c>
      <c r="B1001" s="549">
        <v>8</v>
      </c>
      <c r="C1001" s="548">
        <v>42563</v>
      </c>
      <c r="D1001" s="550">
        <v>12.35</v>
      </c>
      <c r="E1001" s="550">
        <v>12.23</v>
      </c>
      <c r="F1001" s="550">
        <v>12.42</v>
      </c>
      <c r="G1001" s="550">
        <v>12.21</v>
      </c>
      <c r="H1001" s="551">
        <v>11.663497</v>
      </c>
      <c r="I1001" s="550">
        <v>1115600</v>
      </c>
    </row>
    <row r="1002" spans="1:9" x14ac:dyDescent="0.2">
      <c r="A1002" s="549">
        <v>3748</v>
      </c>
      <c r="B1002" s="549">
        <v>8</v>
      </c>
      <c r="C1002" s="548">
        <v>42564</v>
      </c>
      <c r="D1002" s="550">
        <v>12.28</v>
      </c>
      <c r="E1002" s="550">
        <v>12.26</v>
      </c>
      <c r="F1002" s="550">
        <v>12.31</v>
      </c>
      <c r="G1002" s="550">
        <v>12.22</v>
      </c>
      <c r="H1002" s="551">
        <v>11.692107</v>
      </c>
      <c r="I1002" s="550">
        <v>491000</v>
      </c>
    </row>
    <row r="1003" spans="1:9" x14ac:dyDescent="0.2">
      <c r="A1003" s="549">
        <v>3749</v>
      </c>
      <c r="B1003" s="549">
        <v>8</v>
      </c>
      <c r="C1003" s="548">
        <v>42565</v>
      </c>
      <c r="D1003" s="550">
        <v>12.3</v>
      </c>
      <c r="E1003" s="550">
        <v>12.31</v>
      </c>
      <c r="F1003" s="550">
        <v>12.36</v>
      </c>
      <c r="G1003" s="550">
        <v>12.23</v>
      </c>
      <c r="H1003" s="551">
        <v>11.739793000000001</v>
      </c>
      <c r="I1003" s="550">
        <v>344600</v>
      </c>
    </row>
    <row r="1004" spans="1:9" x14ac:dyDescent="0.2">
      <c r="A1004" s="549">
        <v>3750</v>
      </c>
      <c r="B1004" s="549">
        <v>8</v>
      </c>
      <c r="C1004" s="548">
        <v>42566</v>
      </c>
      <c r="D1004" s="550">
        <v>12.34</v>
      </c>
      <c r="E1004" s="550">
        <v>12.28</v>
      </c>
      <c r="F1004" s="550">
        <v>12.34</v>
      </c>
      <c r="G1004" s="550">
        <v>12.25</v>
      </c>
      <c r="H1004" s="551">
        <v>11.711181</v>
      </c>
      <c r="I1004" s="550">
        <v>778400</v>
      </c>
    </row>
    <row r="1005" spans="1:9" x14ac:dyDescent="0.2">
      <c r="A1005" s="549">
        <v>3751</v>
      </c>
      <c r="B1005" s="549">
        <v>8</v>
      </c>
      <c r="C1005" s="548">
        <v>42569</v>
      </c>
      <c r="D1005" s="550">
        <v>12.32</v>
      </c>
      <c r="E1005" s="550">
        <v>12.28</v>
      </c>
      <c r="F1005" s="550">
        <v>12.32</v>
      </c>
      <c r="G1005" s="550">
        <v>12.22</v>
      </c>
      <c r="H1005" s="551">
        <v>11.711181</v>
      </c>
      <c r="I1005" s="550">
        <v>283700</v>
      </c>
    </row>
    <row r="1006" spans="1:9" x14ac:dyDescent="0.2">
      <c r="A1006" s="549">
        <v>3752</v>
      </c>
      <c r="B1006" s="549">
        <v>8</v>
      </c>
      <c r="C1006" s="548">
        <v>42570</v>
      </c>
      <c r="D1006" s="550">
        <v>12.26</v>
      </c>
      <c r="E1006" s="550">
        <v>12.4</v>
      </c>
      <c r="F1006" s="550">
        <v>12.45</v>
      </c>
      <c r="G1006" s="550">
        <v>12.26</v>
      </c>
      <c r="H1006" s="551">
        <v>11.825621999999999</v>
      </c>
      <c r="I1006" s="550">
        <v>362000</v>
      </c>
    </row>
    <row r="1007" spans="1:9" x14ac:dyDescent="0.2">
      <c r="A1007" s="549">
        <v>3753</v>
      </c>
      <c r="B1007" s="549">
        <v>8</v>
      </c>
      <c r="C1007" s="548">
        <v>42571</v>
      </c>
      <c r="D1007" s="550">
        <v>12.38</v>
      </c>
      <c r="E1007" s="550">
        <v>12.32</v>
      </c>
      <c r="F1007" s="550">
        <v>12.38</v>
      </c>
      <c r="G1007" s="550">
        <v>12.27</v>
      </c>
      <c r="H1007" s="551">
        <v>11.749328</v>
      </c>
      <c r="I1007" s="550">
        <v>386700</v>
      </c>
    </row>
    <row r="1008" spans="1:9" x14ac:dyDescent="0.2">
      <c r="A1008" s="549">
        <v>3754</v>
      </c>
      <c r="B1008" s="549">
        <v>8</v>
      </c>
      <c r="C1008" s="548">
        <v>42572</v>
      </c>
      <c r="D1008" s="550">
        <v>12.33</v>
      </c>
      <c r="E1008" s="550">
        <v>12.31</v>
      </c>
      <c r="F1008" s="550">
        <v>12.33</v>
      </c>
      <c r="G1008" s="550">
        <v>12.22</v>
      </c>
      <c r="H1008" s="551">
        <v>11.739793000000001</v>
      </c>
      <c r="I1008" s="550">
        <v>292100</v>
      </c>
    </row>
    <row r="1009" spans="1:9" x14ac:dyDescent="0.2">
      <c r="A1009" s="549">
        <v>3755</v>
      </c>
      <c r="B1009" s="549">
        <v>8</v>
      </c>
      <c r="C1009" s="548">
        <v>42573</v>
      </c>
      <c r="D1009" s="550">
        <v>12.35</v>
      </c>
      <c r="E1009" s="550">
        <v>12.45</v>
      </c>
      <c r="F1009" s="550">
        <v>12.45</v>
      </c>
      <c r="G1009" s="550">
        <v>12.28</v>
      </c>
      <c r="H1009" s="551">
        <v>11.873305</v>
      </c>
      <c r="I1009" s="550">
        <v>604800</v>
      </c>
    </row>
    <row r="1010" spans="1:9" x14ac:dyDescent="0.2">
      <c r="A1010" s="549">
        <v>3756</v>
      </c>
      <c r="B1010" s="549">
        <v>8</v>
      </c>
      <c r="C1010" s="548">
        <v>42576</v>
      </c>
      <c r="D1010" s="550">
        <v>12.45</v>
      </c>
      <c r="E1010" s="550">
        <v>12.43</v>
      </c>
      <c r="F1010" s="550">
        <v>12.45</v>
      </c>
      <c r="G1010" s="550">
        <v>12.37</v>
      </c>
      <c r="H1010" s="551">
        <v>11.854232</v>
      </c>
      <c r="I1010" s="550">
        <v>633400</v>
      </c>
    </row>
    <row r="1011" spans="1:9" x14ac:dyDescent="0.2">
      <c r="A1011" s="549">
        <v>3757</v>
      </c>
      <c r="B1011" s="549">
        <v>8</v>
      </c>
      <c r="C1011" s="548">
        <v>42577</v>
      </c>
      <c r="D1011" s="550">
        <v>12.45</v>
      </c>
      <c r="E1011" s="550">
        <v>12.29</v>
      </c>
      <c r="F1011" s="550">
        <v>12.45</v>
      </c>
      <c r="G1011" s="550">
        <v>12.28</v>
      </c>
      <c r="H1011" s="551">
        <v>11.720718</v>
      </c>
      <c r="I1011" s="550">
        <v>289900</v>
      </c>
    </row>
    <row r="1012" spans="1:9" x14ac:dyDescent="0.2">
      <c r="A1012" s="549">
        <v>3758</v>
      </c>
      <c r="B1012" s="549">
        <v>8</v>
      </c>
      <c r="C1012" s="548">
        <v>42578</v>
      </c>
      <c r="D1012" s="550">
        <v>12.34</v>
      </c>
      <c r="E1012" s="550">
        <v>12.16</v>
      </c>
      <c r="F1012" s="550">
        <v>12.34</v>
      </c>
      <c r="G1012" s="550">
        <v>12.15</v>
      </c>
      <c r="H1012" s="551">
        <v>11.59674</v>
      </c>
      <c r="I1012" s="550">
        <v>480600</v>
      </c>
    </row>
    <row r="1013" spans="1:9" x14ac:dyDescent="0.2">
      <c r="A1013" s="549">
        <v>3759</v>
      </c>
      <c r="B1013" s="549">
        <v>8</v>
      </c>
      <c r="C1013" s="548">
        <v>42579</v>
      </c>
      <c r="D1013" s="550">
        <v>12.18</v>
      </c>
      <c r="E1013" s="550">
        <v>12.18</v>
      </c>
      <c r="F1013" s="550">
        <v>12.28</v>
      </c>
      <c r="G1013" s="550">
        <v>12.15</v>
      </c>
      <c r="H1013" s="551">
        <v>11.615812999999999</v>
      </c>
      <c r="I1013" s="550">
        <v>734800</v>
      </c>
    </row>
    <row r="1014" spans="1:9" x14ac:dyDescent="0.2">
      <c r="A1014" s="549">
        <v>3760</v>
      </c>
      <c r="B1014" s="549">
        <v>8</v>
      </c>
      <c r="C1014" s="548">
        <v>42580</v>
      </c>
      <c r="D1014" s="550">
        <v>12.18</v>
      </c>
      <c r="E1014" s="550">
        <v>12.21</v>
      </c>
      <c r="F1014" s="550">
        <v>12.26</v>
      </c>
      <c r="G1014" s="550">
        <v>12.17</v>
      </c>
      <c r="H1014" s="551">
        <v>11.644423</v>
      </c>
      <c r="I1014" s="550">
        <v>566700</v>
      </c>
    </row>
    <row r="1015" spans="1:9" x14ac:dyDescent="0.2">
      <c r="A1015" s="549">
        <v>3761</v>
      </c>
      <c r="B1015" s="549">
        <v>8</v>
      </c>
      <c r="C1015" s="548">
        <v>42584</v>
      </c>
      <c r="D1015" s="550">
        <v>12.23</v>
      </c>
      <c r="E1015" s="550">
        <v>12.17</v>
      </c>
      <c r="F1015" s="550">
        <v>12.24</v>
      </c>
      <c r="G1015" s="550">
        <v>12.13</v>
      </c>
      <c r="H1015" s="551">
        <v>11.606277</v>
      </c>
      <c r="I1015" s="550">
        <v>603800</v>
      </c>
    </row>
    <row r="1016" spans="1:9" x14ac:dyDescent="0.2">
      <c r="A1016" s="549">
        <v>3762</v>
      </c>
      <c r="B1016" s="549">
        <v>8</v>
      </c>
      <c r="C1016" s="548">
        <v>42585</v>
      </c>
      <c r="D1016" s="550">
        <v>12.17</v>
      </c>
      <c r="E1016" s="550">
        <v>12.13</v>
      </c>
      <c r="F1016" s="550">
        <v>12.2</v>
      </c>
      <c r="G1016" s="550">
        <v>12.08</v>
      </c>
      <c r="H1016" s="551">
        <v>11.568129000000001</v>
      </c>
      <c r="I1016" s="550">
        <v>582100</v>
      </c>
    </row>
    <row r="1017" spans="1:9" x14ac:dyDescent="0.2">
      <c r="A1017" s="549">
        <v>3763</v>
      </c>
      <c r="B1017" s="549">
        <v>8</v>
      </c>
      <c r="C1017" s="548">
        <v>42586</v>
      </c>
      <c r="D1017" s="550">
        <v>12.1</v>
      </c>
      <c r="E1017" s="550">
        <v>12.23</v>
      </c>
      <c r="F1017" s="550">
        <v>12.25</v>
      </c>
      <c r="G1017" s="550">
        <v>12.1</v>
      </c>
      <c r="H1017" s="551">
        <v>11.663497</v>
      </c>
      <c r="I1017" s="550">
        <v>685900</v>
      </c>
    </row>
    <row r="1018" spans="1:9" x14ac:dyDescent="0.2">
      <c r="A1018" s="549">
        <v>3764</v>
      </c>
      <c r="B1018" s="549">
        <v>8</v>
      </c>
      <c r="C1018" s="548">
        <v>42587</v>
      </c>
      <c r="D1018" s="550">
        <v>12.19</v>
      </c>
      <c r="E1018" s="550">
        <v>12.13</v>
      </c>
      <c r="F1018" s="550">
        <v>12.23</v>
      </c>
      <c r="G1018" s="550">
        <v>12.09</v>
      </c>
      <c r="H1018" s="551">
        <v>11.568129000000001</v>
      </c>
      <c r="I1018" s="550">
        <v>364100</v>
      </c>
    </row>
    <row r="1019" spans="1:9" x14ac:dyDescent="0.2">
      <c r="A1019" s="549">
        <v>3765</v>
      </c>
      <c r="B1019" s="549">
        <v>8</v>
      </c>
      <c r="C1019" s="548">
        <v>42590</v>
      </c>
      <c r="D1019" s="550">
        <v>12.14</v>
      </c>
      <c r="E1019" s="550">
        <v>12.05</v>
      </c>
      <c r="F1019" s="550">
        <v>12.17</v>
      </c>
      <c r="G1019" s="550">
        <v>12.04</v>
      </c>
      <c r="H1019" s="551">
        <v>11.491835</v>
      </c>
      <c r="I1019" s="550">
        <v>358900</v>
      </c>
    </row>
    <row r="1020" spans="1:9" x14ac:dyDescent="0.2">
      <c r="A1020" s="549">
        <v>3766</v>
      </c>
      <c r="B1020" s="549">
        <v>8</v>
      </c>
      <c r="C1020" s="548">
        <v>42591</v>
      </c>
      <c r="D1020" s="550">
        <v>12.05</v>
      </c>
      <c r="E1020" s="550">
        <v>11.93</v>
      </c>
      <c r="F1020" s="550">
        <v>12.11</v>
      </c>
      <c r="G1020" s="550">
        <v>11.81</v>
      </c>
      <c r="H1020" s="551">
        <v>11.377394000000001</v>
      </c>
      <c r="I1020" s="550">
        <v>1221900</v>
      </c>
    </row>
    <row r="1021" spans="1:9" x14ac:dyDescent="0.2">
      <c r="A1021" s="549">
        <v>3767</v>
      </c>
      <c r="B1021" s="549">
        <v>8</v>
      </c>
      <c r="C1021" s="548">
        <v>42592</v>
      </c>
      <c r="D1021" s="550">
        <v>11.91</v>
      </c>
      <c r="E1021" s="550">
        <v>11.92</v>
      </c>
      <c r="F1021" s="550">
        <v>12</v>
      </c>
      <c r="G1021" s="550">
        <v>11.87</v>
      </c>
      <c r="H1021" s="551">
        <v>11.367857000000001</v>
      </c>
      <c r="I1021" s="550">
        <v>993400</v>
      </c>
    </row>
    <row r="1022" spans="1:9" x14ac:dyDescent="0.2">
      <c r="A1022" s="549">
        <v>3768</v>
      </c>
      <c r="B1022" s="549">
        <v>8</v>
      </c>
      <c r="C1022" s="548">
        <v>42593</v>
      </c>
      <c r="D1022" s="550">
        <v>11.9</v>
      </c>
      <c r="E1022" s="550">
        <v>11.94</v>
      </c>
      <c r="F1022" s="550">
        <v>11.99</v>
      </c>
      <c r="G1022" s="550">
        <v>11.82</v>
      </c>
      <c r="H1022" s="551">
        <v>11.38693</v>
      </c>
      <c r="I1022" s="550">
        <v>1310000</v>
      </c>
    </row>
    <row r="1023" spans="1:9" x14ac:dyDescent="0.2">
      <c r="A1023" s="549">
        <v>3769</v>
      </c>
      <c r="B1023" s="549">
        <v>8</v>
      </c>
      <c r="C1023" s="548">
        <v>42594</v>
      </c>
      <c r="D1023" s="550">
        <v>12</v>
      </c>
      <c r="E1023" s="550">
        <v>12.15</v>
      </c>
      <c r="F1023" s="550">
        <v>12.18</v>
      </c>
      <c r="G1023" s="550">
        <v>12</v>
      </c>
      <c r="H1023" s="551">
        <v>11.587202</v>
      </c>
      <c r="I1023" s="550">
        <v>500400</v>
      </c>
    </row>
    <row r="1024" spans="1:9" x14ac:dyDescent="0.2">
      <c r="A1024" s="549">
        <v>3770</v>
      </c>
      <c r="B1024" s="549">
        <v>8</v>
      </c>
      <c r="C1024" s="548">
        <v>42597</v>
      </c>
      <c r="D1024" s="550">
        <v>12.23</v>
      </c>
      <c r="E1024" s="550">
        <v>12.16</v>
      </c>
      <c r="F1024" s="550">
        <v>12.27</v>
      </c>
      <c r="G1024" s="550">
        <v>12.12</v>
      </c>
      <c r="H1024" s="551">
        <v>11.59674</v>
      </c>
      <c r="I1024" s="550">
        <v>1139000</v>
      </c>
    </row>
    <row r="1025" spans="1:9" x14ac:dyDescent="0.2">
      <c r="A1025" s="549">
        <v>3771</v>
      </c>
      <c r="B1025" s="549">
        <v>8</v>
      </c>
      <c r="C1025" s="548">
        <v>42598</v>
      </c>
      <c r="D1025" s="550">
        <v>12.21</v>
      </c>
      <c r="E1025" s="550">
        <v>12.18</v>
      </c>
      <c r="F1025" s="550">
        <v>12.21</v>
      </c>
      <c r="G1025" s="550">
        <v>12.08</v>
      </c>
      <c r="H1025" s="551">
        <v>11.615812999999999</v>
      </c>
      <c r="I1025" s="550">
        <v>411300</v>
      </c>
    </row>
    <row r="1026" spans="1:9" x14ac:dyDescent="0.2">
      <c r="A1026" s="549">
        <v>3772</v>
      </c>
      <c r="B1026" s="549">
        <v>8</v>
      </c>
      <c r="C1026" s="548">
        <v>42599</v>
      </c>
      <c r="D1026" s="550">
        <v>12.2</v>
      </c>
      <c r="E1026" s="550">
        <v>12.26</v>
      </c>
      <c r="F1026" s="550">
        <v>12.31</v>
      </c>
      <c r="G1026" s="550">
        <v>12.16</v>
      </c>
      <c r="H1026" s="551">
        <v>11.692107</v>
      </c>
      <c r="I1026" s="550">
        <v>737900</v>
      </c>
    </row>
    <row r="1027" spans="1:9" x14ac:dyDescent="0.2">
      <c r="A1027" s="549">
        <v>3773</v>
      </c>
      <c r="B1027" s="549">
        <v>8</v>
      </c>
      <c r="C1027" s="548">
        <v>42600</v>
      </c>
      <c r="D1027" s="550">
        <v>12.26</v>
      </c>
      <c r="E1027" s="550">
        <v>12.23</v>
      </c>
      <c r="F1027" s="550">
        <v>12.29</v>
      </c>
      <c r="G1027" s="550">
        <v>12.15</v>
      </c>
      <c r="H1027" s="551">
        <v>11.663497</v>
      </c>
      <c r="I1027" s="550">
        <v>478200</v>
      </c>
    </row>
    <row r="1028" spans="1:9" x14ac:dyDescent="0.2">
      <c r="A1028" s="549">
        <v>3774</v>
      </c>
      <c r="B1028" s="549">
        <v>8</v>
      </c>
      <c r="C1028" s="548">
        <v>42601</v>
      </c>
      <c r="D1028" s="550">
        <v>12.25</v>
      </c>
      <c r="E1028" s="550">
        <v>12.15</v>
      </c>
      <c r="F1028" s="550">
        <v>12.27</v>
      </c>
      <c r="G1028" s="550">
        <v>12.15</v>
      </c>
      <c r="H1028" s="551">
        <v>11.587202</v>
      </c>
      <c r="I1028" s="550">
        <v>366400</v>
      </c>
    </row>
    <row r="1029" spans="1:9" x14ac:dyDescent="0.2">
      <c r="A1029" s="549">
        <v>3775</v>
      </c>
      <c r="B1029" s="549">
        <v>8</v>
      </c>
      <c r="C1029" s="548">
        <v>42604</v>
      </c>
      <c r="D1029" s="550">
        <v>12.18</v>
      </c>
      <c r="E1029" s="550">
        <v>12.22</v>
      </c>
      <c r="F1029" s="550">
        <v>12.24</v>
      </c>
      <c r="G1029" s="550">
        <v>12.14</v>
      </c>
      <c r="H1029" s="551">
        <v>11.65396</v>
      </c>
      <c r="I1029" s="550">
        <v>565000</v>
      </c>
    </row>
    <row r="1030" spans="1:9" x14ac:dyDescent="0.2">
      <c r="A1030" s="549">
        <v>3776</v>
      </c>
      <c r="B1030" s="549">
        <v>8</v>
      </c>
      <c r="C1030" s="548">
        <v>42605</v>
      </c>
      <c r="D1030" s="550">
        <v>12.25</v>
      </c>
      <c r="E1030" s="550">
        <v>12.21</v>
      </c>
      <c r="F1030" s="550">
        <v>12.26</v>
      </c>
      <c r="G1030" s="550">
        <v>12.11</v>
      </c>
      <c r="H1030" s="551">
        <v>11.644423</v>
      </c>
      <c r="I1030" s="550">
        <v>374900</v>
      </c>
    </row>
    <row r="1031" spans="1:9" x14ac:dyDescent="0.2">
      <c r="A1031" s="549">
        <v>3777</v>
      </c>
      <c r="B1031" s="549">
        <v>8</v>
      </c>
      <c r="C1031" s="548">
        <v>42606</v>
      </c>
      <c r="D1031" s="550">
        <v>12.22</v>
      </c>
      <c r="E1031" s="550">
        <v>12.11</v>
      </c>
      <c r="F1031" s="550">
        <v>12.22</v>
      </c>
      <c r="G1031" s="550">
        <v>12.11</v>
      </c>
      <c r="H1031" s="551">
        <v>11.549054999999999</v>
      </c>
      <c r="I1031" s="550">
        <v>357400</v>
      </c>
    </row>
    <row r="1032" spans="1:9" x14ac:dyDescent="0.2">
      <c r="A1032" s="549">
        <v>3778</v>
      </c>
      <c r="B1032" s="549">
        <v>8</v>
      </c>
      <c r="C1032" s="548">
        <v>42607</v>
      </c>
      <c r="D1032" s="550">
        <v>12.11</v>
      </c>
      <c r="E1032" s="550">
        <v>12.14</v>
      </c>
      <c r="F1032" s="550">
        <v>12.17</v>
      </c>
      <c r="G1032" s="550">
        <v>12.1</v>
      </c>
      <c r="H1032" s="551">
        <v>11.577666000000001</v>
      </c>
      <c r="I1032" s="550">
        <v>225900</v>
      </c>
    </row>
    <row r="1033" spans="1:9" x14ac:dyDescent="0.2">
      <c r="A1033" s="549">
        <v>3779</v>
      </c>
      <c r="B1033" s="549">
        <v>8</v>
      </c>
      <c r="C1033" s="548">
        <v>42608</v>
      </c>
      <c r="D1033" s="550">
        <v>12.18</v>
      </c>
      <c r="E1033" s="550">
        <v>11.93</v>
      </c>
      <c r="F1033" s="550">
        <v>12.18</v>
      </c>
      <c r="G1033" s="550">
        <v>11.92</v>
      </c>
      <c r="H1033" s="551">
        <v>11.377394000000001</v>
      </c>
      <c r="I1033" s="550">
        <v>676200</v>
      </c>
    </row>
    <row r="1034" spans="1:9" x14ac:dyDescent="0.2">
      <c r="A1034" s="549">
        <v>3780</v>
      </c>
      <c r="B1034" s="549">
        <v>8</v>
      </c>
      <c r="C1034" s="548">
        <v>42611</v>
      </c>
      <c r="D1034" s="550">
        <v>11.95</v>
      </c>
      <c r="E1034" s="550">
        <v>11.92</v>
      </c>
      <c r="F1034" s="550">
        <v>12.01</v>
      </c>
      <c r="G1034" s="550">
        <v>11.92</v>
      </c>
      <c r="H1034" s="551">
        <v>11.367857000000001</v>
      </c>
      <c r="I1034" s="550">
        <v>568700</v>
      </c>
    </row>
    <row r="1035" spans="1:9" x14ac:dyDescent="0.2">
      <c r="A1035" s="549">
        <v>3781</v>
      </c>
      <c r="B1035" s="549">
        <v>8</v>
      </c>
      <c r="C1035" s="548">
        <v>42612</v>
      </c>
      <c r="D1035" s="550">
        <v>11.97</v>
      </c>
      <c r="E1035" s="550">
        <v>11.85</v>
      </c>
      <c r="F1035" s="550">
        <v>11.99</v>
      </c>
      <c r="G1035" s="550">
        <v>11.79</v>
      </c>
      <c r="H1035" s="551">
        <v>11.3011</v>
      </c>
      <c r="I1035" s="550">
        <v>726000</v>
      </c>
    </row>
    <row r="1036" spans="1:9" x14ac:dyDescent="0.2">
      <c r="A1036" s="549">
        <v>3782</v>
      </c>
      <c r="B1036" s="549">
        <v>8</v>
      </c>
      <c r="C1036" s="548">
        <v>42613</v>
      </c>
      <c r="D1036" s="550">
        <v>11.85</v>
      </c>
      <c r="E1036" s="550">
        <v>11.84</v>
      </c>
      <c r="F1036" s="550">
        <v>11.87</v>
      </c>
      <c r="G1036" s="550">
        <v>11.7</v>
      </c>
      <c r="H1036" s="551">
        <v>11.291562000000001</v>
      </c>
      <c r="I1036" s="550">
        <v>848000</v>
      </c>
    </row>
    <row r="1037" spans="1:9" x14ac:dyDescent="0.2">
      <c r="A1037" s="549">
        <v>3783</v>
      </c>
      <c r="B1037" s="549">
        <v>8</v>
      </c>
      <c r="C1037" s="548">
        <v>42614</v>
      </c>
      <c r="D1037" s="550">
        <v>11.85</v>
      </c>
      <c r="E1037" s="550">
        <v>12.01</v>
      </c>
      <c r="F1037" s="550">
        <v>12.01</v>
      </c>
      <c r="G1037" s="550">
        <v>11.8</v>
      </c>
      <c r="H1037" s="551">
        <v>11.453687</v>
      </c>
      <c r="I1037" s="550">
        <v>1490300</v>
      </c>
    </row>
    <row r="1038" spans="1:9" x14ac:dyDescent="0.2">
      <c r="A1038" s="549">
        <v>3784</v>
      </c>
      <c r="B1038" s="549">
        <v>8</v>
      </c>
      <c r="C1038" s="548">
        <v>42615</v>
      </c>
      <c r="D1038" s="550">
        <v>12.04</v>
      </c>
      <c r="E1038" s="550">
        <v>12.09</v>
      </c>
      <c r="F1038" s="550">
        <v>12.14</v>
      </c>
      <c r="G1038" s="550">
        <v>12.01</v>
      </c>
      <c r="H1038" s="551">
        <v>11.529982</v>
      </c>
      <c r="I1038" s="550">
        <v>391500</v>
      </c>
    </row>
    <row r="1039" spans="1:9" x14ac:dyDescent="0.2">
      <c r="A1039" s="549">
        <v>3785</v>
      </c>
      <c r="B1039" s="549">
        <v>8</v>
      </c>
      <c r="C1039" s="548">
        <v>42619</v>
      </c>
      <c r="D1039" s="550">
        <v>12.11</v>
      </c>
      <c r="E1039" s="550">
        <v>12.14</v>
      </c>
      <c r="F1039" s="550">
        <v>12.14</v>
      </c>
      <c r="G1039" s="550">
        <v>12.08</v>
      </c>
      <c r="H1039" s="551">
        <v>11.577666000000001</v>
      </c>
      <c r="I1039" s="550">
        <v>464300</v>
      </c>
    </row>
    <row r="1040" spans="1:9" x14ac:dyDescent="0.2">
      <c r="A1040" s="549">
        <v>3786</v>
      </c>
      <c r="B1040" s="549">
        <v>8</v>
      </c>
      <c r="C1040" s="548">
        <v>42620</v>
      </c>
      <c r="D1040" s="550">
        <v>12.14</v>
      </c>
      <c r="E1040" s="550">
        <v>12.07</v>
      </c>
      <c r="F1040" s="550">
        <v>12.14</v>
      </c>
      <c r="G1040" s="550">
        <v>12.03</v>
      </c>
      <c r="H1040" s="551">
        <v>11.510907</v>
      </c>
      <c r="I1040" s="550">
        <v>464100</v>
      </c>
    </row>
    <row r="1041" spans="1:9" x14ac:dyDescent="0.2">
      <c r="A1041" s="549">
        <v>3787</v>
      </c>
      <c r="B1041" s="549">
        <v>8</v>
      </c>
      <c r="C1041" s="548">
        <v>42621</v>
      </c>
      <c r="D1041" s="550">
        <v>12.08</v>
      </c>
      <c r="E1041" s="550">
        <v>12.07</v>
      </c>
      <c r="F1041" s="550">
        <v>12.1</v>
      </c>
      <c r="G1041" s="550">
        <v>11.98</v>
      </c>
      <c r="H1041" s="551">
        <v>11.510907</v>
      </c>
      <c r="I1041" s="550">
        <v>495400</v>
      </c>
    </row>
    <row r="1042" spans="1:9" x14ac:dyDescent="0.2">
      <c r="A1042" s="549">
        <v>3788</v>
      </c>
      <c r="B1042" s="549">
        <v>8</v>
      </c>
      <c r="C1042" s="548">
        <v>42622</v>
      </c>
      <c r="D1042" s="550">
        <v>12.06</v>
      </c>
      <c r="E1042" s="550">
        <v>11.93</v>
      </c>
      <c r="F1042" s="550">
        <v>12.07</v>
      </c>
      <c r="G1042" s="550">
        <v>11.84</v>
      </c>
      <c r="H1042" s="551">
        <v>11.377394000000001</v>
      </c>
      <c r="I1042" s="550">
        <v>710600</v>
      </c>
    </row>
    <row r="1043" spans="1:9" x14ac:dyDescent="0.2">
      <c r="A1043" s="549">
        <v>3789</v>
      </c>
      <c r="B1043" s="549">
        <v>8</v>
      </c>
      <c r="C1043" s="548">
        <v>42625</v>
      </c>
      <c r="D1043" s="550">
        <v>11.9</v>
      </c>
      <c r="E1043" s="550">
        <v>11.92</v>
      </c>
      <c r="F1043" s="550">
        <v>12.01</v>
      </c>
      <c r="G1043" s="550">
        <v>11.82</v>
      </c>
      <c r="H1043" s="551">
        <v>11.367857000000001</v>
      </c>
      <c r="I1043" s="550">
        <v>607500</v>
      </c>
    </row>
    <row r="1044" spans="1:9" x14ac:dyDescent="0.2">
      <c r="A1044" s="549">
        <v>3790</v>
      </c>
      <c r="B1044" s="549">
        <v>8</v>
      </c>
      <c r="C1044" s="548">
        <v>42626</v>
      </c>
      <c r="D1044" s="550">
        <v>11.9</v>
      </c>
      <c r="E1044" s="550">
        <v>11.79</v>
      </c>
      <c r="F1044" s="550">
        <v>11.9</v>
      </c>
      <c r="G1044" s="550">
        <v>11.77</v>
      </c>
      <c r="H1044" s="551">
        <v>11.243878</v>
      </c>
      <c r="I1044" s="550">
        <v>371800</v>
      </c>
    </row>
    <row r="1045" spans="1:9" x14ac:dyDescent="0.2">
      <c r="A1045" s="549">
        <v>3791</v>
      </c>
      <c r="B1045" s="549">
        <v>8</v>
      </c>
      <c r="C1045" s="548">
        <v>42627</v>
      </c>
      <c r="D1045" s="550">
        <v>11.8</v>
      </c>
      <c r="E1045" s="550">
        <v>11.74</v>
      </c>
      <c r="F1045" s="550">
        <v>11.88</v>
      </c>
      <c r="G1045" s="550">
        <v>11.72</v>
      </c>
      <c r="H1045" s="551">
        <v>11.196194</v>
      </c>
      <c r="I1045" s="550">
        <v>475600</v>
      </c>
    </row>
    <row r="1046" spans="1:9" x14ac:dyDescent="0.2">
      <c r="A1046" s="549">
        <v>3792</v>
      </c>
      <c r="B1046" s="549">
        <v>8</v>
      </c>
      <c r="C1046" s="548">
        <v>42628</v>
      </c>
      <c r="D1046" s="550">
        <v>11.75</v>
      </c>
      <c r="E1046" s="550">
        <v>11.75</v>
      </c>
      <c r="F1046" s="550">
        <v>11.83</v>
      </c>
      <c r="G1046" s="550">
        <v>11.74</v>
      </c>
      <c r="H1046" s="551">
        <v>11.205731</v>
      </c>
      <c r="I1046" s="550">
        <v>508800</v>
      </c>
    </row>
    <row r="1047" spans="1:9" x14ac:dyDescent="0.2">
      <c r="A1047" s="549">
        <v>3793</v>
      </c>
      <c r="B1047" s="549">
        <v>8</v>
      </c>
      <c r="C1047" s="548">
        <v>42629</v>
      </c>
      <c r="D1047" s="550">
        <v>11.8</v>
      </c>
      <c r="E1047" s="550">
        <v>11.7</v>
      </c>
      <c r="F1047" s="550">
        <v>11.8</v>
      </c>
      <c r="G1047" s="550">
        <v>11.65</v>
      </c>
      <c r="H1047" s="551">
        <v>11.158047</v>
      </c>
      <c r="I1047" s="550">
        <v>1631400</v>
      </c>
    </row>
    <row r="1048" spans="1:9" x14ac:dyDescent="0.2">
      <c r="A1048" s="549">
        <v>3794</v>
      </c>
      <c r="B1048" s="549">
        <v>8</v>
      </c>
      <c r="C1048" s="548">
        <v>42632</v>
      </c>
      <c r="D1048" s="550">
        <v>11.75</v>
      </c>
      <c r="E1048" s="550">
        <v>11.71</v>
      </c>
      <c r="F1048" s="550">
        <v>11.76</v>
      </c>
      <c r="G1048" s="550">
        <v>11.71</v>
      </c>
      <c r="H1048" s="551">
        <v>11.167583</v>
      </c>
      <c r="I1048" s="550">
        <v>587600</v>
      </c>
    </row>
    <row r="1049" spans="1:9" x14ac:dyDescent="0.2">
      <c r="A1049" s="549">
        <v>3795</v>
      </c>
      <c r="B1049" s="549">
        <v>8</v>
      </c>
      <c r="C1049" s="548">
        <v>42633</v>
      </c>
      <c r="D1049" s="550">
        <v>11.75</v>
      </c>
      <c r="E1049" s="550">
        <v>11.74</v>
      </c>
      <c r="F1049" s="550">
        <v>11.82</v>
      </c>
      <c r="G1049" s="550">
        <v>11.73</v>
      </c>
      <c r="H1049" s="551">
        <v>11.196194</v>
      </c>
      <c r="I1049" s="550">
        <v>1255100</v>
      </c>
    </row>
    <row r="1050" spans="1:9" x14ac:dyDescent="0.2">
      <c r="A1050" s="549">
        <v>3796</v>
      </c>
      <c r="B1050" s="549">
        <v>8</v>
      </c>
      <c r="C1050" s="548">
        <v>42634</v>
      </c>
      <c r="D1050" s="550">
        <v>11.82</v>
      </c>
      <c r="E1050" s="550">
        <v>11.91</v>
      </c>
      <c r="F1050" s="550">
        <v>11.96</v>
      </c>
      <c r="G1050" s="550">
        <v>11.77</v>
      </c>
      <c r="H1050" s="551">
        <v>11.358320000000001</v>
      </c>
      <c r="I1050" s="550">
        <v>1611400</v>
      </c>
    </row>
    <row r="1051" spans="1:9" x14ac:dyDescent="0.2">
      <c r="A1051" s="549">
        <v>3797</v>
      </c>
      <c r="B1051" s="549">
        <v>8</v>
      </c>
      <c r="C1051" s="548">
        <v>42635</v>
      </c>
      <c r="D1051" s="550">
        <v>12.05</v>
      </c>
      <c r="E1051" s="550">
        <v>11.98</v>
      </c>
      <c r="F1051" s="550">
        <v>12.07</v>
      </c>
      <c r="G1051" s="550">
        <v>11.96</v>
      </c>
      <c r="H1051" s="551">
        <v>11.425076000000001</v>
      </c>
      <c r="I1051" s="550">
        <v>1187800</v>
      </c>
    </row>
    <row r="1052" spans="1:9" x14ac:dyDescent="0.2">
      <c r="A1052" s="549">
        <v>3798</v>
      </c>
      <c r="B1052" s="549">
        <v>8</v>
      </c>
      <c r="C1052" s="548">
        <v>42636</v>
      </c>
      <c r="D1052" s="550">
        <v>12</v>
      </c>
      <c r="E1052" s="550">
        <v>12.01</v>
      </c>
      <c r="F1052" s="550">
        <v>12.04</v>
      </c>
      <c r="G1052" s="550">
        <v>11.92</v>
      </c>
      <c r="H1052" s="551">
        <v>11.453687</v>
      </c>
      <c r="I1052" s="550">
        <v>856900</v>
      </c>
    </row>
    <row r="1053" spans="1:9" x14ac:dyDescent="0.2">
      <c r="A1053" s="549">
        <v>3799</v>
      </c>
      <c r="B1053" s="549">
        <v>8</v>
      </c>
      <c r="C1053" s="548">
        <v>42639</v>
      </c>
      <c r="D1053" s="550">
        <v>12.01</v>
      </c>
      <c r="E1053" s="550">
        <v>12.05</v>
      </c>
      <c r="F1053" s="550">
        <v>12.08</v>
      </c>
      <c r="G1053" s="550">
        <v>12</v>
      </c>
      <c r="H1053" s="551">
        <v>11.491835</v>
      </c>
      <c r="I1053" s="550">
        <v>493600</v>
      </c>
    </row>
    <row r="1054" spans="1:9" x14ac:dyDescent="0.2">
      <c r="A1054" s="549">
        <v>3800</v>
      </c>
      <c r="B1054" s="549">
        <v>8</v>
      </c>
      <c r="C1054" s="548">
        <v>42640</v>
      </c>
      <c r="D1054" s="550">
        <v>12.04</v>
      </c>
      <c r="E1054" s="550">
        <v>11.98</v>
      </c>
      <c r="F1054" s="550">
        <v>12.06</v>
      </c>
      <c r="G1054" s="550">
        <v>11.92</v>
      </c>
      <c r="H1054" s="551">
        <v>11.425076000000001</v>
      </c>
      <c r="I1054" s="550">
        <v>766600</v>
      </c>
    </row>
    <row r="1055" spans="1:9" x14ac:dyDescent="0.2">
      <c r="A1055" s="549">
        <v>3801</v>
      </c>
      <c r="B1055" s="549">
        <v>8</v>
      </c>
      <c r="C1055" s="548">
        <v>42641</v>
      </c>
      <c r="D1055" s="550">
        <v>11.91</v>
      </c>
      <c r="E1055" s="550">
        <v>11.86</v>
      </c>
      <c r="F1055" s="550">
        <v>11.93</v>
      </c>
      <c r="G1055" s="550">
        <v>11.78</v>
      </c>
      <c r="H1055" s="551">
        <v>11.442152999999999</v>
      </c>
      <c r="I1055" s="550">
        <v>885500</v>
      </c>
    </row>
    <row r="1056" spans="1:9" x14ac:dyDescent="0.2">
      <c r="A1056" s="549">
        <v>3802</v>
      </c>
      <c r="B1056" s="549">
        <v>8</v>
      </c>
      <c r="C1056" s="548">
        <v>42642</v>
      </c>
      <c r="D1056" s="550">
        <v>11.88</v>
      </c>
      <c r="E1056" s="550">
        <v>11.88</v>
      </c>
      <c r="F1056" s="550">
        <v>11.93</v>
      </c>
      <c r="G1056" s="550">
        <v>11.78</v>
      </c>
      <c r="H1056" s="551">
        <v>11.461449999999999</v>
      </c>
      <c r="I1056" s="550">
        <v>462600</v>
      </c>
    </row>
    <row r="1057" spans="1:9" x14ac:dyDescent="0.2">
      <c r="A1057" s="549">
        <v>3803</v>
      </c>
      <c r="B1057" s="549">
        <v>8</v>
      </c>
      <c r="C1057" s="548">
        <v>42643</v>
      </c>
      <c r="D1057" s="550">
        <v>11.9</v>
      </c>
      <c r="E1057" s="550">
        <v>11.75</v>
      </c>
      <c r="F1057" s="550">
        <v>11.93</v>
      </c>
      <c r="G1057" s="550">
        <v>11.73</v>
      </c>
      <c r="H1057" s="551">
        <v>11.336029</v>
      </c>
      <c r="I1057" s="550">
        <v>623700</v>
      </c>
    </row>
    <row r="1058" spans="1:9" x14ac:dyDescent="0.2">
      <c r="A1058" s="549">
        <v>3804</v>
      </c>
      <c r="B1058" s="549">
        <v>8</v>
      </c>
      <c r="C1058" s="548">
        <v>42646</v>
      </c>
      <c r="D1058" s="550">
        <v>11.77</v>
      </c>
      <c r="E1058" s="550">
        <v>11.6</v>
      </c>
      <c r="F1058" s="550">
        <v>11.77</v>
      </c>
      <c r="G1058" s="550">
        <v>11.55</v>
      </c>
      <c r="H1058" s="551">
        <v>11.191314999999999</v>
      </c>
      <c r="I1058" s="550">
        <v>639100</v>
      </c>
    </row>
    <row r="1059" spans="1:9" x14ac:dyDescent="0.2">
      <c r="A1059" s="549">
        <v>3805</v>
      </c>
      <c r="B1059" s="549">
        <v>8</v>
      </c>
      <c r="C1059" s="548">
        <v>42647</v>
      </c>
      <c r="D1059" s="550">
        <v>11.58</v>
      </c>
      <c r="E1059" s="550">
        <v>11.53</v>
      </c>
      <c r="F1059" s="550">
        <v>11.59</v>
      </c>
      <c r="G1059" s="550">
        <v>11.41</v>
      </c>
      <c r="H1059" s="551">
        <v>11.12378</v>
      </c>
      <c r="I1059" s="550">
        <v>1207000</v>
      </c>
    </row>
    <row r="1060" spans="1:9" x14ac:dyDescent="0.2">
      <c r="A1060" s="549">
        <v>3806</v>
      </c>
      <c r="B1060" s="549">
        <v>8</v>
      </c>
      <c r="C1060" s="548">
        <v>42648</v>
      </c>
      <c r="D1060" s="550">
        <v>11.57</v>
      </c>
      <c r="E1060" s="550">
        <v>11.42</v>
      </c>
      <c r="F1060" s="550">
        <v>11.61</v>
      </c>
      <c r="G1060" s="550">
        <v>11.39</v>
      </c>
      <c r="H1060" s="551">
        <v>11.017656000000001</v>
      </c>
      <c r="I1060" s="550">
        <v>1586700</v>
      </c>
    </row>
    <row r="1061" spans="1:9" x14ac:dyDescent="0.2">
      <c r="A1061" s="549">
        <v>3807</v>
      </c>
      <c r="B1061" s="549">
        <v>8</v>
      </c>
      <c r="C1061" s="548">
        <v>42649</v>
      </c>
      <c r="D1061" s="550">
        <v>11.42</v>
      </c>
      <c r="E1061" s="550">
        <v>11.51</v>
      </c>
      <c r="F1061" s="550">
        <v>11.54</v>
      </c>
      <c r="G1061" s="550">
        <v>11.41</v>
      </c>
      <c r="H1061" s="551">
        <v>11.104486</v>
      </c>
      <c r="I1061" s="550">
        <v>1776800</v>
      </c>
    </row>
    <row r="1062" spans="1:9" x14ac:dyDescent="0.2">
      <c r="A1062" s="549">
        <v>3808</v>
      </c>
      <c r="B1062" s="549">
        <v>8</v>
      </c>
      <c r="C1062" s="548">
        <v>42650</v>
      </c>
      <c r="D1062" s="550">
        <v>11.51</v>
      </c>
      <c r="E1062" s="550">
        <v>11.38</v>
      </c>
      <c r="F1062" s="550">
        <v>11.52</v>
      </c>
      <c r="G1062" s="550">
        <v>11.35</v>
      </c>
      <c r="H1062" s="551">
        <v>10.979065</v>
      </c>
      <c r="I1062" s="550">
        <v>709600</v>
      </c>
    </row>
    <row r="1063" spans="1:9" x14ac:dyDescent="0.2">
      <c r="A1063" s="549">
        <v>3809</v>
      </c>
      <c r="B1063" s="549">
        <v>8</v>
      </c>
      <c r="C1063" s="548">
        <v>42654</v>
      </c>
      <c r="D1063" s="550">
        <v>11.39</v>
      </c>
      <c r="E1063" s="550">
        <v>11.35</v>
      </c>
      <c r="F1063" s="550">
        <v>11.4</v>
      </c>
      <c r="G1063" s="550">
        <v>11.3</v>
      </c>
      <c r="H1063" s="551">
        <v>10.950122</v>
      </c>
      <c r="I1063" s="550">
        <v>490300</v>
      </c>
    </row>
    <row r="1064" spans="1:9" x14ac:dyDescent="0.2">
      <c r="A1064" s="549">
        <v>3810</v>
      </c>
      <c r="B1064" s="549">
        <v>8</v>
      </c>
      <c r="C1064" s="548">
        <v>42655</v>
      </c>
      <c r="D1064" s="550">
        <v>11.32</v>
      </c>
      <c r="E1064" s="550">
        <v>11.4</v>
      </c>
      <c r="F1064" s="550">
        <v>11.45</v>
      </c>
      <c r="G1064" s="550">
        <v>11.32</v>
      </c>
      <c r="H1064" s="551">
        <v>10.99836</v>
      </c>
      <c r="I1064" s="550">
        <v>1093500</v>
      </c>
    </row>
    <row r="1065" spans="1:9" x14ac:dyDescent="0.2">
      <c r="A1065" s="549">
        <v>3811</v>
      </c>
      <c r="B1065" s="549">
        <v>8</v>
      </c>
      <c r="C1065" s="548">
        <v>42656</v>
      </c>
      <c r="D1065" s="550">
        <v>11.39</v>
      </c>
      <c r="E1065" s="550">
        <v>11.54</v>
      </c>
      <c r="F1065" s="550">
        <v>11.59</v>
      </c>
      <c r="G1065" s="550">
        <v>11.36</v>
      </c>
      <c r="H1065" s="551">
        <v>11.133428</v>
      </c>
      <c r="I1065" s="550">
        <v>1369000</v>
      </c>
    </row>
    <row r="1066" spans="1:9" x14ac:dyDescent="0.2">
      <c r="A1066" s="549">
        <v>3812</v>
      </c>
      <c r="B1066" s="549">
        <v>8</v>
      </c>
      <c r="C1066" s="548">
        <v>42657</v>
      </c>
      <c r="D1066" s="550">
        <v>11.55</v>
      </c>
      <c r="E1066" s="550">
        <v>11.5</v>
      </c>
      <c r="F1066" s="550">
        <v>11.56</v>
      </c>
      <c r="G1066" s="550">
        <v>11.47</v>
      </c>
      <c r="H1066" s="551">
        <v>11.094837</v>
      </c>
      <c r="I1066" s="550">
        <v>422300</v>
      </c>
    </row>
    <row r="1067" spans="1:9" x14ac:dyDescent="0.2">
      <c r="A1067" s="549">
        <v>3813</v>
      </c>
      <c r="B1067" s="549">
        <v>8</v>
      </c>
      <c r="C1067" s="548">
        <v>42660</v>
      </c>
      <c r="D1067" s="550">
        <v>11.53</v>
      </c>
      <c r="E1067" s="550">
        <v>11.58</v>
      </c>
      <c r="F1067" s="550">
        <v>11.59</v>
      </c>
      <c r="G1067" s="550">
        <v>11.5</v>
      </c>
      <c r="H1067" s="551">
        <v>11.172019000000001</v>
      </c>
      <c r="I1067" s="550">
        <v>398600</v>
      </c>
    </row>
    <row r="1068" spans="1:9" x14ac:dyDescent="0.2">
      <c r="A1068" s="549">
        <v>3814</v>
      </c>
      <c r="B1068" s="549">
        <v>8</v>
      </c>
      <c r="C1068" s="548">
        <v>42661</v>
      </c>
      <c r="D1068" s="550">
        <v>11.62</v>
      </c>
      <c r="E1068" s="550">
        <v>11.58</v>
      </c>
      <c r="F1068" s="550">
        <v>11.62</v>
      </c>
      <c r="G1068" s="550">
        <v>11.56</v>
      </c>
      <c r="H1068" s="551">
        <v>11.172019000000001</v>
      </c>
      <c r="I1068" s="550">
        <v>684900</v>
      </c>
    </row>
    <row r="1069" spans="1:9" x14ac:dyDescent="0.2">
      <c r="A1069" s="549">
        <v>3815</v>
      </c>
      <c r="B1069" s="549">
        <v>8</v>
      </c>
      <c r="C1069" s="548">
        <v>42662</v>
      </c>
      <c r="D1069" s="550">
        <v>11.67</v>
      </c>
      <c r="E1069" s="550">
        <v>11.67</v>
      </c>
      <c r="F1069" s="550">
        <v>11.74</v>
      </c>
      <c r="G1069" s="550">
        <v>11.58</v>
      </c>
      <c r="H1069" s="551">
        <v>11.258846999999999</v>
      </c>
      <c r="I1069" s="550">
        <v>1080400</v>
      </c>
    </row>
    <row r="1070" spans="1:9" x14ac:dyDescent="0.2">
      <c r="A1070" s="549">
        <v>3816</v>
      </c>
      <c r="B1070" s="549">
        <v>8</v>
      </c>
      <c r="C1070" s="548">
        <v>42663</v>
      </c>
      <c r="D1070" s="550">
        <v>11.71</v>
      </c>
      <c r="E1070" s="550">
        <v>11.61</v>
      </c>
      <c r="F1070" s="550">
        <v>11.72</v>
      </c>
      <c r="G1070" s="550">
        <v>11.58</v>
      </c>
      <c r="H1070" s="551">
        <v>11.200962000000001</v>
      </c>
      <c r="I1070" s="550">
        <v>1275800</v>
      </c>
    </row>
    <row r="1071" spans="1:9" x14ac:dyDescent="0.2">
      <c r="A1071" s="549">
        <v>3817</v>
      </c>
      <c r="B1071" s="549">
        <v>8</v>
      </c>
      <c r="C1071" s="548">
        <v>42664</v>
      </c>
      <c r="D1071" s="550">
        <v>11.69</v>
      </c>
      <c r="E1071" s="550">
        <v>11.73</v>
      </c>
      <c r="F1071" s="550">
        <v>11.9</v>
      </c>
      <c r="G1071" s="550">
        <v>11.65</v>
      </c>
      <c r="H1071" s="551">
        <v>11.316732999999999</v>
      </c>
      <c r="I1071" s="550">
        <v>2652800</v>
      </c>
    </row>
    <row r="1072" spans="1:9" x14ac:dyDescent="0.2">
      <c r="A1072" s="549">
        <v>3818</v>
      </c>
      <c r="B1072" s="549">
        <v>8</v>
      </c>
      <c r="C1072" s="548">
        <v>42667</v>
      </c>
      <c r="D1072" s="550">
        <v>11.82</v>
      </c>
      <c r="E1072" s="550">
        <v>11.88</v>
      </c>
      <c r="F1072" s="550">
        <v>11.98</v>
      </c>
      <c r="G1072" s="550">
        <v>11.78</v>
      </c>
      <c r="H1072" s="551">
        <v>11.461449999999999</v>
      </c>
      <c r="I1072" s="550">
        <v>1458300</v>
      </c>
    </row>
    <row r="1073" spans="1:9" x14ac:dyDescent="0.2">
      <c r="A1073" s="549">
        <v>3819</v>
      </c>
      <c r="B1073" s="549">
        <v>8</v>
      </c>
      <c r="C1073" s="548">
        <v>42668</v>
      </c>
      <c r="D1073" s="550">
        <v>11.9</v>
      </c>
      <c r="E1073" s="550">
        <v>11.81</v>
      </c>
      <c r="F1073" s="550">
        <v>11.9</v>
      </c>
      <c r="G1073" s="550">
        <v>11.79</v>
      </c>
      <c r="H1073" s="551">
        <v>11.393915</v>
      </c>
      <c r="I1073" s="550">
        <v>902100</v>
      </c>
    </row>
    <row r="1074" spans="1:9" x14ac:dyDescent="0.2">
      <c r="A1074" s="549">
        <v>3820</v>
      </c>
      <c r="B1074" s="549">
        <v>8</v>
      </c>
      <c r="C1074" s="548">
        <v>42669</v>
      </c>
      <c r="D1074" s="550">
        <v>11.8</v>
      </c>
      <c r="E1074" s="550">
        <v>11.75</v>
      </c>
      <c r="F1074" s="550">
        <v>11.81</v>
      </c>
      <c r="G1074" s="550">
        <v>11.71</v>
      </c>
      <c r="H1074" s="551">
        <v>11.336029</v>
      </c>
      <c r="I1074" s="550">
        <v>602100</v>
      </c>
    </row>
    <row r="1075" spans="1:9" x14ac:dyDescent="0.2">
      <c r="A1075" s="549">
        <v>3821</v>
      </c>
      <c r="B1075" s="549">
        <v>8</v>
      </c>
      <c r="C1075" s="548">
        <v>42670</v>
      </c>
      <c r="D1075" s="550">
        <v>11.78</v>
      </c>
      <c r="E1075" s="550">
        <v>11.72</v>
      </c>
      <c r="F1075" s="550">
        <v>11.78</v>
      </c>
      <c r="G1075" s="550">
        <v>11.67</v>
      </c>
      <c r="H1075" s="551">
        <v>11.307086</v>
      </c>
      <c r="I1075" s="550">
        <v>610500</v>
      </c>
    </row>
    <row r="1076" spans="1:9" x14ac:dyDescent="0.2">
      <c r="A1076" s="549">
        <v>3822</v>
      </c>
      <c r="B1076" s="549">
        <v>8</v>
      </c>
      <c r="C1076" s="548">
        <v>42671</v>
      </c>
      <c r="D1076" s="550">
        <v>11.72</v>
      </c>
      <c r="E1076" s="550">
        <v>11.78</v>
      </c>
      <c r="F1076" s="550">
        <v>11.82</v>
      </c>
      <c r="G1076" s="550">
        <v>11.72</v>
      </c>
      <c r="H1076" s="551">
        <v>11.364972</v>
      </c>
      <c r="I1076" s="550">
        <v>613100</v>
      </c>
    </row>
    <row r="1077" spans="1:9" x14ac:dyDescent="0.2">
      <c r="A1077" s="549">
        <v>3823</v>
      </c>
      <c r="B1077" s="549">
        <v>8</v>
      </c>
      <c r="C1077" s="548">
        <v>42674</v>
      </c>
      <c r="D1077" s="550">
        <v>11.8</v>
      </c>
      <c r="E1077" s="550">
        <v>11.85</v>
      </c>
      <c r="F1077" s="550">
        <v>11.89</v>
      </c>
      <c r="G1077" s="550">
        <v>11.76</v>
      </c>
      <c r="H1077" s="551">
        <v>11.432506999999999</v>
      </c>
      <c r="I1077" s="550">
        <v>975400</v>
      </c>
    </row>
    <row r="1078" spans="1:9" x14ac:dyDescent="0.2">
      <c r="A1078" s="549">
        <v>3824</v>
      </c>
      <c r="B1078" s="549">
        <v>8</v>
      </c>
      <c r="C1078" s="548">
        <v>42675</v>
      </c>
      <c r="D1078" s="550">
        <v>11.89</v>
      </c>
      <c r="E1078" s="550">
        <v>11.77</v>
      </c>
      <c r="F1078" s="550">
        <v>11.89</v>
      </c>
      <c r="G1078" s="550">
        <v>11.73</v>
      </c>
      <c r="H1078" s="551">
        <v>11.355325000000001</v>
      </c>
      <c r="I1078" s="550">
        <v>856200</v>
      </c>
    </row>
    <row r="1079" spans="1:9" x14ac:dyDescent="0.2">
      <c r="A1079" s="549">
        <v>3825</v>
      </c>
      <c r="B1079" s="549">
        <v>8</v>
      </c>
      <c r="C1079" s="548">
        <v>42676</v>
      </c>
      <c r="D1079" s="550">
        <v>11.77</v>
      </c>
      <c r="E1079" s="550">
        <v>11.58</v>
      </c>
      <c r="F1079" s="550">
        <v>11.77</v>
      </c>
      <c r="G1079" s="550">
        <v>11.52</v>
      </c>
      <c r="H1079" s="551">
        <v>11.172019000000001</v>
      </c>
      <c r="I1079" s="550">
        <v>722500</v>
      </c>
    </row>
    <row r="1080" spans="1:9" x14ac:dyDescent="0.2">
      <c r="A1080" s="549">
        <v>3826</v>
      </c>
      <c r="B1080" s="549">
        <v>8</v>
      </c>
      <c r="C1080" s="548">
        <v>42677</v>
      </c>
      <c r="D1080" s="550">
        <v>11.59</v>
      </c>
      <c r="E1080" s="550">
        <v>11.43</v>
      </c>
      <c r="F1080" s="550">
        <v>11.59</v>
      </c>
      <c r="G1080" s="550">
        <v>11.4</v>
      </c>
      <c r="H1080" s="551">
        <v>11.027304000000001</v>
      </c>
      <c r="I1080" s="550">
        <v>931200</v>
      </c>
    </row>
    <row r="1081" spans="1:9" x14ac:dyDescent="0.2">
      <c r="A1081" s="549">
        <v>3827</v>
      </c>
      <c r="B1081" s="549">
        <v>8</v>
      </c>
      <c r="C1081" s="548">
        <v>42678</v>
      </c>
      <c r="D1081" s="550">
        <v>11.45</v>
      </c>
      <c r="E1081" s="550">
        <v>11.46</v>
      </c>
      <c r="F1081" s="550">
        <v>11.53</v>
      </c>
      <c r="G1081" s="550">
        <v>11.39</v>
      </c>
      <c r="H1081" s="551">
        <v>11.056246</v>
      </c>
      <c r="I1081" s="550">
        <v>418200</v>
      </c>
    </row>
    <row r="1082" spans="1:9" x14ac:dyDescent="0.2">
      <c r="A1082" s="549">
        <v>3828</v>
      </c>
      <c r="B1082" s="549">
        <v>8</v>
      </c>
      <c r="C1082" s="548">
        <v>42681</v>
      </c>
      <c r="D1082" s="550">
        <v>11.55</v>
      </c>
      <c r="E1082" s="550">
        <v>11.5</v>
      </c>
      <c r="F1082" s="550">
        <v>11.55</v>
      </c>
      <c r="G1082" s="550">
        <v>11.42</v>
      </c>
      <c r="H1082" s="551">
        <v>11.094837</v>
      </c>
      <c r="I1082" s="550">
        <v>745300</v>
      </c>
    </row>
    <row r="1083" spans="1:9" x14ac:dyDescent="0.2">
      <c r="A1083" s="549">
        <v>3829</v>
      </c>
      <c r="B1083" s="549">
        <v>8</v>
      </c>
      <c r="C1083" s="548">
        <v>42682</v>
      </c>
      <c r="D1083" s="550">
        <v>11.5</v>
      </c>
      <c r="E1083" s="550">
        <v>11.57</v>
      </c>
      <c r="F1083" s="550">
        <v>11.6</v>
      </c>
      <c r="G1083" s="550">
        <v>11.41</v>
      </c>
      <c r="H1083" s="551">
        <v>11.162371</v>
      </c>
      <c r="I1083" s="550">
        <v>993100</v>
      </c>
    </row>
    <row r="1084" spans="1:9" x14ac:dyDescent="0.2">
      <c r="A1084" s="549">
        <v>3830</v>
      </c>
      <c r="B1084" s="549">
        <v>8</v>
      </c>
      <c r="C1084" s="548">
        <v>42683</v>
      </c>
      <c r="D1084" s="550">
        <v>11.3</v>
      </c>
      <c r="E1084" s="550">
        <v>11.17</v>
      </c>
      <c r="F1084" s="550">
        <v>11.42</v>
      </c>
      <c r="G1084" s="550">
        <v>11.11</v>
      </c>
      <c r="H1084" s="551">
        <v>10.776464000000001</v>
      </c>
      <c r="I1084" s="550">
        <v>1905000</v>
      </c>
    </row>
    <row r="1085" spans="1:9" x14ac:dyDescent="0.2">
      <c r="A1085" s="549">
        <v>3831</v>
      </c>
      <c r="B1085" s="549">
        <v>8</v>
      </c>
      <c r="C1085" s="548">
        <v>42684</v>
      </c>
      <c r="D1085" s="550">
        <v>11.19</v>
      </c>
      <c r="E1085" s="550">
        <v>10.79</v>
      </c>
      <c r="F1085" s="550">
        <v>11.2</v>
      </c>
      <c r="G1085" s="550">
        <v>10.77</v>
      </c>
      <c r="H1085" s="551">
        <v>10.409852000000001</v>
      </c>
      <c r="I1085" s="550">
        <v>2415000</v>
      </c>
    </row>
    <row r="1086" spans="1:9" x14ac:dyDescent="0.2">
      <c r="A1086" s="549">
        <v>3832</v>
      </c>
      <c r="B1086" s="549">
        <v>8</v>
      </c>
      <c r="C1086" s="548">
        <v>42685</v>
      </c>
      <c r="D1086" s="550">
        <v>10.87</v>
      </c>
      <c r="E1086" s="550">
        <v>10.69</v>
      </c>
      <c r="F1086" s="550">
        <v>10.95</v>
      </c>
      <c r="G1086" s="550">
        <v>10.62</v>
      </c>
      <c r="H1086" s="551">
        <v>10.313374</v>
      </c>
      <c r="I1086" s="550">
        <v>1997700</v>
      </c>
    </row>
    <row r="1087" spans="1:9" x14ac:dyDescent="0.2">
      <c r="A1087" s="549">
        <v>3833</v>
      </c>
      <c r="B1087" s="549">
        <v>8</v>
      </c>
      <c r="C1087" s="548">
        <v>42688</v>
      </c>
      <c r="D1087" s="550">
        <v>10.73</v>
      </c>
      <c r="E1087" s="550">
        <v>10.57</v>
      </c>
      <c r="F1087" s="550">
        <v>10.73</v>
      </c>
      <c r="G1087" s="550">
        <v>10.47</v>
      </c>
      <c r="H1087" s="551">
        <v>10.197601000000001</v>
      </c>
      <c r="I1087" s="550">
        <v>1990800</v>
      </c>
    </row>
    <row r="1088" spans="1:9" x14ac:dyDescent="0.2">
      <c r="A1088" s="549">
        <v>3834</v>
      </c>
      <c r="B1088" s="549">
        <v>8</v>
      </c>
      <c r="C1088" s="548">
        <v>42689</v>
      </c>
      <c r="D1088" s="550">
        <v>10.64</v>
      </c>
      <c r="E1088" s="550">
        <v>10.8</v>
      </c>
      <c r="F1088" s="550">
        <v>10.86</v>
      </c>
      <c r="G1088" s="550">
        <v>10.6</v>
      </c>
      <c r="H1088" s="551">
        <v>10.419499</v>
      </c>
      <c r="I1088" s="550">
        <v>2934800</v>
      </c>
    </row>
    <row r="1089" spans="1:9" x14ac:dyDescent="0.2">
      <c r="A1089" s="549">
        <v>3835</v>
      </c>
      <c r="B1089" s="549">
        <v>8</v>
      </c>
      <c r="C1089" s="548">
        <v>42690</v>
      </c>
      <c r="D1089" s="550">
        <v>10.86</v>
      </c>
      <c r="E1089" s="550">
        <v>10.79</v>
      </c>
      <c r="F1089" s="550">
        <v>10.89</v>
      </c>
      <c r="G1089" s="550">
        <v>10.77</v>
      </c>
      <c r="H1089" s="551">
        <v>10.409852000000001</v>
      </c>
      <c r="I1089" s="550">
        <v>1254200</v>
      </c>
    </row>
    <row r="1090" spans="1:9" x14ac:dyDescent="0.2">
      <c r="A1090" s="549">
        <v>3836</v>
      </c>
      <c r="B1090" s="549">
        <v>8</v>
      </c>
      <c r="C1090" s="548">
        <v>42691</v>
      </c>
      <c r="D1090" s="550">
        <v>10.84</v>
      </c>
      <c r="E1090" s="550">
        <v>10.73</v>
      </c>
      <c r="F1090" s="550">
        <v>10.84</v>
      </c>
      <c r="G1090" s="550">
        <v>10.72</v>
      </c>
      <c r="H1090" s="551">
        <v>10.351965</v>
      </c>
      <c r="I1090" s="550">
        <v>1726900</v>
      </c>
    </row>
    <row r="1091" spans="1:9" x14ac:dyDescent="0.2">
      <c r="A1091" s="549">
        <v>3837</v>
      </c>
      <c r="B1091" s="549">
        <v>8</v>
      </c>
      <c r="C1091" s="548">
        <v>42692</v>
      </c>
      <c r="D1091" s="550">
        <v>10.69</v>
      </c>
      <c r="E1091" s="550">
        <v>10.68</v>
      </c>
      <c r="F1091" s="550">
        <v>10.74</v>
      </c>
      <c r="G1091" s="550">
        <v>10.64</v>
      </c>
      <c r="H1091" s="551">
        <v>10.303727</v>
      </c>
      <c r="I1091" s="550">
        <v>1699500</v>
      </c>
    </row>
    <row r="1092" spans="1:9" x14ac:dyDescent="0.2">
      <c r="A1092" s="549">
        <v>3838</v>
      </c>
      <c r="B1092" s="549">
        <v>8</v>
      </c>
      <c r="C1092" s="548">
        <v>42695</v>
      </c>
      <c r="D1092" s="550">
        <v>10.65</v>
      </c>
      <c r="E1092" s="550">
        <v>10.65</v>
      </c>
      <c r="F1092" s="550">
        <v>10.7</v>
      </c>
      <c r="G1092" s="550">
        <v>10.61</v>
      </c>
      <c r="H1092" s="551">
        <v>10.274784</v>
      </c>
      <c r="I1092" s="550">
        <v>2239900</v>
      </c>
    </row>
    <row r="1093" spans="1:9" x14ac:dyDescent="0.2">
      <c r="A1093" s="549">
        <v>3839</v>
      </c>
      <c r="B1093" s="549">
        <v>8</v>
      </c>
      <c r="C1093" s="548">
        <v>42696</v>
      </c>
      <c r="D1093" s="550">
        <v>10.69</v>
      </c>
      <c r="E1093" s="550">
        <v>10.6</v>
      </c>
      <c r="F1093" s="550">
        <v>10.69</v>
      </c>
      <c r="G1093" s="550">
        <v>10.57</v>
      </c>
      <c r="H1093" s="551">
        <v>10.226545</v>
      </c>
      <c r="I1093" s="550">
        <v>1864600</v>
      </c>
    </row>
    <row r="1094" spans="1:9" x14ac:dyDescent="0.2">
      <c r="A1094" s="549">
        <v>3840</v>
      </c>
      <c r="B1094" s="549">
        <v>8</v>
      </c>
      <c r="C1094" s="548">
        <v>42697</v>
      </c>
      <c r="D1094" s="550">
        <v>10.59</v>
      </c>
      <c r="E1094" s="550">
        <v>10.64</v>
      </c>
      <c r="F1094" s="550">
        <v>10.65</v>
      </c>
      <c r="G1094" s="550">
        <v>10.57</v>
      </c>
      <c r="H1094" s="551">
        <v>10.265136999999999</v>
      </c>
      <c r="I1094" s="550">
        <v>1348700</v>
      </c>
    </row>
    <row r="1095" spans="1:9" x14ac:dyDescent="0.2">
      <c r="A1095" s="549">
        <v>3841</v>
      </c>
      <c r="B1095" s="549">
        <v>8</v>
      </c>
      <c r="C1095" s="548">
        <v>42698</v>
      </c>
      <c r="D1095" s="550">
        <v>10.66</v>
      </c>
      <c r="E1095" s="550">
        <v>10.69</v>
      </c>
      <c r="F1095" s="550">
        <v>10.74</v>
      </c>
      <c r="G1095" s="550">
        <v>10.64</v>
      </c>
      <c r="H1095" s="551">
        <v>10.313374</v>
      </c>
      <c r="I1095" s="550">
        <v>671400</v>
      </c>
    </row>
    <row r="1096" spans="1:9" x14ac:dyDescent="0.2">
      <c r="A1096" s="549">
        <v>3842</v>
      </c>
      <c r="B1096" s="549">
        <v>8</v>
      </c>
      <c r="C1096" s="548">
        <v>42699</v>
      </c>
      <c r="D1096" s="550">
        <v>10.77</v>
      </c>
      <c r="E1096" s="550">
        <v>10.69</v>
      </c>
      <c r="F1096" s="550">
        <v>10.79</v>
      </c>
      <c r="G1096" s="550">
        <v>10.62</v>
      </c>
      <c r="H1096" s="551">
        <v>10.313374</v>
      </c>
      <c r="I1096" s="550">
        <v>1721000</v>
      </c>
    </row>
    <row r="1097" spans="1:9" x14ac:dyDescent="0.2">
      <c r="A1097" s="549">
        <v>3843</v>
      </c>
      <c r="B1097" s="549">
        <v>8</v>
      </c>
      <c r="C1097" s="548">
        <v>42702</v>
      </c>
      <c r="D1097" s="550">
        <v>10.74</v>
      </c>
      <c r="E1097" s="550">
        <v>10.78</v>
      </c>
      <c r="F1097" s="550">
        <v>10.8</v>
      </c>
      <c r="G1097" s="550">
        <v>10.66</v>
      </c>
      <c r="H1097" s="551">
        <v>10.400204</v>
      </c>
      <c r="I1097" s="550">
        <v>1039200</v>
      </c>
    </row>
    <row r="1098" spans="1:9" x14ac:dyDescent="0.2">
      <c r="A1098" s="549">
        <v>3844</v>
      </c>
      <c r="B1098" s="549">
        <v>8</v>
      </c>
      <c r="C1098" s="548">
        <v>42703</v>
      </c>
      <c r="D1098" s="550">
        <v>10.8</v>
      </c>
      <c r="E1098" s="550">
        <v>11.02</v>
      </c>
      <c r="F1098" s="550">
        <v>11.04</v>
      </c>
      <c r="G1098" s="550">
        <v>10.75</v>
      </c>
      <c r="H1098" s="551">
        <v>10.631748999999999</v>
      </c>
      <c r="I1098" s="550">
        <v>2616200</v>
      </c>
    </row>
    <row r="1099" spans="1:9" x14ac:dyDescent="0.2">
      <c r="A1099" s="549">
        <v>3845</v>
      </c>
      <c r="B1099" s="549">
        <v>8</v>
      </c>
      <c r="C1099" s="548">
        <v>42704</v>
      </c>
      <c r="D1099" s="550">
        <v>11.09</v>
      </c>
      <c r="E1099" s="550">
        <v>11.13</v>
      </c>
      <c r="F1099" s="550">
        <v>11.14</v>
      </c>
      <c r="G1099" s="550">
        <v>10.95</v>
      </c>
      <c r="H1099" s="551">
        <v>10.737873</v>
      </c>
      <c r="I1099" s="550">
        <v>2388000</v>
      </c>
    </row>
    <row r="1100" spans="1:9" x14ac:dyDescent="0.2">
      <c r="A1100" s="549">
        <v>3846</v>
      </c>
      <c r="B1100" s="549">
        <v>8</v>
      </c>
      <c r="C1100" s="548">
        <v>42705</v>
      </c>
      <c r="D1100" s="550">
        <v>11.16</v>
      </c>
      <c r="E1100" s="550">
        <v>11.26</v>
      </c>
      <c r="F1100" s="550">
        <v>11.31</v>
      </c>
      <c r="G1100" s="550">
        <v>11.08</v>
      </c>
      <c r="H1100" s="551">
        <v>10.863292</v>
      </c>
      <c r="I1100" s="550">
        <v>2245800</v>
      </c>
    </row>
    <row r="1101" spans="1:9" x14ac:dyDescent="0.2">
      <c r="A1101" s="549">
        <v>3847</v>
      </c>
      <c r="B1101" s="549">
        <v>8</v>
      </c>
      <c r="C1101" s="548">
        <v>42706</v>
      </c>
      <c r="D1101" s="550">
        <v>11.09</v>
      </c>
      <c r="E1101" s="550">
        <v>11.03</v>
      </c>
      <c r="F1101" s="550">
        <v>11.25</v>
      </c>
      <c r="G1101" s="550">
        <v>11.02</v>
      </c>
      <c r="H1101" s="551">
        <v>10.641396</v>
      </c>
      <c r="I1101" s="550">
        <v>1422100</v>
      </c>
    </row>
    <row r="1102" spans="1:9" x14ac:dyDescent="0.2">
      <c r="A1102" s="549">
        <v>3848</v>
      </c>
      <c r="B1102" s="549">
        <v>8</v>
      </c>
      <c r="C1102" s="548">
        <v>42709</v>
      </c>
      <c r="D1102" s="550">
        <v>11.09</v>
      </c>
      <c r="E1102" s="550">
        <v>11.04</v>
      </c>
      <c r="F1102" s="550">
        <v>11.09</v>
      </c>
      <c r="G1102" s="550">
        <v>11</v>
      </c>
      <c r="H1102" s="551">
        <v>10.651044000000001</v>
      </c>
      <c r="I1102" s="550">
        <v>831000</v>
      </c>
    </row>
    <row r="1103" spans="1:9" x14ac:dyDescent="0.2">
      <c r="A1103" s="549">
        <v>3849</v>
      </c>
      <c r="B1103" s="549">
        <v>8</v>
      </c>
      <c r="C1103" s="548">
        <v>42710</v>
      </c>
      <c r="D1103" s="550">
        <v>11.05</v>
      </c>
      <c r="E1103" s="550">
        <v>10.98</v>
      </c>
      <c r="F1103" s="550">
        <v>11.07</v>
      </c>
      <c r="G1103" s="550">
        <v>10.88</v>
      </c>
      <c r="H1103" s="551">
        <v>10.593157</v>
      </c>
      <c r="I1103" s="550">
        <v>1135100</v>
      </c>
    </row>
    <row r="1104" spans="1:9" x14ac:dyDescent="0.2">
      <c r="A1104" s="549">
        <v>3850</v>
      </c>
      <c r="B1104" s="549">
        <v>8</v>
      </c>
      <c r="C1104" s="548">
        <v>42711</v>
      </c>
      <c r="D1104" s="550">
        <v>10.97</v>
      </c>
      <c r="E1104" s="550">
        <v>11.1</v>
      </c>
      <c r="F1104" s="550">
        <v>11.1</v>
      </c>
      <c r="G1104" s="550">
        <v>10.93</v>
      </c>
      <c r="H1104" s="551">
        <v>10.708930000000001</v>
      </c>
      <c r="I1104" s="550">
        <v>1221500</v>
      </c>
    </row>
    <row r="1105" spans="1:9" x14ac:dyDescent="0.2">
      <c r="A1105" s="549">
        <v>3851</v>
      </c>
      <c r="B1105" s="549">
        <v>8</v>
      </c>
      <c r="C1105" s="548">
        <v>42712</v>
      </c>
      <c r="D1105" s="550">
        <v>11.12</v>
      </c>
      <c r="E1105" s="550">
        <v>11.15</v>
      </c>
      <c r="F1105" s="550">
        <v>11.2</v>
      </c>
      <c r="G1105" s="550">
        <v>11.04</v>
      </c>
      <c r="H1105" s="551">
        <v>10.757168</v>
      </c>
      <c r="I1105" s="550">
        <v>1297300</v>
      </c>
    </row>
    <row r="1106" spans="1:9" x14ac:dyDescent="0.2">
      <c r="A1106" s="549">
        <v>3852</v>
      </c>
      <c r="B1106" s="549">
        <v>8</v>
      </c>
      <c r="C1106" s="548">
        <v>42713</v>
      </c>
      <c r="D1106" s="550">
        <v>11.19</v>
      </c>
      <c r="E1106" s="550">
        <v>11.16</v>
      </c>
      <c r="F1106" s="550">
        <v>11.2</v>
      </c>
      <c r="G1106" s="550">
        <v>11.12</v>
      </c>
      <c r="H1106" s="551">
        <v>10.766816</v>
      </c>
      <c r="I1106" s="550">
        <v>876800</v>
      </c>
    </row>
    <row r="1107" spans="1:9" x14ac:dyDescent="0.2">
      <c r="A1107" s="549">
        <v>3853</v>
      </c>
      <c r="B1107" s="549">
        <v>8</v>
      </c>
      <c r="C1107" s="548">
        <v>42716</v>
      </c>
      <c r="D1107" s="550">
        <v>11.19</v>
      </c>
      <c r="E1107" s="550">
        <v>11.19</v>
      </c>
      <c r="F1107" s="550">
        <v>11.19</v>
      </c>
      <c r="G1107" s="550">
        <v>11.09</v>
      </c>
      <c r="H1107" s="551">
        <v>10.795759</v>
      </c>
      <c r="I1107" s="550">
        <v>858000</v>
      </c>
    </row>
    <row r="1108" spans="1:9" x14ac:dyDescent="0.2">
      <c r="A1108" s="549">
        <v>3854</v>
      </c>
      <c r="B1108" s="549">
        <v>8</v>
      </c>
      <c r="C1108" s="548">
        <v>42717</v>
      </c>
      <c r="D1108" s="550">
        <v>11.22</v>
      </c>
      <c r="E1108" s="550">
        <v>11.29</v>
      </c>
      <c r="F1108" s="550">
        <v>11.31</v>
      </c>
      <c r="G1108" s="550">
        <v>11.16</v>
      </c>
      <c r="H1108" s="551">
        <v>10.892234999999999</v>
      </c>
      <c r="I1108" s="550">
        <v>1282400</v>
      </c>
    </row>
    <row r="1109" spans="1:9" x14ac:dyDescent="0.2">
      <c r="A1109" s="549">
        <v>3855</v>
      </c>
      <c r="B1109" s="549">
        <v>8</v>
      </c>
      <c r="C1109" s="548">
        <v>42718</v>
      </c>
      <c r="D1109" s="550">
        <v>11.33</v>
      </c>
      <c r="E1109" s="550">
        <v>11.21</v>
      </c>
      <c r="F1109" s="550">
        <v>11.37</v>
      </c>
      <c r="G1109" s="550">
        <v>11.18</v>
      </c>
      <c r="H1109" s="551">
        <v>10.815054999999999</v>
      </c>
      <c r="I1109" s="550">
        <v>960600</v>
      </c>
    </row>
    <row r="1110" spans="1:9" x14ac:dyDescent="0.2">
      <c r="A1110" s="549">
        <v>3856</v>
      </c>
      <c r="B1110" s="549">
        <v>8</v>
      </c>
      <c r="C1110" s="548">
        <v>42719</v>
      </c>
      <c r="D1110" s="550">
        <v>11.21</v>
      </c>
      <c r="E1110" s="550">
        <v>11.16</v>
      </c>
      <c r="F1110" s="550">
        <v>11.25</v>
      </c>
      <c r="G1110" s="550">
        <v>11.11</v>
      </c>
      <c r="H1110" s="551">
        <v>10.766816</v>
      </c>
      <c r="I1110" s="550">
        <v>630500</v>
      </c>
    </row>
    <row r="1111" spans="1:9" x14ac:dyDescent="0.2">
      <c r="A1111" s="549">
        <v>3857</v>
      </c>
      <c r="B1111" s="549">
        <v>8</v>
      </c>
      <c r="C1111" s="548">
        <v>42720</v>
      </c>
      <c r="D1111" s="550">
        <v>11.2</v>
      </c>
      <c r="E1111" s="550">
        <v>11.39</v>
      </c>
      <c r="F1111" s="550">
        <v>11.39</v>
      </c>
      <c r="G1111" s="550">
        <v>11.19</v>
      </c>
      <c r="H1111" s="551">
        <v>10.988713000000001</v>
      </c>
      <c r="I1111" s="550">
        <v>2206600</v>
      </c>
    </row>
    <row r="1112" spans="1:9" x14ac:dyDescent="0.2">
      <c r="A1112" s="549">
        <v>3858</v>
      </c>
      <c r="B1112" s="549">
        <v>8</v>
      </c>
      <c r="C1112" s="548">
        <v>42723</v>
      </c>
      <c r="D1112" s="550">
        <v>11.45</v>
      </c>
      <c r="E1112" s="550">
        <v>11.39</v>
      </c>
      <c r="F1112" s="550">
        <v>11.45</v>
      </c>
      <c r="G1112" s="550">
        <v>11.33</v>
      </c>
      <c r="H1112" s="551">
        <v>10.988713000000001</v>
      </c>
      <c r="I1112" s="550">
        <v>1054800</v>
      </c>
    </row>
    <row r="1113" spans="1:9" x14ac:dyDescent="0.2">
      <c r="A1113" s="549">
        <v>3859</v>
      </c>
      <c r="B1113" s="549">
        <v>8</v>
      </c>
      <c r="C1113" s="548">
        <v>42724</v>
      </c>
      <c r="D1113" s="550">
        <v>11.4</v>
      </c>
      <c r="E1113" s="550">
        <v>11.48</v>
      </c>
      <c r="F1113" s="550">
        <v>11.51</v>
      </c>
      <c r="G1113" s="550">
        <v>11.36</v>
      </c>
      <c r="H1113" s="551">
        <v>11.075540999999999</v>
      </c>
      <c r="I1113" s="550">
        <v>1172300</v>
      </c>
    </row>
    <row r="1114" spans="1:9" x14ac:dyDescent="0.2">
      <c r="A1114" s="549">
        <v>3860</v>
      </c>
      <c r="B1114" s="549">
        <v>8</v>
      </c>
      <c r="C1114" s="548">
        <v>42725</v>
      </c>
      <c r="D1114" s="550">
        <v>11.52</v>
      </c>
      <c r="E1114" s="550">
        <v>11.57</v>
      </c>
      <c r="F1114" s="550">
        <v>11.61</v>
      </c>
      <c r="G1114" s="550">
        <v>11.44</v>
      </c>
      <c r="H1114" s="551">
        <v>11.162371</v>
      </c>
      <c r="I1114" s="550">
        <v>1392700</v>
      </c>
    </row>
    <row r="1115" spans="1:9" x14ac:dyDescent="0.2">
      <c r="A1115" s="549">
        <v>3861</v>
      </c>
      <c r="B1115" s="549">
        <v>8</v>
      </c>
      <c r="C1115" s="548">
        <v>42726</v>
      </c>
      <c r="D1115" s="550">
        <v>11.57</v>
      </c>
      <c r="E1115" s="550">
        <v>11.45</v>
      </c>
      <c r="F1115" s="550">
        <v>11.58</v>
      </c>
      <c r="G1115" s="550">
        <v>11.43</v>
      </c>
      <c r="H1115" s="551">
        <v>11.046597999999999</v>
      </c>
      <c r="I1115" s="550">
        <v>1462900</v>
      </c>
    </row>
    <row r="1116" spans="1:9" x14ac:dyDescent="0.2">
      <c r="A1116" s="549">
        <v>3862</v>
      </c>
      <c r="B1116" s="549">
        <v>8</v>
      </c>
      <c r="C1116" s="548">
        <v>42727</v>
      </c>
      <c r="D1116" s="550">
        <v>11.47</v>
      </c>
      <c r="E1116" s="550">
        <v>11.42</v>
      </c>
      <c r="F1116" s="550">
        <v>11.47</v>
      </c>
      <c r="G1116" s="550">
        <v>11.38</v>
      </c>
      <c r="H1116" s="551">
        <v>11.017656000000001</v>
      </c>
      <c r="I1116" s="550">
        <v>691200</v>
      </c>
    </row>
    <row r="1117" spans="1:9" x14ac:dyDescent="0.2">
      <c r="A1117" s="549">
        <v>3863</v>
      </c>
      <c r="B1117" s="549">
        <v>8</v>
      </c>
      <c r="C1117" s="548">
        <v>42732</v>
      </c>
      <c r="D1117" s="550">
        <v>11.42</v>
      </c>
      <c r="E1117" s="550">
        <v>11.37</v>
      </c>
      <c r="F1117" s="550">
        <v>11.42</v>
      </c>
      <c r="G1117" s="550">
        <v>11.31</v>
      </c>
      <c r="H1117" s="551">
        <v>11.108221</v>
      </c>
      <c r="I1117" s="550">
        <v>883400</v>
      </c>
    </row>
    <row r="1118" spans="1:9" x14ac:dyDescent="0.2">
      <c r="A1118" s="549">
        <v>3864</v>
      </c>
      <c r="B1118" s="549">
        <v>8</v>
      </c>
      <c r="C1118" s="548">
        <v>42733</v>
      </c>
      <c r="D1118" s="550">
        <v>11.4</v>
      </c>
      <c r="E1118" s="550">
        <v>11.44</v>
      </c>
      <c r="F1118" s="550">
        <v>11.44</v>
      </c>
      <c r="G1118" s="550">
        <v>11.32</v>
      </c>
      <c r="H1118" s="551">
        <v>11.176608999999999</v>
      </c>
      <c r="I1118" s="550">
        <v>681400</v>
      </c>
    </row>
    <row r="1119" spans="1:9" x14ac:dyDescent="0.2">
      <c r="A1119" s="549">
        <v>3865</v>
      </c>
      <c r="B1119" s="549">
        <v>8</v>
      </c>
      <c r="C1119" s="548">
        <v>42734</v>
      </c>
      <c r="D1119" s="550">
        <v>11.44</v>
      </c>
      <c r="E1119" s="550">
        <v>11.39</v>
      </c>
      <c r="F1119" s="550">
        <v>11.44</v>
      </c>
      <c r="G1119" s="550">
        <v>11.36</v>
      </c>
      <c r="H1119" s="551">
        <v>11.127761</v>
      </c>
      <c r="I1119" s="550">
        <v>384100</v>
      </c>
    </row>
    <row r="1120" spans="1:9" x14ac:dyDescent="0.2">
      <c r="A1120" s="549">
        <v>3866</v>
      </c>
      <c r="B1120" s="549">
        <v>8</v>
      </c>
      <c r="C1120" s="548">
        <v>42738</v>
      </c>
      <c r="D1120" s="550">
        <v>11.36</v>
      </c>
      <c r="E1120" s="550">
        <v>11.23</v>
      </c>
      <c r="F1120" s="550">
        <v>11.48</v>
      </c>
      <c r="G1120" s="550">
        <v>11.16</v>
      </c>
      <c r="H1120" s="551">
        <v>10.971444</v>
      </c>
      <c r="I1120" s="550">
        <v>2201300</v>
      </c>
    </row>
    <row r="1121" spans="1:9" x14ac:dyDescent="0.2">
      <c r="A1121" s="549">
        <v>3867</v>
      </c>
      <c r="B1121" s="549">
        <v>8</v>
      </c>
      <c r="C1121" s="548">
        <v>42739</v>
      </c>
      <c r="D1121" s="550">
        <v>11.27</v>
      </c>
      <c r="E1121" s="550">
        <v>11.26</v>
      </c>
      <c r="F1121" s="550">
        <v>11.28</v>
      </c>
      <c r="G1121" s="550">
        <v>11.17</v>
      </c>
      <c r="H1121" s="551">
        <v>11.000754000000001</v>
      </c>
      <c r="I1121" s="550">
        <v>2070700</v>
      </c>
    </row>
    <row r="1122" spans="1:9" x14ac:dyDescent="0.2">
      <c r="A1122" s="549">
        <v>3868</v>
      </c>
      <c r="B1122" s="549">
        <v>8</v>
      </c>
      <c r="C1122" s="548">
        <v>42740</v>
      </c>
      <c r="D1122" s="550">
        <v>11.25</v>
      </c>
      <c r="E1122" s="550">
        <v>11.22</v>
      </c>
      <c r="F1122" s="550">
        <v>11.25</v>
      </c>
      <c r="G1122" s="550">
        <v>11.15</v>
      </c>
      <c r="H1122" s="551">
        <v>10.961676000000001</v>
      </c>
      <c r="I1122" s="550">
        <v>1195500</v>
      </c>
    </row>
    <row r="1123" spans="1:9" x14ac:dyDescent="0.2">
      <c r="A1123" s="549">
        <v>3869</v>
      </c>
      <c r="B1123" s="549">
        <v>8</v>
      </c>
      <c r="C1123" s="548">
        <v>42741</v>
      </c>
      <c r="D1123" s="550">
        <v>11.25</v>
      </c>
      <c r="E1123" s="550">
        <v>11.21</v>
      </c>
      <c r="F1123" s="550">
        <v>11.26</v>
      </c>
      <c r="G1123" s="550">
        <v>11.17</v>
      </c>
      <c r="H1123" s="551">
        <v>10.951905</v>
      </c>
      <c r="I1123" s="550">
        <v>1267200</v>
      </c>
    </row>
    <row r="1124" spans="1:9" x14ac:dyDescent="0.2">
      <c r="A1124" s="549">
        <v>3870</v>
      </c>
      <c r="B1124" s="549">
        <v>8</v>
      </c>
      <c r="C1124" s="548">
        <v>42744</v>
      </c>
      <c r="D1124" s="550">
        <v>11.25</v>
      </c>
      <c r="E1124" s="550">
        <v>11.2</v>
      </c>
      <c r="F1124" s="550">
        <v>11.25</v>
      </c>
      <c r="G1124" s="550">
        <v>11.19</v>
      </c>
      <c r="H1124" s="551">
        <v>10.942136</v>
      </c>
      <c r="I1124" s="550">
        <v>739700</v>
      </c>
    </row>
    <row r="1125" spans="1:9" x14ac:dyDescent="0.2">
      <c r="A1125" s="549">
        <v>3871</v>
      </c>
      <c r="B1125" s="549">
        <v>8</v>
      </c>
      <c r="C1125" s="548">
        <v>42745</v>
      </c>
      <c r="D1125" s="550">
        <v>11.24</v>
      </c>
      <c r="E1125" s="550">
        <v>11.17</v>
      </c>
      <c r="F1125" s="550">
        <v>11.24</v>
      </c>
      <c r="G1125" s="550">
        <v>11.15</v>
      </c>
      <c r="H1125" s="551">
        <v>10.912827</v>
      </c>
      <c r="I1125" s="550">
        <v>899800</v>
      </c>
    </row>
    <row r="1126" spans="1:9" x14ac:dyDescent="0.2">
      <c r="A1126" s="549">
        <v>3872</v>
      </c>
      <c r="B1126" s="549">
        <v>8</v>
      </c>
      <c r="C1126" s="548">
        <v>42746</v>
      </c>
      <c r="D1126" s="550">
        <v>11.19</v>
      </c>
      <c r="E1126" s="550">
        <v>11.23</v>
      </c>
      <c r="F1126" s="550">
        <v>11.25</v>
      </c>
      <c r="G1126" s="550">
        <v>11.16</v>
      </c>
      <c r="H1126" s="551">
        <v>10.971444</v>
      </c>
      <c r="I1126" s="550">
        <v>4086800</v>
      </c>
    </row>
    <row r="1127" spans="1:9" x14ac:dyDescent="0.2">
      <c r="A1127" s="549">
        <v>3873</v>
      </c>
      <c r="B1127" s="549">
        <v>8</v>
      </c>
      <c r="C1127" s="548">
        <v>42747</v>
      </c>
      <c r="D1127" s="550">
        <v>11.25</v>
      </c>
      <c r="E1127" s="550">
        <v>11.22</v>
      </c>
      <c r="F1127" s="550">
        <v>11.26</v>
      </c>
      <c r="G1127" s="550">
        <v>11.18</v>
      </c>
      <c r="H1127" s="551">
        <v>10.961676000000001</v>
      </c>
      <c r="I1127" s="550">
        <v>1280300</v>
      </c>
    </row>
    <row r="1128" spans="1:9" x14ac:dyDescent="0.2">
      <c r="A1128" s="549">
        <v>3874</v>
      </c>
      <c r="B1128" s="549">
        <v>8</v>
      </c>
      <c r="C1128" s="548">
        <v>42748</v>
      </c>
      <c r="D1128" s="550">
        <v>11.25</v>
      </c>
      <c r="E1128" s="550">
        <v>11.18</v>
      </c>
      <c r="F1128" s="550">
        <v>11.25</v>
      </c>
      <c r="G1128" s="550">
        <v>11.18</v>
      </c>
      <c r="H1128" s="551">
        <v>10.922596</v>
      </c>
      <c r="I1128" s="550">
        <v>718300</v>
      </c>
    </row>
    <row r="1129" spans="1:9" x14ac:dyDescent="0.2">
      <c r="A1129" s="549">
        <v>3875</v>
      </c>
      <c r="B1129" s="549">
        <v>8</v>
      </c>
      <c r="C1129" s="548">
        <v>42751</v>
      </c>
      <c r="D1129" s="550">
        <v>11.19</v>
      </c>
      <c r="E1129" s="550">
        <v>11.21</v>
      </c>
      <c r="F1129" s="550">
        <v>11.23</v>
      </c>
      <c r="G1129" s="550">
        <v>11.15</v>
      </c>
      <c r="H1129" s="551">
        <v>10.951905</v>
      </c>
      <c r="I1129" s="550">
        <v>752800</v>
      </c>
    </row>
    <row r="1130" spans="1:9" x14ac:dyDescent="0.2">
      <c r="A1130" s="549">
        <v>3876</v>
      </c>
      <c r="B1130" s="549">
        <v>8</v>
      </c>
      <c r="C1130" s="548">
        <v>42752</v>
      </c>
      <c r="D1130" s="550">
        <v>11.27</v>
      </c>
      <c r="E1130" s="550">
        <v>11.31</v>
      </c>
      <c r="F1130" s="550">
        <v>11.34</v>
      </c>
      <c r="G1130" s="550">
        <v>11.2</v>
      </c>
      <c r="H1130" s="551">
        <v>11.049602999999999</v>
      </c>
      <c r="I1130" s="550">
        <v>4272700</v>
      </c>
    </row>
    <row r="1131" spans="1:9" x14ac:dyDescent="0.2">
      <c r="A1131" s="549">
        <v>3877</v>
      </c>
      <c r="B1131" s="549">
        <v>8</v>
      </c>
      <c r="C1131" s="548">
        <v>42753</v>
      </c>
      <c r="D1131" s="550">
        <v>11.34</v>
      </c>
      <c r="E1131" s="550">
        <v>11.34</v>
      </c>
      <c r="F1131" s="550">
        <v>11.4</v>
      </c>
      <c r="G1131" s="550">
        <v>11.31</v>
      </c>
      <c r="H1131" s="551">
        <v>11.078912000000001</v>
      </c>
      <c r="I1131" s="550">
        <v>3492000</v>
      </c>
    </row>
    <row r="1132" spans="1:9" x14ac:dyDescent="0.2">
      <c r="A1132" s="549">
        <v>3878</v>
      </c>
      <c r="B1132" s="549">
        <v>8</v>
      </c>
      <c r="C1132" s="548">
        <v>42754</v>
      </c>
      <c r="D1132" s="550">
        <v>11.38</v>
      </c>
      <c r="E1132" s="550">
        <v>11.33</v>
      </c>
      <c r="F1132" s="550">
        <v>11.38</v>
      </c>
      <c r="G1132" s="550">
        <v>11.28</v>
      </c>
      <c r="H1132" s="551">
        <v>11.069141999999999</v>
      </c>
      <c r="I1132" s="550">
        <v>1742100</v>
      </c>
    </row>
    <row r="1133" spans="1:9" x14ac:dyDescent="0.2">
      <c r="A1133" s="549">
        <v>3879</v>
      </c>
      <c r="B1133" s="549">
        <v>8</v>
      </c>
      <c r="C1133" s="548">
        <v>42755</v>
      </c>
      <c r="D1133" s="550">
        <v>11.38</v>
      </c>
      <c r="E1133" s="550">
        <v>11.29</v>
      </c>
      <c r="F1133" s="550">
        <v>11.38</v>
      </c>
      <c r="G1133" s="550">
        <v>11.26</v>
      </c>
      <c r="H1133" s="551">
        <v>11.030063</v>
      </c>
      <c r="I1133" s="550">
        <v>1106400</v>
      </c>
    </row>
    <row r="1134" spans="1:9" x14ac:dyDescent="0.2">
      <c r="A1134" s="549">
        <v>3880</v>
      </c>
      <c r="B1134" s="549">
        <v>8</v>
      </c>
      <c r="C1134" s="548">
        <v>42758</v>
      </c>
      <c r="D1134" s="550">
        <v>11.29</v>
      </c>
      <c r="E1134" s="550">
        <v>11.26</v>
      </c>
      <c r="F1134" s="550">
        <v>11.31</v>
      </c>
      <c r="G1134" s="550">
        <v>11.21</v>
      </c>
      <c r="H1134" s="551">
        <v>11.000754000000001</v>
      </c>
      <c r="I1134" s="550">
        <v>1842000</v>
      </c>
    </row>
    <row r="1135" spans="1:9" x14ac:dyDescent="0.2">
      <c r="A1135" s="549">
        <v>3881</v>
      </c>
      <c r="B1135" s="549">
        <v>8</v>
      </c>
      <c r="C1135" s="548">
        <v>42759</v>
      </c>
      <c r="D1135" s="550">
        <v>11.28</v>
      </c>
      <c r="E1135" s="550">
        <v>11.31</v>
      </c>
      <c r="F1135" s="550">
        <v>11.33</v>
      </c>
      <c r="G1135" s="550">
        <v>11.19</v>
      </c>
      <c r="H1135" s="551">
        <v>11.049602999999999</v>
      </c>
      <c r="I1135" s="550">
        <v>2596700</v>
      </c>
    </row>
    <row r="1136" spans="1:9" x14ac:dyDescent="0.2">
      <c r="A1136" s="549">
        <v>3882</v>
      </c>
      <c r="B1136" s="549">
        <v>8</v>
      </c>
      <c r="C1136" s="548">
        <v>42760</v>
      </c>
      <c r="D1136" s="550">
        <v>11.33</v>
      </c>
      <c r="E1136" s="550">
        <v>11.35</v>
      </c>
      <c r="F1136" s="550">
        <v>11.39</v>
      </c>
      <c r="G1136" s="550">
        <v>11.29</v>
      </c>
      <c r="H1136" s="551">
        <v>11.088682</v>
      </c>
      <c r="I1136" s="550">
        <v>1732700</v>
      </c>
    </row>
    <row r="1137" spans="1:9" x14ac:dyDescent="0.2">
      <c r="A1137" s="549">
        <v>3883</v>
      </c>
      <c r="B1137" s="549">
        <v>8</v>
      </c>
      <c r="C1137" s="548">
        <v>42761</v>
      </c>
      <c r="D1137" s="550">
        <v>11.36</v>
      </c>
      <c r="E1137" s="550">
        <v>11.3</v>
      </c>
      <c r="F1137" s="550">
        <v>11.38</v>
      </c>
      <c r="G1137" s="550">
        <v>11.27</v>
      </c>
      <c r="H1137" s="551">
        <v>11.039834000000001</v>
      </c>
      <c r="I1137" s="550">
        <v>1138200</v>
      </c>
    </row>
    <row r="1138" spans="1:9" x14ac:dyDescent="0.2">
      <c r="A1138" s="549">
        <v>3884</v>
      </c>
      <c r="B1138" s="549">
        <v>8</v>
      </c>
      <c r="C1138" s="548">
        <v>42762</v>
      </c>
      <c r="D1138" s="550">
        <v>11.31</v>
      </c>
      <c r="E1138" s="550">
        <v>11.28</v>
      </c>
      <c r="F1138" s="550">
        <v>11.32</v>
      </c>
      <c r="G1138" s="550">
        <v>11.2</v>
      </c>
      <c r="H1138" s="551">
        <v>11.020293000000001</v>
      </c>
      <c r="I1138" s="550">
        <v>1977000</v>
      </c>
    </row>
    <row r="1139" spans="1:9" x14ac:dyDescent="0.2">
      <c r="A1139" s="549">
        <v>3885</v>
      </c>
      <c r="B1139" s="549">
        <v>8</v>
      </c>
      <c r="C1139" s="548">
        <v>42765</v>
      </c>
      <c r="D1139" s="550">
        <v>11.3</v>
      </c>
      <c r="E1139" s="550">
        <v>11.26</v>
      </c>
      <c r="F1139" s="550">
        <v>11.34</v>
      </c>
      <c r="G1139" s="550">
        <v>11.22</v>
      </c>
      <c r="H1139" s="551">
        <v>11.000754000000001</v>
      </c>
      <c r="I1139" s="550">
        <v>820700</v>
      </c>
    </row>
    <row r="1140" spans="1:9" x14ac:dyDescent="0.2">
      <c r="A1140" s="549">
        <v>3886</v>
      </c>
      <c r="B1140" s="549">
        <v>8</v>
      </c>
      <c r="C1140" s="548">
        <v>42766</v>
      </c>
      <c r="D1140" s="550">
        <v>11.25</v>
      </c>
      <c r="E1140" s="550">
        <v>11.31</v>
      </c>
      <c r="F1140" s="550">
        <v>11.35</v>
      </c>
      <c r="G1140" s="550">
        <v>11.21</v>
      </c>
      <c r="H1140" s="551">
        <v>11.049602999999999</v>
      </c>
      <c r="I1140" s="550">
        <v>2001800</v>
      </c>
    </row>
    <row r="1141" spans="1:9" x14ac:dyDescent="0.2">
      <c r="A1141" s="549">
        <v>3887</v>
      </c>
      <c r="B1141" s="549">
        <v>8</v>
      </c>
      <c r="C1141" s="548">
        <v>42767</v>
      </c>
      <c r="D1141" s="550">
        <v>11.36</v>
      </c>
      <c r="E1141" s="550">
        <v>11.4</v>
      </c>
      <c r="F1141" s="550">
        <v>11.43</v>
      </c>
      <c r="G1141" s="550">
        <v>11.33</v>
      </c>
      <c r="H1141" s="551">
        <v>11.13753</v>
      </c>
      <c r="I1141" s="550">
        <v>1657000</v>
      </c>
    </row>
    <row r="1142" spans="1:9" x14ac:dyDescent="0.2">
      <c r="A1142" s="549">
        <v>3888</v>
      </c>
      <c r="B1142" s="549">
        <v>8</v>
      </c>
      <c r="C1142" s="548">
        <v>42768</v>
      </c>
      <c r="D1142" s="550">
        <v>11.45</v>
      </c>
      <c r="E1142" s="550">
        <v>11.58</v>
      </c>
      <c r="F1142" s="550">
        <v>11.63</v>
      </c>
      <c r="G1142" s="550">
        <v>11.41</v>
      </c>
      <c r="H1142" s="551">
        <v>11.313387000000001</v>
      </c>
      <c r="I1142" s="550">
        <v>1539300</v>
      </c>
    </row>
    <row r="1143" spans="1:9" x14ac:dyDescent="0.2">
      <c r="A1143" s="549">
        <v>3889</v>
      </c>
      <c r="B1143" s="549">
        <v>8</v>
      </c>
      <c r="C1143" s="548">
        <v>42769</v>
      </c>
      <c r="D1143" s="550">
        <v>11.65</v>
      </c>
      <c r="E1143" s="550">
        <v>11.64</v>
      </c>
      <c r="F1143" s="550">
        <v>11.77</v>
      </c>
      <c r="G1143" s="550">
        <v>11.63</v>
      </c>
      <c r="H1143" s="551">
        <v>11.372005</v>
      </c>
      <c r="I1143" s="550">
        <v>1704500</v>
      </c>
    </row>
    <row r="1144" spans="1:9" x14ac:dyDescent="0.2">
      <c r="A1144" s="549">
        <v>3890</v>
      </c>
      <c r="B1144" s="549">
        <v>8</v>
      </c>
      <c r="C1144" s="548">
        <v>42772</v>
      </c>
      <c r="D1144" s="550">
        <v>11.68</v>
      </c>
      <c r="E1144" s="550">
        <v>11.61</v>
      </c>
      <c r="F1144" s="550">
        <v>11.69</v>
      </c>
      <c r="G1144" s="550">
        <v>11.57</v>
      </c>
      <c r="H1144" s="551">
        <v>11.342695000000001</v>
      </c>
      <c r="I1144" s="550">
        <v>826100</v>
      </c>
    </row>
    <row r="1145" spans="1:9" x14ac:dyDescent="0.2">
      <c r="A1145" s="549">
        <v>3891</v>
      </c>
      <c r="B1145" s="549">
        <v>8</v>
      </c>
      <c r="C1145" s="548">
        <v>42773</v>
      </c>
      <c r="D1145" s="550">
        <v>11.6</v>
      </c>
      <c r="E1145" s="550">
        <v>11.74</v>
      </c>
      <c r="F1145" s="550">
        <v>11.74</v>
      </c>
      <c r="G1145" s="550">
        <v>11.6</v>
      </c>
      <c r="H1145" s="551">
        <v>11.469703000000001</v>
      </c>
      <c r="I1145" s="550">
        <v>1760400</v>
      </c>
    </row>
    <row r="1146" spans="1:9" x14ac:dyDescent="0.2">
      <c r="A1146" s="549">
        <v>3892</v>
      </c>
      <c r="B1146" s="549">
        <v>8</v>
      </c>
      <c r="C1146" s="548">
        <v>42774</v>
      </c>
      <c r="D1146" s="550">
        <v>11.75</v>
      </c>
      <c r="E1146" s="550">
        <v>11.77</v>
      </c>
      <c r="F1146" s="550">
        <v>11.79</v>
      </c>
      <c r="G1146" s="550">
        <v>11.68</v>
      </c>
      <c r="H1146" s="551">
        <v>11.499012</v>
      </c>
      <c r="I1146" s="550">
        <v>1199700</v>
      </c>
    </row>
    <row r="1147" spans="1:9" x14ac:dyDescent="0.2">
      <c r="A1147" s="549">
        <v>3893</v>
      </c>
      <c r="B1147" s="549">
        <v>8</v>
      </c>
      <c r="C1147" s="548">
        <v>42775</v>
      </c>
      <c r="D1147" s="550">
        <v>11.79</v>
      </c>
      <c r="E1147" s="550">
        <v>11.77</v>
      </c>
      <c r="F1147" s="550">
        <v>11.84</v>
      </c>
      <c r="G1147" s="550">
        <v>11.7</v>
      </c>
      <c r="H1147" s="551">
        <v>11.499012</v>
      </c>
      <c r="I1147" s="550">
        <v>953700</v>
      </c>
    </row>
    <row r="1148" spans="1:9" x14ac:dyDescent="0.2">
      <c r="A1148" s="549">
        <v>3894</v>
      </c>
      <c r="B1148" s="549">
        <v>8</v>
      </c>
      <c r="C1148" s="548">
        <v>42776</v>
      </c>
      <c r="D1148" s="550">
        <v>11.77</v>
      </c>
      <c r="E1148" s="550">
        <v>11.74</v>
      </c>
      <c r="F1148" s="550">
        <v>11.77</v>
      </c>
      <c r="G1148" s="550">
        <v>11.63</v>
      </c>
      <c r="H1148" s="551">
        <v>11.469703000000001</v>
      </c>
      <c r="I1148" s="550">
        <v>5022200</v>
      </c>
    </row>
    <row r="1149" spans="1:9" x14ac:dyDescent="0.2">
      <c r="A1149" s="549">
        <v>3895</v>
      </c>
      <c r="B1149" s="549">
        <v>8</v>
      </c>
      <c r="C1149" s="548">
        <v>42779</v>
      </c>
      <c r="D1149" s="550">
        <v>11.77</v>
      </c>
      <c r="E1149" s="550">
        <v>11.87</v>
      </c>
      <c r="F1149" s="550">
        <v>11.92</v>
      </c>
      <c r="G1149" s="550">
        <v>11.74</v>
      </c>
      <c r="H1149" s="551">
        <v>11.596709000000001</v>
      </c>
      <c r="I1149" s="550">
        <v>1880400</v>
      </c>
    </row>
    <row r="1150" spans="1:9" x14ac:dyDescent="0.2">
      <c r="A1150" s="549">
        <v>3896</v>
      </c>
      <c r="B1150" s="549">
        <v>8</v>
      </c>
      <c r="C1150" s="548">
        <v>42780</v>
      </c>
      <c r="D1150" s="550">
        <v>11.91</v>
      </c>
      <c r="E1150" s="550">
        <v>11.82</v>
      </c>
      <c r="F1150" s="550">
        <v>11.91</v>
      </c>
      <c r="G1150" s="550">
        <v>11.73</v>
      </c>
      <c r="H1150" s="551">
        <v>11.54786</v>
      </c>
      <c r="I1150" s="550">
        <v>3108300</v>
      </c>
    </row>
    <row r="1151" spans="1:9" x14ac:dyDescent="0.2">
      <c r="A1151" s="549">
        <v>3897</v>
      </c>
      <c r="B1151" s="549">
        <v>8</v>
      </c>
      <c r="C1151" s="548">
        <v>42781</v>
      </c>
      <c r="D1151" s="550">
        <v>11.82</v>
      </c>
      <c r="E1151" s="550">
        <v>11.81</v>
      </c>
      <c r="F1151" s="550">
        <v>11.88</v>
      </c>
      <c r="G1151" s="550">
        <v>11.76</v>
      </c>
      <c r="H1151" s="551">
        <v>11.538092000000001</v>
      </c>
      <c r="I1151" s="550">
        <v>1236100</v>
      </c>
    </row>
    <row r="1152" spans="1:9" x14ac:dyDescent="0.2">
      <c r="A1152" s="549">
        <v>3898</v>
      </c>
      <c r="B1152" s="549">
        <v>8</v>
      </c>
      <c r="C1152" s="548">
        <v>42782</v>
      </c>
      <c r="D1152" s="550">
        <v>11.84</v>
      </c>
      <c r="E1152" s="550">
        <v>11.83</v>
      </c>
      <c r="F1152" s="550">
        <v>11.89</v>
      </c>
      <c r="G1152" s="550">
        <v>11.8</v>
      </c>
      <c r="H1152" s="551">
        <v>11.557631000000001</v>
      </c>
      <c r="I1152" s="550">
        <v>964300</v>
      </c>
    </row>
    <row r="1153" spans="1:9" x14ac:dyDescent="0.2">
      <c r="A1153" s="549">
        <v>3899</v>
      </c>
      <c r="B1153" s="549">
        <v>8</v>
      </c>
      <c r="C1153" s="548">
        <v>42783</v>
      </c>
      <c r="D1153" s="550">
        <v>11.85</v>
      </c>
      <c r="E1153" s="550">
        <v>11.8</v>
      </c>
      <c r="F1153" s="550">
        <v>11.85</v>
      </c>
      <c r="G1153" s="550">
        <v>11.8</v>
      </c>
      <c r="H1153" s="551">
        <v>11.528321</v>
      </c>
      <c r="I1153" s="550">
        <v>365800</v>
      </c>
    </row>
    <row r="1154" spans="1:9" x14ac:dyDescent="0.2">
      <c r="A1154" s="549">
        <v>3900</v>
      </c>
      <c r="B1154" s="549">
        <v>8</v>
      </c>
      <c r="C1154" s="548">
        <v>42787</v>
      </c>
      <c r="D1154" s="550">
        <v>11.84</v>
      </c>
      <c r="E1154" s="550">
        <v>11.83</v>
      </c>
      <c r="F1154" s="550">
        <v>11.85</v>
      </c>
      <c r="G1154" s="550">
        <v>11.77</v>
      </c>
      <c r="H1154" s="551">
        <v>11.557631000000001</v>
      </c>
      <c r="I1154" s="550">
        <v>689500</v>
      </c>
    </row>
    <row r="1155" spans="1:9" x14ac:dyDescent="0.2">
      <c r="A1155" s="549">
        <v>3901</v>
      </c>
      <c r="B1155" s="549">
        <v>8</v>
      </c>
      <c r="C1155" s="548">
        <v>42788</v>
      </c>
      <c r="D1155" s="550">
        <v>11.84</v>
      </c>
      <c r="E1155" s="550">
        <v>12.13</v>
      </c>
      <c r="F1155" s="550">
        <v>12.15</v>
      </c>
      <c r="G1155" s="550">
        <v>11.83</v>
      </c>
      <c r="H1155" s="551">
        <v>11.850723</v>
      </c>
      <c r="I1155" s="550">
        <v>1458500</v>
      </c>
    </row>
    <row r="1156" spans="1:9" x14ac:dyDescent="0.2">
      <c r="A1156" s="549">
        <v>3902</v>
      </c>
      <c r="B1156" s="549">
        <v>8</v>
      </c>
      <c r="C1156" s="548">
        <v>42789</v>
      </c>
      <c r="D1156" s="550">
        <v>12.17</v>
      </c>
      <c r="E1156" s="550">
        <v>12.19</v>
      </c>
      <c r="F1156" s="550">
        <v>12.29</v>
      </c>
      <c r="G1156" s="550">
        <v>12.12</v>
      </c>
      <c r="H1156" s="551">
        <v>11.909341</v>
      </c>
      <c r="I1156" s="550">
        <v>1185300</v>
      </c>
    </row>
    <row r="1157" spans="1:9" x14ac:dyDescent="0.2">
      <c r="A1157" s="549">
        <v>3903</v>
      </c>
      <c r="B1157" s="549">
        <v>8</v>
      </c>
      <c r="C1157" s="548">
        <v>42790</v>
      </c>
      <c r="D1157" s="550">
        <v>12.18</v>
      </c>
      <c r="E1157" s="550">
        <v>12.12</v>
      </c>
      <c r="F1157" s="550">
        <v>12.19</v>
      </c>
      <c r="G1157" s="550">
        <v>12.03</v>
      </c>
      <c r="H1157" s="551">
        <v>11.840954</v>
      </c>
      <c r="I1157" s="550">
        <v>1076200</v>
      </c>
    </row>
    <row r="1158" spans="1:9" x14ac:dyDescent="0.2">
      <c r="A1158" s="549">
        <v>3904</v>
      </c>
      <c r="B1158" s="549">
        <v>8</v>
      </c>
      <c r="C1158" s="548">
        <v>42793</v>
      </c>
      <c r="D1158" s="550">
        <v>12.1</v>
      </c>
      <c r="E1158" s="550">
        <v>11.97</v>
      </c>
      <c r="F1158" s="550">
        <v>12.12</v>
      </c>
      <c r="G1158" s="550">
        <v>11.9</v>
      </c>
      <c r="H1158" s="551">
        <v>11.694407</v>
      </c>
      <c r="I1158" s="550">
        <v>1159400</v>
      </c>
    </row>
    <row r="1159" spans="1:9" x14ac:dyDescent="0.2">
      <c r="A1159" s="549">
        <v>3905</v>
      </c>
      <c r="B1159" s="549">
        <v>8</v>
      </c>
      <c r="C1159" s="548">
        <v>42794</v>
      </c>
      <c r="D1159" s="550">
        <v>11.99</v>
      </c>
      <c r="E1159" s="550">
        <v>12.07</v>
      </c>
      <c r="F1159" s="550">
        <v>12.11</v>
      </c>
      <c r="G1159" s="550">
        <v>11.94</v>
      </c>
      <c r="H1159" s="551">
        <v>11.792104999999999</v>
      </c>
      <c r="I1159" s="550">
        <v>873500</v>
      </c>
    </row>
    <row r="1160" spans="1:9" x14ac:dyDescent="0.2">
      <c r="A1160" s="549">
        <v>3906</v>
      </c>
      <c r="B1160" s="549">
        <v>8</v>
      </c>
      <c r="C1160" s="548">
        <v>42795</v>
      </c>
      <c r="D1160" s="550">
        <v>12.07</v>
      </c>
      <c r="E1160" s="550">
        <v>12.17</v>
      </c>
      <c r="F1160" s="550">
        <v>12.18</v>
      </c>
      <c r="G1160" s="550">
        <v>11.98</v>
      </c>
      <c r="H1160" s="551">
        <v>11.889803000000001</v>
      </c>
      <c r="I1160" s="550">
        <v>1857100</v>
      </c>
    </row>
    <row r="1161" spans="1:9" x14ac:dyDescent="0.2">
      <c r="A1161" s="549">
        <v>3907</v>
      </c>
      <c r="B1161" s="549">
        <v>8</v>
      </c>
      <c r="C1161" s="548">
        <v>42796</v>
      </c>
      <c r="D1161" s="550">
        <v>12.18</v>
      </c>
      <c r="E1161" s="550">
        <v>12.46</v>
      </c>
      <c r="F1161" s="550">
        <v>12.47</v>
      </c>
      <c r="G1161" s="550">
        <v>12.18</v>
      </c>
      <c r="H1161" s="551">
        <v>12.173126</v>
      </c>
      <c r="I1161" s="550">
        <v>2861700</v>
      </c>
    </row>
    <row r="1162" spans="1:9" x14ac:dyDescent="0.2">
      <c r="A1162" s="549">
        <v>3908</v>
      </c>
      <c r="B1162" s="549">
        <v>8</v>
      </c>
      <c r="C1162" s="548">
        <v>42797</v>
      </c>
      <c r="D1162" s="550">
        <v>12.5</v>
      </c>
      <c r="E1162" s="550">
        <v>12.4</v>
      </c>
      <c r="F1162" s="550">
        <v>12.67</v>
      </c>
      <c r="G1162" s="550">
        <v>12.36</v>
      </c>
      <c r="H1162" s="551">
        <v>12.114507</v>
      </c>
      <c r="I1162" s="550">
        <v>2297400</v>
      </c>
    </row>
    <row r="1163" spans="1:9" x14ac:dyDescent="0.2">
      <c r="A1163" s="549">
        <v>3909</v>
      </c>
      <c r="B1163" s="549">
        <v>8</v>
      </c>
      <c r="C1163" s="548">
        <v>42800</v>
      </c>
      <c r="D1163" s="550">
        <v>12.45</v>
      </c>
      <c r="E1163" s="550">
        <v>12.46</v>
      </c>
      <c r="F1163" s="550">
        <v>12.48</v>
      </c>
      <c r="G1163" s="550">
        <v>12.33</v>
      </c>
      <c r="H1163" s="551">
        <v>12.173126</v>
      </c>
      <c r="I1163" s="550">
        <v>794600</v>
      </c>
    </row>
    <row r="1164" spans="1:9" x14ac:dyDescent="0.2">
      <c r="A1164" s="549">
        <v>3910</v>
      </c>
      <c r="B1164" s="549">
        <v>8</v>
      </c>
      <c r="C1164" s="548">
        <v>42801</v>
      </c>
      <c r="D1164" s="550">
        <v>12.47</v>
      </c>
      <c r="E1164" s="550">
        <v>12.49</v>
      </c>
      <c r="F1164" s="550">
        <v>12.55</v>
      </c>
      <c r="G1164" s="550">
        <v>12.43</v>
      </c>
      <c r="H1164" s="551">
        <v>12.202434999999999</v>
      </c>
      <c r="I1164" s="550">
        <v>580700</v>
      </c>
    </row>
    <row r="1165" spans="1:9" x14ac:dyDescent="0.2">
      <c r="A1165" s="549">
        <v>3911</v>
      </c>
      <c r="B1165" s="549">
        <v>8</v>
      </c>
      <c r="C1165" s="548">
        <v>42802</v>
      </c>
      <c r="D1165" s="550">
        <v>12.54</v>
      </c>
      <c r="E1165" s="550">
        <v>12.43</v>
      </c>
      <c r="F1165" s="550">
        <v>12.54</v>
      </c>
      <c r="G1165" s="550">
        <v>12.34</v>
      </c>
      <c r="H1165" s="551">
        <v>12.143817</v>
      </c>
      <c r="I1165" s="550">
        <v>1054400</v>
      </c>
    </row>
    <row r="1166" spans="1:9" x14ac:dyDescent="0.2">
      <c r="A1166" s="549">
        <v>3912</v>
      </c>
      <c r="B1166" s="549">
        <v>8</v>
      </c>
      <c r="C1166" s="548">
        <v>42803</v>
      </c>
      <c r="D1166" s="550">
        <v>12.45</v>
      </c>
      <c r="E1166" s="550">
        <v>12.24</v>
      </c>
      <c r="F1166" s="550">
        <v>12.45</v>
      </c>
      <c r="G1166" s="550">
        <v>12.24</v>
      </c>
      <c r="H1166" s="551">
        <v>11.95819</v>
      </c>
      <c r="I1166" s="550">
        <v>1408900</v>
      </c>
    </row>
    <row r="1167" spans="1:9" x14ac:dyDescent="0.2">
      <c r="A1167" s="549">
        <v>3913</v>
      </c>
      <c r="B1167" s="549">
        <v>8</v>
      </c>
      <c r="C1167" s="548">
        <v>42804</v>
      </c>
      <c r="D1167" s="550">
        <v>12.28</v>
      </c>
      <c r="E1167" s="550">
        <v>12.4</v>
      </c>
      <c r="F1167" s="550">
        <v>12.42</v>
      </c>
      <c r="G1167" s="550">
        <v>12.27</v>
      </c>
      <c r="H1167" s="551">
        <v>12.114507</v>
      </c>
      <c r="I1167" s="550">
        <v>688200</v>
      </c>
    </row>
    <row r="1168" spans="1:9" x14ac:dyDescent="0.2">
      <c r="A1168" s="549">
        <v>3914</v>
      </c>
      <c r="B1168" s="549">
        <v>8</v>
      </c>
      <c r="C1168" s="548">
        <v>42807</v>
      </c>
      <c r="D1168" s="550">
        <v>12.42</v>
      </c>
      <c r="E1168" s="550">
        <v>12.39</v>
      </c>
      <c r="F1168" s="550">
        <v>12.5</v>
      </c>
      <c r="G1168" s="550">
        <v>12.36</v>
      </c>
      <c r="H1168" s="551">
        <v>12.104737</v>
      </c>
      <c r="I1168" s="550">
        <v>538500</v>
      </c>
    </row>
    <row r="1169" spans="1:9" x14ac:dyDescent="0.2">
      <c r="A1169" s="549">
        <v>3915</v>
      </c>
      <c r="B1169" s="549">
        <v>8</v>
      </c>
      <c r="C1169" s="548">
        <v>42808</v>
      </c>
      <c r="D1169" s="550">
        <v>12.44</v>
      </c>
      <c r="E1169" s="550">
        <v>12.46</v>
      </c>
      <c r="F1169" s="550">
        <v>12.48</v>
      </c>
      <c r="G1169" s="550">
        <v>12.33</v>
      </c>
      <c r="H1169" s="551">
        <v>12.173126</v>
      </c>
      <c r="I1169" s="550">
        <v>634300</v>
      </c>
    </row>
    <row r="1170" spans="1:9" x14ac:dyDescent="0.2">
      <c r="A1170" s="549">
        <v>3916</v>
      </c>
      <c r="B1170" s="549">
        <v>8</v>
      </c>
      <c r="C1170" s="548">
        <v>42809</v>
      </c>
      <c r="D1170" s="550">
        <v>12.46</v>
      </c>
      <c r="E1170" s="550">
        <v>12.54</v>
      </c>
      <c r="F1170" s="550">
        <v>12.55</v>
      </c>
      <c r="G1170" s="550">
        <v>12.45</v>
      </c>
      <c r="H1170" s="551">
        <v>12.251284</v>
      </c>
      <c r="I1170" s="550">
        <v>797400</v>
      </c>
    </row>
    <row r="1171" spans="1:9" x14ac:dyDescent="0.2">
      <c r="A1171" s="549">
        <v>3917</v>
      </c>
      <c r="B1171" s="549">
        <v>8</v>
      </c>
      <c r="C1171" s="548">
        <v>42810</v>
      </c>
      <c r="D1171" s="550">
        <v>12.58</v>
      </c>
      <c r="E1171" s="550">
        <v>12.49</v>
      </c>
      <c r="F1171" s="550">
        <v>12.6</v>
      </c>
      <c r="G1171" s="550">
        <v>12.46</v>
      </c>
      <c r="H1171" s="551">
        <v>12.202434999999999</v>
      </c>
      <c r="I1171" s="550">
        <v>949100</v>
      </c>
    </row>
    <row r="1172" spans="1:9" x14ac:dyDescent="0.2">
      <c r="A1172" s="549">
        <v>3918</v>
      </c>
      <c r="B1172" s="549">
        <v>8</v>
      </c>
      <c r="C1172" s="548">
        <v>42811</v>
      </c>
      <c r="D1172" s="550">
        <v>12.53</v>
      </c>
      <c r="E1172" s="550">
        <v>12.55</v>
      </c>
      <c r="F1172" s="550">
        <v>12.6</v>
      </c>
      <c r="G1172" s="550">
        <v>12.52</v>
      </c>
      <c r="H1172" s="551">
        <v>12.261053</v>
      </c>
      <c r="I1172" s="550">
        <v>840700</v>
      </c>
    </row>
    <row r="1173" spans="1:9" x14ac:dyDescent="0.2">
      <c r="A1173" s="549">
        <v>3919</v>
      </c>
      <c r="B1173" s="549">
        <v>8</v>
      </c>
      <c r="C1173" s="548">
        <v>42814</v>
      </c>
      <c r="D1173" s="550">
        <v>12.59</v>
      </c>
      <c r="E1173" s="550">
        <v>12.57</v>
      </c>
      <c r="F1173" s="550">
        <v>12.6</v>
      </c>
      <c r="G1173" s="550">
        <v>12.5</v>
      </c>
      <c r="H1173" s="551">
        <v>12.280593</v>
      </c>
      <c r="I1173" s="550">
        <v>787200</v>
      </c>
    </row>
    <row r="1174" spans="1:9" x14ac:dyDescent="0.2">
      <c r="A1174" s="549">
        <v>3920</v>
      </c>
      <c r="B1174" s="549">
        <v>8</v>
      </c>
      <c r="C1174" s="548">
        <v>42815</v>
      </c>
      <c r="D1174" s="550">
        <v>12.6</v>
      </c>
      <c r="E1174" s="550">
        <v>12.61</v>
      </c>
      <c r="F1174" s="550">
        <v>12.69</v>
      </c>
      <c r="G1174" s="550">
        <v>12.56</v>
      </c>
      <c r="H1174" s="551">
        <v>12.319672000000001</v>
      </c>
      <c r="I1174" s="550">
        <v>679600</v>
      </c>
    </row>
    <row r="1175" spans="1:9" x14ac:dyDescent="0.2">
      <c r="A1175" s="549">
        <v>3921</v>
      </c>
      <c r="B1175" s="549">
        <v>8</v>
      </c>
      <c r="C1175" s="548">
        <v>42816</v>
      </c>
      <c r="D1175" s="550">
        <v>12.6</v>
      </c>
      <c r="E1175" s="550">
        <v>12.62</v>
      </c>
      <c r="F1175" s="550">
        <v>12.65</v>
      </c>
      <c r="G1175" s="550">
        <v>12.55</v>
      </c>
      <c r="H1175" s="551">
        <v>12.329442</v>
      </c>
      <c r="I1175" s="550">
        <v>791500</v>
      </c>
    </row>
    <row r="1176" spans="1:9" x14ac:dyDescent="0.2">
      <c r="A1176" s="549">
        <v>3922</v>
      </c>
      <c r="B1176" s="549">
        <v>8</v>
      </c>
      <c r="C1176" s="548">
        <v>42817</v>
      </c>
      <c r="D1176" s="550">
        <v>12.65</v>
      </c>
      <c r="E1176" s="550">
        <v>12.63</v>
      </c>
      <c r="F1176" s="550">
        <v>12.69</v>
      </c>
      <c r="G1176" s="550">
        <v>12.57</v>
      </c>
      <c r="H1176" s="551">
        <v>12.339212</v>
      </c>
      <c r="I1176" s="550">
        <v>1259000</v>
      </c>
    </row>
    <row r="1177" spans="1:9" x14ac:dyDescent="0.2">
      <c r="A1177" s="549">
        <v>3923</v>
      </c>
      <c r="B1177" s="549">
        <v>8</v>
      </c>
      <c r="C1177" s="548">
        <v>42818</v>
      </c>
      <c r="D1177" s="550">
        <v>12.63</v>
      </c>
      <c r="E1177" s="550">
        <v>12.77</v>
      </c>
      <c r="F1177" s="550">
        <v>12.83</v>
      </c>
      <c r="G1177" s="550">
        <v>12.62</v>
      </c>
      <c r="H1177" s="551">
        <v>12.475987999999999</v>
      </c>
      <c r="I1177" s="550">
        <v>643000</v>
      </c>
    </row>
    <row r="1178" spans="1:9" x14ac:dyDescent="0.2">
      <c r="A1178" s="549">
        <v>3924</v>
      </c>
      <c r="B1178" s="549">
        <v>8</v>
      </c>
      <c r="C1178" s="548">
        <v>42821</v>
      </c>
      <c r="D1178" s="550">
        <v>12.8</v>
      </c>
      <c r="E1178" s="550">
        <v>12.88</v>
      </c>
      <c r="F1178" s="550">
        <v>12.92</v>
      </c>
      <c r="G1178" s="550">
        <v>12.76</v>
      </c>
      <c r="H1178" s="551">
        <v>12.583456</v>
      </c>
      <c r="I1178" s="550">
        <v>887500</v>
      </c>
    </row>
    <row r="1179" spans="1:9" x14ac:dyDescent="0.2">
      <c r="A1179" s="549">
        <v>3925</v>
      </c>
      <c r="B1179" s="549">
        <v>8</v>
      </c>
      <c r="C1179" s="548">
        <v>42822</v>
      </c>
      <c r="D1179" s="550">
        <v>12.95</v>
      </c>
      <c r="E1179" s="550">
        <v>12.9</v>
      </c>
      <c r="F1179" s="550">
        <v>12.98</v>
      </c>
      <c r="G1179" s="550">
        <v>12.85</v>
      </c>
      <c r="H1179" s="551">
        <v>12.602995</v>
      </c>
      <c r="I1179" s="550">
        <v>945900</v>
      </c>
    </row>
    <row r="1180" spans="1:9" x14ac:dyDescent="0.2">
      <c r="A1180" s="549">
        <v>3926</v>
      </c>
      <c r="B1180" s="549">
        <v>8</v>
      </c>
      <c r="C1180" s="548">
        <v>42823</v>
      </c>
      <c r="D1180" s="550">
        <v>12.81</v>
      </c>
      <c r="E1180" s="550">
        <v>12.76</v>
      </c>
      <c r="F1180" s="550">
        <v>12.83</v>
      </c>
      <c r="G1180" s="550">
        <v>12.68</v>
      </c>
      <c r="H1180" s="551">
        <v>12.616146000000001</v>
      </c>
      <c r="I1180" s="550">
        <v>954100</v>
      </c>
    </row>
    <row r="1181" spans="1:9" x14ac:dyDescent="0.2">
      <c r="A1181" s="549">
        <v>3927</v>
      </c>
      <c r="B1181" s="549">
        <v>8</v>
      </c>
      <c r="C1181" s="548">
        <v>42824</v>
      </c>
      <c r="D1181" s="550">
        <v>12.76</v>
      </c>
      <c r="E1181" s="550">
        <v>12.71</v>
      </c>
      <c r="F1181" s="550">
        <v>12.8</v>
      </c>
      <c r="G1181" s="550">
        <v>12.71</v>
      </c>
      <c r="H1181" s="551">
        <v>12.56671</v>
      </c>
      <c r="I1181" s="550">
        <v>531500</v>
      </c>
    </row>
    <row r="1182" spans="1:9" x14ac:dyDescent="0.2">
      <c r="A1182" s="549">
        <v>3928</v>
      </c>
      <c r="B1182" s="549">
        <v>8</v>
      </c>
      <c r="C1182" s="548">
        <v>42825</v>
      </c>
      <c r="D1182" s="550">
        <v>12.71</v>
      </c>
      <c r="E1182" s="550">
        <v>12.7</v>
      </c>
      <c r="F1182" s="550">
        <v>12.73</v>
      </c>
      <c r="G1182" s="550">
        <v>12.69</v>
      </c>
      <c r="H1182" s="551">
        <v>12.556822</v>
      </c>
      <c r="I1182" s="550">
        <v>1361100</v>
      </c>
    </row>
    <row r="1183" spans="1:9" x14ac:dyDescent="0.2">
      <c r="A1183" s="549">
        <v>3929</v>
      </c>
      <c r="B1183" s="549">
        <v>8</v>
      </c>
      <c r="C1183" s="548">
        <v>42828</v>
      </c>
      <c r="D1183" s="550">
        <v>12.72</v>
      </c>
      <c r="E1183" s="550">
        <v>12.69</v>
      </c>
      <c r="F1183" s="550">
        <v>12.76</v>
      </c>
      <c r="G1183" s="550">
        <v>12.65</v>
      </c>
      <c r="H1183" s="551">
        <v>12.546934</v>
      </c>
      <c r="I1183" s="550">
        <v>792600</v>
      </c>
    </row>
    <row r="1184" spans="1:9" x14ac:dyDescent="0.2">
      <c r="A1184" s="549">
        <v>3930</v>
      </c>
      <c r="B1184" s="549">
        <v>8</v>
      </c>
      <c r="C1184" s="548">
        <v>42829</v>
      </c>
      <c r="D1184" s="550">
        <v>12.7</v>
      </c>
      <c r="E1184" s="550">
        <v>12.69</v>
      </c>
      <c r="F1184" s="550">
        <v>12.71</v>
      </c>
      <c r="G1184" s="550">
        <v>12.57</v>
      </c>
      <c r="H1184" s="551">
        <v>12.546934</v>
      </c>
      <c r="I1184" s="550">
        <v>1050900</v>
      </c>
    </row>
    <row r="1185" spans="1:9" x14ac:dyDescent="0.2">
      <c r="A1185" s="549">
        <v>3931</v>
      </c>
      <c r="B1185" s="549">
        <v>8</v>
      </c>
      <c r="C1185" s="548">
        <v>42830</v>
      </c>
      <c r="D1185" s="550">
        <v>12.68</v>
      </c>
      <c r="E1185" s="550">
        <v>12.61</v>
      </c>
      <c r="F1185" s="550">
        <v>12.75</v>
      </c>
      <c r="G1185" s="550">
        <v>12.57</v>
      </c>
      <c r="H1185" s="551">
        <v>12.467836</v>
      </c>
      <c r="I1185" s="550">
        <v>706300</v>
      </c>
    </row>
    <row r="1186" spans="1:9" x14ac:dyDescent="0.2">
      <c r="A1186" s="549">
        <v>3932</v>
      </c>
      <c r="B1186" s="549">
        <v>8</v>
      </c>
      <c r="C1186" s="548">
        <v>42831</v>
      </c>
      <c r="D1186" s="550">
        <v>12.62</v>
      </c>
      <c r="E1186" s="550">
        <v>12.72</v>
      </c>
      <c r="F1186" s="550">
        <v>12.76</v>
      </c>
      <c r="G1186" s="550">
        <v>12.59</v>
      </c>
      <c r="H1186" s="551">
        <v>12.576597</v>
      </c>
      <c r="I1186" s="550">
        <v>415300</v>
      </c>
    </row>
    <row r="1187" spans="1:9" x14ac:dyDescent="0.2">
      <c r="A1187" s="549">
        <v>3933</v>
      </c>
      <c r="B1187" s="549">
        <v>8</v>
      </c>
      <c r="C1187" s="548">
        <v>42832</v>
      </c>
      <c r="D1187" s="550">
        <v>12.75</v>
      </c>
      <c r="E1187" s="550">
        <v>12.78</v>
      </c>
      <c r="F1187" s="550">
        <v>12.83</v>
      </c>
      <c r="G1187" s="550">
        <v>12.71</v>
      </c>
      <c r="H1187" s="551">
        <v>12.63592</v>
      </c>
      <c r="I1187" s="550">
        <v>826900</v>
      </c>
    </row>
    <row r="1188" spans="1:9" x14ac:dyDescent="0.2">
      <c r="A1188" s="549">
        <v>3934</v>
      </c>
      <c r="B1188" s="549">
        <v>8</v>
      </c>
      <c r="C1188" s="548">
        <v>42835</v>
      </c>
      <c r="D1188" s="550">
        <v>12.8</v>
      </c>
      <c r="E1188" s="550">
        <v>12.91</v>
      </c>
      <c r="F1188" s="550">
        <v>12.94</v>
      </c>
      <c r="G1188" s="550">
        <v>12.72</v>
      </c>
      <c r="H1188" s="551">
        <v>12.764454000000001</v>
      </c>
      <c r="I1188" s="550">
        <v>593500</v>
      </c>
    </row>
    <row r="1189" spans="1:9" x14ac:dyDescent="0.2">
      <c r="A1189" s="549">
        <v>3935</v>
      </c>
      <c r="B1189" s="549">
        <v>8</v>
      </c>
      <c r="C1189" s="548">
        <v>42836</v>
      </c>
      <c r="D1189" s="550">
        <v>12.95</v>
      </c>
      <c r="E1189" s="550">
        <v>12.78</v>
      </c>
      <c r="F1189" s="550">
        <v>12.95</v>
      </c>
      <c r="G1189" s="550">
        <v>12.77</v>
      </c>
      <c r="H1189" s="551">
        <v>12.63592</v>
      </c>
      <c r="I1189" s="550">
        <v>708400</v>
      </c>
    </row>
    <row r="1190" spans="1:9" x14ac:dyDescent="0.2">
      <c r="A1190" s="549">
        <v>3936</v>
      </c>
      <c r="B1190" s="549">
        <v>8</v>
      </c>
      <c r="C1190" s="548">
        <v>42837</v>
      </c>
      <c r="D1190" s="550">
        <v>12.81</v>
      </c>
      <c r="E1190" s="550">
        <v>12.87</v>
      </c>
      <c r="F1190" s="550">
        <v>12.88</v>
      </c>
      <c r="G1190" s="550">
        <v>12.75</v>
      </c>
      <c r="H1190" s="551">
        <v>12.724905</v>
      </c>
      <c r="I1190" s="550">
        <v>1223300</v>
      </c>
    </row>
    <row r="1191" spans="1:9" x14ac:dyDescent="0.2">
      <c r="A1191" s="549">
        <v>3937</v>
      </c>
      <c r="B1191" s="549">
        <v>8</v>
      </c>
      <c r="C1191" s="548">
        <v>42838</v>
      </c>
      <c r="D1191" s="550">
        <v>12.88</v>
      </c>
      <c r="E1191" s="550">
        <v>12.83</v>
      </c>
      <c r="F1191" s="550">
        <v>12.88</v>
      </c>
      <c r="G1191" s="550">
        <v>12.74</v>
      </c>
      <c r="H1191" s="551">
        <v>12.685356000000001</v>
      </c>
      <c r="I1191" s="550">
        <v>732500</v>
      </c>
    </row>
    <row r="1192" spans="1:9" x14ac:dyDescent="0.2">
      <c r="A1192" s="549">
        <v>3938</v>
      </c>
      <c r="B1192" s="549">
        <v>8</v>
      </c>
      <c r="C1192" s="548">
        <v>42842</v>
      </c>
      <c r="D1192" s="550">
        <v>12.86</v>
      </c>
      <c r="E1192" s="550">
        <v>12.93</v>
      </c>
      <c r="F1192" s="550">
        <v>12.96</v>
      </c>
      <c r="G1192" s="550">
        <v>12.82</v>
      </c>
      <c r="H1192" s="551">
        <v>12.784229</v>
      </c>
      <c r="I1192" s="550">
        <v>752000</v>
      </c>
    </row>
    <row r="1193" spans="1:9" x14ac:dyDescent="0.2">
      <c r="A1193" s="549">
        <v>3939</v>
      </c>
      <c r="B1193" s="549">
        <v>8</v>
      </c>
      <c r="C1193" s="548">
        <v>42843</v>
      </c>
      <c r="D1193" s="550">
        <v>12.94</v>
      </c>
      <c r="E1193" s="550">
        <v>13.03</v>
      </c>
      <c r="F1193" s="550">
        <v>13.03</v>
      </c>
      <c r="G1193" s="550">
        <v>12.91</v>
      </c>
      <c r="H1193" s="551">
        <v>12.883101</v>
      </c>
      <c r="I1193" s="550">
        <v>1813000</v>
      </c>
    </row>
    <row r="1194" spans="1:9" x14ac:dyDescent="0.2">
      <c r="A1194" s="549">
        <v>3940</v>
      </c>
      <c r="B1194" s="549">
        <v>8</v>
      </c>
      <c r="C1194" s="548">
        <v>42844</v>
      </c>
      <c r="D1194" s="550">
        <v>13.04</v>
      </c>
      <c r="E1194" s="550">
        <v>12.93</v>
      </c>
      <c r="F1194" s="550">
        <v>13.05</v>
      </c>
      <c r="G1194" s="550">
        <v>12.87</v>
      </c>
      <c r="H1194" s="551">
        <v>12.784229</v>
      </c>
      <c r="I1194" s="550">
        <v>1984500</v>
      </c>
    </row>
    <row r="1195" spans="1:9" x14ac:dyDescent="0.2">
      <c r="A1195" s="549">
        <v>3941</v>
      </c>
      <c r="B1195" s="549">
        <v>8</v>
      </c>
      <c r="C1195" s="548">
        <v>42845</v>
      </c>
      <c r="D1195" s="550">
        <v>12.94</v>
      </c>
      <c r="E1195" s="550">
        <v>12.94</v>
      </c>
      <c r="F1195" s="550">
        <v>12.97</v>
      </c>
      <c r="G1195" s="550">
        <v>12.85</v>
      </c>
      <c r="H1195" s="551">
        <v>12.794116000000001</v>
      </c>
      <c r="I1195" s="550">
        <v>539900</v>
      </c>
    </row>
    <row r="1196" spans="1:9" x14ac:dyDescent="0.2">
      <c r="A1196" s="549">
        <v>3942</v>
      </c>
      <c r="B1196" s="549">
        <v>8</v>
      </c>
      <c r="C1196" s="548">
        <v>42846</v>
      </c>
      <c r="D1196" s="550">
        <v>12.99</v>
      </c>
      <c r="E1196" s="550">
        <v>12.93</v>
      </c>
      <c r="F1196" s="550">
        <v>13.03</v>
      </c>
      <c r="G1196" s="550">
        <v>12.89</v>
      </c>
      <c r="H1196" s="551">
        <v>12.784229</v>
      </c>
      <c r="I1196" s="550">
        <v>876100</v>
      </c>
    </row>
    <row r="1197" spans="1:9" x14ac:dyDescent="0.2">
      <c r="A1197" s="549">
        <v>3943</v>
      </c>
      <c r="B1197" s="549">
        <v>8</v>
      </c>
      <c r="C1197" s="548">
        <v>42849</v>
      </c>
      <c r="D1197" s="550">
        <v>12.96</v>
      </c>
      <c r="E1197" s="550">
        <v>12.94</v>
      </c>
      <c r="F1197" s="550">
        <v>13.01</v>
      </c>
      <c r="G1197" s="550">
        <v>12.9</v>
      </c>
      <c r="H1197" s="551">
        <v>12.794116000000001</v>
      </c>
      <c r="I1197" s="550">
        <v>918400</v>
      </c>
    </row>
    <row r="1198" spans="1:9" x14ac:dyDescent="0.2">
      <c r="A1198" s="549">
        <v>3944</v>
      </c>
      <c r="B1198" s="549">
        <v>8</v>
      </c>
      <c r="C1198" s="548">
        <v>42850</v>
      </c>
      <c r="D1198" s="550">
        <v>12.9</v>
      </c>
      <c r="E1198" s="550">
        <v>12.81</v>
      </c>
      <c r="F1198" s="550">
        <v>12.97</v>
      </c>
      <c r="G1198" s="550">
        <v>12.76</v>
      </c>
      <c r="H1198" s="551">
        <v>12.665583</v>
      </c>
      <c r="I1198" s="550">
        <v>918100</v>
      </c>
    </row>
    <row r="1199" spans="1:9" x14ac:dyDescent="0.2">
      <c r="A1199" s="549">
        <v>3945</v>
      </c>
      <c r="B1199" s="549">
        <v>8</v>
      </c>
      <c r="C1199" s="548">
        <v>42851</v>
      </c>
      <c r="D1199" s="550">
        <v>12.83</v>
      </c>
      <c r="E1199" s="550">
        <v>12.88</v>
      </c>
      <c r="F1199" s="550">
        <v>12.9</v>
      </c>
      <c r="G1199" s="550">
        <v>12.78</v>
      </c>
      <c r="H1199" s="551">
        <v>12.734793</v>
      </c>
      <c r="I1199" s="550">
        <v>584500</v>
      </c>
    </row>
    <row r="1200" spans="1:9" x14ac:dyDescent="0.2">
      <c r="A1200" s="549">
        <v>3946</v>
      </c>
      <c r="B1200" s="549">
        <v>8</v>
      </c>
      <c r="C1200" s="548">
        <v>42852</v>
      </c>
      <c r="D1200" s="550">
        <v>12.9</v>
      </c>
      <c r="E1200" s="550">
        <v>12.9</v>
      </c>
      <c r="F1200" s="550">
        <v>12.94</v>
      </c>
      <c r="G1200" s="550">
        <v>12.8</v>
      </c>
      <c r="H1200" s="551">
        <v>12.754567</v>
      </c>
      <c r="I1200" s="550">
        <v>863000</v>
      </c>
    </row>
    <row r="1201" spans="1:9" x14ac:dyDescent="0.2">
      <c r="A1201" s="549">
        <v>3947</v>
      </c>
      <c r="B1201" s="549">
        <v>8</v>
      </c>
      <c r="C1201" s="548">
        <v>42853</v>
      </c>
      <c r="D1201" s="550">
        <v>12.94</v>
      </c>
      <c r="E1201" s="550">
        <v>12.93</v>
      </c>
      <c r="F1201" s="550">
        <v>12.94</v>
      </c>
      <c r="G1201" s="550">
        <v>12.85</v>
      </c>
      <c r="H1201" s="551">
        <v>12.784229</v>
      </c>
      <c r="I1201" s="550">
        <v>912300</v>
      </c>
    </row>
    <row r="1202" spans="1:9" x14ac:dyDescent="0.2">
      <c r="A1202" s="549">
        <v>3948</v>
      </c>
      <c r="B1202" s="549">
        <v>8</v>
      </c>
      <c r="C1202" s="548">
        <v>42856</v>
      </c>
      <c r="D1202" s="550">
        <v>12.94</v>
      </c>
      <c r="E1202" s="550">
        <v>12.97</v>
      </c>
      <c r="F1202" s="550">
        <v>12.98</v>
      </c>
      <c r="G1202" s="550">
        <v>12.9</v>
      </c>
      <c r="H1202" s="551">
        <v>12.823778000000001</v>
      </c>
      <c r="I1202" s="550">
        <v>591600</v>
      </c>
    </row>
    <row r="1203" spans="1:9" x14ac:dyDescent="0.2">
      <c r="A1203" s="549">
        <v>3949</v>
      </c>
      <c r="B1203" s="549">
        <v>8</v>
      </c>
      <c r="C1203" s="548">
        <v>42857</v>
      </c>
      <c r="D1203" s="550">
        <v>12.99</v>
      </c>
      <c r="E1203" s="550">
        <v>13</v>
      </c>
      <c r="F1203" s="550">
        <v>13.14</v>
      </c>
      <c r="G1203" s="550">
        <v>12.96</v>
      </c>
      <c r="H1203" s="551">
        <v>12.853439</v>
      </c>
      <c r="I1203" s="550">
        <v>1470600</v>
      </c>
    </row>
    <row r="1204" spans="1:9" x14ac:dyDescent="0.2">
      <c r="A1204" s="549">
        <v>3950</v>
      </c>
      <c r="B1204" s="549">
        <v>8</v>
      </c>
      <c r="C1204" s="548">
        <v>42858</v>
      </c>
      <c r="D1204" s="550">
        <v>13.04</v>
      </c>
      <c r="E1204" s="550">
        <v>13.04</v>
      </c>
      <c r="F1204" s="550">
        <v>13.07</v>
      </c>
      <c r="G1204" s="550">
        <v>12.96</v>
      </c>
      <c r="H1204" s="551">
        <v>12.892989</v>
      </c>
      <c r="I1204" s="550">
        <v>815300</v>
      </c>
    </row>
    <row r="1205" spans="1:9" x14ac:dyDescent="0.2">
      <c r="A1205" s="549">
        <v>3951</v>
      </c>
      <c r="B1205" s="549">
        <v>8</v>
      </c>
      <c r="C1205" s="548">
        <v>42859</v>
      </c>
      <c r="D1205" s="550">
        <v>13.05</v>
      </c>
      <c r="E1205" s="550">
        <v>13.05</v>
      </c>
      <c r="F1205" s="550">
        <v>13.07</v>
      </c>
      <c r="G1205" s="550">
        <v>12.96</v>
      </c>
      <c r="H1205" s="551">
        <v>12.902875999999999</v>
      </c>
      <c r="I1205" s="550">
        <v>898900</v>
      </c>
    </row>
    <row r="1206" spans="1:9" x14ac:dyDescent="0.2">
      <c r="A1206" s="549">
        <v>3952</v>
      </c>
      <c r="B1206" s="549">
        <v>8</v>
      </c>
      <c r="C1206" s="548">
        <v>42860</v>
      </c>
      <c r="D1206" s="550">
        <v>13.08</v>
      </c>
      <c r="E1206" s="550">
        <v>12.99</v>
      </c>
      <c r="F1206" s="550">
        <v>13.13</v>
      </c>
      <c r="G1206" s="550">
        <v>12.99</v>
      </c>
      <c r="H1206" s="551">
        <v>12.843553</v>
      </c>
      <c r="I1206" s="550">
        <v>445600</v>
      </c>
    </row>
    <row r="1207" spans="1:9" x14ac:dyDescent="0.2">
      <c r="A1207" s="549">
        <v>3953</v>
      </c>
      <c r="B1207" s="549">
        <v>8</v>
      </c>
      <c r="C1207" s="548">
        <v>42863</v>
      </c>
      <c r="D1207" s="550">
        <v>13.06</v>
      </c>
      <c r="E1207" s="550">
        <v>13.14</v>
      </c>
      <c r="F1207" s="550">
        <v>13.15</v>
      </c>
      <c r="G1207" s="550">
        <v>13.02</v>
      </c>
      <c r="H1207" s="551">
        <v>12.991861</v>
      </c>
      <c r="I1207" s="550">
        <v>887000</v>
      </c>
    </row>
    <row r="1208" spans="1:9" x14ac:dyDescent="0.2">
      <c r="A1208" s="549">
        <v>3954</v>
      </c>
      <c r="B1208" s="549">
        <v>8</v>
      </c>
      <c r="C1208" s="548">
        <v>42864</v>
      </c>
      <c r="D1208" s="550">
        <v>13.15</v>
      </c>
      <c r="E1208" s="550">
        <v>13.12</v>
      </c>
      <c r="F1208" s="550">
        <v>13.15</v>
      </c>
      <c r="G1208" s="550">
        <v>13.03</v>
      </c>
      <c r="H1208" s="551">
        <v>12.972087</v>
      </c>
      <c r="I1208" s="550">
        <v>742300</v>
      </c>
    </row>
    <row r="1209" spans="1:9" x14ac:dyDescent="0.2">
      <c r="A1209" s="549">
        <v>3955</v>
      </c>
      <c r="B1209" s="549">
        <v>8</v>
      </c>
      <c r="C1209" s="548">
        <v>42865</v>
      </c>
      <c r="D1209" s="550">
        <v>13.18</v>
      </c>
      <c r="E1209" s="550">
        <v>13.29</v>
      </c>
      <c r="F1209" s="550">
        <v>13.31</v>
      </c>
      <c r="G1209" s="550">
        <v>13.13</v>
      </c>
      <c r="H1209" s="551">
        <v>13.140169999999999</v>
      </c>
      <c r="I1209" s="550">
        <v>1169600</v>
      </c>
    </row>
    <row r="1210" spans="1:9" x14ac:dyDescent="0.2">
      <c r="A1210" s="549">
        <v>3956</v>
      </c>
      <c r="B1210" s="549">
        <v>8</v>
      </c>
      <c r="C1210" s="548">
        <v>42866</v>
      </c>
      <c r="D1210" s="550">
        <v>13.34</v>
      </c>
      <c r="E1210" s="550">
        <v>13.19</v>
      </c>
      <c r="F1210" s="550">
        <v>13.35</v>
      </c>
      <c r="G1210" s="550">
        <v>13.13</v>
      </c>
      <c r="H1210" s="551">
        <v>13.041297</v>
      </c>
      <c r="I1210" s="550">
        <v>958800</v>
      </c>
    </row>
    <row r="1211" spans="1:9" x14ac:dyDescent="0.2">
      <c r="A1211" s="549">
        <v>3957</v>
      </c>
      <c r="B1211" s="549">
        <v>8</v>
      </c>
      <c r="C1211" s="548">
        <v>42867</v>
      </c>
      <c r="D1211" s="550">
        <v>13.32</v>
      </c>
      <c r="E1211" s="550">
        <v>13.23</v>
      </c>
      <c r="F1211" s="550">
        <v>13.35</v>
      </c>
      <c r="G1211" s="550">
        <v>13.18</v>
      </c>
      <c r="H1211" s="551">
        <v>13.080847</v>
      </c>
      <c r="I1211" s="550">
        <v>491500</v>
      </c>
    </row>
    <row r="1212" spans="1:9" x14ac:dyDescent="0.2">
      <c r="A1212" s="549">
        <v>3958</v>
      </c>
      <c r="B1212" s="549">
        <v>8</v>
      </c>
      <c r="C1212" s="548">
        <v>42870</v>
      </c>
      <c r="D1212" s="550">
        <v>13.32</v>
      </c>
      <c r="E1212" s="550">
        <v>13.31</v>
      </c>
      <c r="F1212" s="550">
        <v>13.36</v>
      </c>
      <c r="G1212" s="550">
        <v>13.16</v>
      </c>
      <c r="H1212" s="551">
        <v>13.159945</v>
      </c>
      <c r="I1212" s="550">
        <v>941400</v>
      </c>
    </row>
    <row r="1213" spans="1:9" x14ac:dyDescent="0.2">
      <c r="A1213" s="549">
        <v>3959</v>
      </c>
      <c r="B1213" s="549">
        <v>8</v>
      </c>
      <c r="C1213" s="548">
        <v>42871</v>
      </c>
      <c r="D1213" s="550">
        <v>13.38</v>
      </c>
      <c r="E1213" s="550">
        <v>13.49</v>
      </c>
      <c r="F1213" s="550">
        <v>13.59</v>
      </c>
      <c r="G1213" s="550">
        <v>13.36</v>
      </c>
      <c r="H1213" s="551">
        <v>13.337915000000001</v>
      </c>
      <c r="I1213" s="550">
        <v>1156700</v>
      </c>
    </row>
    <row r="1214" spans="1:9" x14ac:dyDescent="0.2">
      <c r="A1214" s="549">
        <v>3960</v>
      </c>
      <c r="B1214" s="549">
        <v>8</v>
      </c>
      <c r="C1214" s="548">
        <v>42872</v>
      </c>
      <c r="D1214" s="550">
        <v>13.51</v>
      </c>
      <c r="E1214" s="550">
        <v>13.45</v>
      </c>
      <c r="F1214" s="550">
        <v>13.58</v>
      </c>
      <c r="G1214" s="550">
        <v>13.42</v>
      </c>
      <c r="H1214" s="551">
        <v>13.298367000000001</v>
      </c>
      <c r="I1214" s="550">
        <v>1208900</v>
      </c>
    </row>
    <row r="1215" spans="1:9" x14ac:dyDescent="0.2">
      <c r="A1215" s="549">
        <v>3961</v>
      </c>
      <c r="B1215" s="549">
        <v>8</v>
      </c>
      <c r="C1215" s="548">
        <v>42873</v>
      </c>
      <c r="D1215" s="550">
        <v>13.4</v>
      </c>
      <c r="E1215" s="550">
        <v>13.38</v>
      </c>
      <c r="F1215" s="550">
        <v>13.48</v>
      </c>
      <c r="G1215" s="550">
        <v>13.26</v>
      </c>
      <c r="H1215" s="551">
        <v>13.229156</v>
      </c>
      <c r="I1215" s="550">
        <v>898700</v>
      </c>
    </row>
    <row r="1216" spans="1:9" x14ac:dyDescent="0.2">
      <c r="A1216" s="549">
        <v>3962</v>
      </c>
      <c r="B1216" s="549">
        <v>8</v>
      </c>
      <c r="C1216" s="548">
        <v>42874</v>
      </c>
      <c r="D1216" s="550">
        <v>13.42</v>
      </c>
      <c r="E1216" s="550">
        <v>13.54</v>
      </c>
      <c r="F1216" s="550">
        <v>13.57</v>
      </c>
      <c r="G1216" s="550">
        <v>13.39</v>
      </c>
      <c r="H1216" s="551">
        <v>13.387352</v>
      </c>
      <c r="I1216" s="550">
        <v>704600</v>
      </c>
    </row>
    <row r="1217" spans="1:9" x14ac:dyDescent="0.2">
      <c r="A1217" s="549">
        <v>3963</v>
      </c>
      <c r="B1217" s="549">
        <v>8</v>
      </c>
      <c r="C1217" s="548">
        <v>42878</v>
      </c>
      <c r="D1217" s="550">
        <v>13.56</v>
      </c>
      <c r="E1217" s="550">
        <v>13.59</v>
      </c>
      <c r="F1217" s="550">
        <v>13.73</v>
      </c>
      <c r="G1217" s="550">
        <v>13.56</v>
      </c>
      <c r="H1217" s="551">
        <v>13.436788999999999</v>
      </c>
      <c r="I1217" s="550">
        <v>619900</v>
      </c>
    </row>
    <row r="1218" spans="1:9" x14ac:dyDescent="0.2">
      <c r="A1218" s="549">
        <v>3964</v>
      </c>
      <c r="B1218" s="549">
        <v>8</v>
      </c>
      <c r="C1218" s="548">
        <v>42879</v>
      </c>
      <c r="D1218" s="550">
        <v>13.63</v>
      </c>
      <c r="E1218" s="550">
        <v>13.67</v>
      </c>
      <c r="F1218" s="550">
        <v>13.69</v>
      </c>
      <c r="G1218" s="550">
        <v>13.6</v>
      </c>
      <c r="H1218" s="551">
        <v>13.515886</v>
      </c>
      <c r="I1218" s="550">
        <v>287900</v>
      </c>
    </row>
    <row r="1219" spans="1:9" x14ac:dyDescent="0.2">
      <c r="A1219" s="549">
        <v>3965</v>
      </c>
      <c r="B1219" s="549">
        <v>8</v>
      </c>
      <c r="C1219" s="548">
        <v>42880</v>
      </c>
      <c r="D1219" s="550">
        <v>13.73</v>
      </c>
      <c r="E1219" s="550">
        <v>13.77</v>
      </c>
      <c r="F1219" s="550">
        <v>13.78</v>
      </c>
      <c r="G1219" s="550">
        <v>13.62</v>
      </c>
      <c r="H1219" s="551">
        <v>13.614758999999999</v>
      </c>
      <c r="I1219" s="550">
        <v>665100</v>
      </c>
    </row>
    <row r="1220" spans="1:9" x14ac:dyDescent="0.2">
      <c r="A1220" s="549">
        <v>3966</v>
      </c>
      <c r="B1220" s="549">
        <v>8</v>
      </c>
      <c r="C1220" s="548">
        <v>42881</v>
      </c>
      <c r="D1220" s="550">
        <v>13.78</v>
      </c>
      <c r="E1220" s="550">
        <v>13.78</v>
      </c>
      <c r="F1220" s="550">
        <v>13.86</v>
      </c>
      <c r="G1220" s="550">
        <v>13.76</v>
      </c>
      <c r="H1220" s="551">
        <v>13.624646</v>
      </c>
      <c r="I1220" s="550">
        <v>474200</v>
      </c>
    </row>
    <row r="1221" spans="1:9" x14ac:dyDescent="0.2">
      <c r="A1221" s="549">
        <v>3967</v>
      </c>
      <c r="B1221" s="549">
        <v>8</v>
      </c>
      <c r="C1221" s="548">
        <v>42884</v>
      </c>
      <c r="D1221" s="550">
        <v>13.81</v>
      </c>
      <c r="E1221" s="550">
        <v>13.78</v>
      </c>
      <c r="F1221" s="550">
        <v>13.84</v>
      </c>
      <c r="G1221" s="550">
        <v>13.72</v>
      </c>
      <c r="H1221" s="551">
        <v>13.624646</v>
      </c>
      <c r="I1221" s="550">
        <v>279400</v>
      </c>
    </row>
    <row r="1222" spans="1:9" x14ac:dyDescent="0.2">
      <c r="A1222" s="549">
        <v>3968</v>
      </c>
      <c r="B1222" s="549">
        <v>8</v>
      </c>
      <c r="C1222" s="548">
        <v>42885</v>
      </c>
      <c r="D1222" s="550">
        <v>13.81</v>
      </c>
      <c r="E1222" s="550">
        <v>13.77</v>
      </c>
      <c r="F1222" s="550">
        <v>13.83</v>
      </c>
      <c r="G1222" s="550">
        <v>13.64</v>
      </c>
      <c r="H1222" s="551">
        <v>13.614758999999999</v>
      </c>
      <c r="I1222" s="550">
        <v>678200</v>
      </c>
    </row>
    <row r="1223" spans="1:9" x14ac:dyDescent="0.2">
      <c r="A1223" s="549">
        <v>3969</v>
      </c>
      <c r="B1223" s="549">
        <v>8</v>
      </c>
      <c r="C1223" s="548">
        <v>42886</v>
      </c>
      <c r="D1223" s="550">
        <v>13.82</v>
      </c>
      <c r="E1223" s="550">
        <v>13.97</v>
      </c>
      <c r="F1223" s="550">
        <v>13.98</v>
      </c>
      <c r="G1223" s="550">
        <v>13.79</v>
      </c>
      <c r="H1223" s="551">
        <v>13.812505</v>
      </c>
      <c r="I1223" s="550">
        <v>2653800</v>
      </c>
    </row>
    <row r="1224" spans="1:9" x14ac:dyDescent="0.2">
      <c r="A1224" s="549">
        <v>3970</v>
      </c>
      <c r="B1224" s="549">
        <v>8</v>
      </c>
      <c r="C1224" s="548">
        <v>42887</v>
      </c>
      <c r="D1224" s="550">
        <v>13.99</v>
      </c>
      <c r="E1224" s="550">
        <v>14.08</v>
      </c>
      <c r="F1224" s="550">
        <v>14.13</v>
      </c>
      <c r="G1224" s="550">
        <v>13.92</v>
      </c>
      <c r="H1224" s="551">
        <v>13.921264000000001</v>
      </c>
      <c r="I1224" s="550">
        <v>914400</v>
      </c>
    </row>
    <row r="1225" spans="1:9" x14ac:dyDescent="0.2">
      <c r="A1225" s="549">
        <v>3971</v>
      </c>
      <c r="B1225" s="549">
        <v>8</v>
      </c>
      <c r="C1225" s="548">
        <v>42888</v>
      </c>
      <c r="D1225" s="550">
        <v>14.11</v>
      </c>
      <c r="E1225" s="550">
        <v>14.12</v>
      </c>
      <c r="F1225" s="550">
        <v>14.26</v>
      </c>
      <c r="G1225" s="550">
        <v>14.06</v>
      </c>
      <c r="H1225" s="551">
        <v>13.960813</v>
      </c>
      <c r="I1225" s="550">
        <v>1617300</v>
      </c>
    </row>
    <row r="1226" spans="1:9" x14ac:dyDescent="0.2">
      <c r="A1226" s="549">
        <v>3972</v>
      </c>
      <c r="B1226" s="549">
        <v>8</v>
      </c>
      <c r="C1226" s="548">
        <v>42891</v>
      </c>
      <c r="D1226" s="550">
        <v>14.18</v>
      </c>
      <c r="E1226" s="550">
        <v>14.17</v>
      </c>
      <c r="F1226" s="550">
        <v>14.22</v>
      </c>
      <c r="G1226" s="550">
        <v>14.1</v>
      </c>
      <c r="H1226" s="551">
        <v>14.010249</v>
      </c>
      <c r="I1226" s="550">
        <v>691000</v>
      </c>
    </row>
    <row r="1227" spans="1:9" x14ac:dyDescent="0.2">
      <c r="A1227" s="549">
        <v>3973</v>
      </c>
      <c r="B1227" s="549">
        <v>8</v>
      </c>
      <c r="C1227" s="548">
        <v>42892</v>
      </c>
      <c r="D1227" s="550">
        <v>14.22</v>
      </c>
      <c r="E1227" s="550">
        <v>14.24</v>
      </c>
      <c r="F1227" s="550">
        <v>14.35</v>
      </c>
      <c r="G1227" s="550">
        <v>14.17</v>
      </c>
      <c r="H1227" s="551">
        <v>14.079459999999999</v>
      </c>
      <c r="I1227" s="550">
        <v>1054300</v>
      </c>
    </row>
    <row r="1228" spans="1:9" x14ac:dyDescent="0.2">
      <c r="A1228" s="549">
        <v>3974</v>
      </c>
      <c r="B1228" s="549">
        <v>8</v>
      </c>
      <c r="C1228" s="548">
        <v>42893</v>
      </c>
      <c r="D1228" s="550">
        <v>14.28</v>
      </c>
      <c r="E1228" s="550">
        <v>13.96</v>
      </c>
      <c r="F1228" s="550">
        <v>14.28</v>
      </c>
      <c r="G1228" s="550">
        <v>13.94</v>
      </c>
      <c r="H1228" s="551">
        <v>13.802617</v>
      </c>
      <c r="I1228" s="550">
        <v>1007900</v>
      </c>
    </row>
    <row r="1229" spans="1:9" x14ac:dyDescent="0.2">
      <c r="A1229" s="549">
        <v>3975</v>
      </c>
      <c r="B1229" s="549">
        <v>8</v>
      </c>
      <c r="C1229" s="548">
        <v>42894</v>
      </c>
      <c r="D1229" s="550">
        <v>14.02</v>
      </c>
      <c r="E1229" s="550">
        <v>13.95</v>
      </c>
      <c r="F1229" s="550">
        <v>14.03</v>
      </c>
      <c r="G1229" s="550">
        <v>13.85</v>
      </c>
      <c r="H1229" s="551">
        <v>13.792729</v>
      </c>
      <c r="I1229" s="550">
        <v>841500</v>
      </c>
    </row>
    <row r="1230" spans="1:9" x14ac:dyDescent="0.2">
      <c r="A1230" s="549">
        <v>3976</v>
      </c>
      <c r="B1230" s="549">
        <v>8</v>
      </c>
      <c r="C1230" s="548">
        <v>42895</v>
      </c>
      <c r="D1230" s="550">
        <v>13.99</v>
      </c>
      <c r="E1230" s="550">
        <v>13.94</v>
      </c>
      <c r="F1230" s="550">
        <v>14.04</v>
      </c>
      <c r="G1230" s="550">
        <v>13.89</v>
      </c>
      <c r="H1230" s="551">
        <v>13.782842</v>
      </c>
      <c r="I1230" s="550">
        <v>832400</v>
      </c>
    </row>
    <row r="1231" spans="1:9" x14ac:dyDescent="0.2">
      <c r="A1231" s="549">
        <v>3977</v>
      </c>
      <c r="B1231" s="549">
        <v>8</v>
      </c>
      <c r="C1231" s="548">
        <v>42898</v>
      </c>
      <c r="D1231" s="550">
        <v>13.98</v>
      </c>
      <c r="E1231" s="550">
        <v>13.91</v>
      </c>
      <c r="F1231" s="550">
        <v>14.02</v>
      </c>
      <c r="G1231" s="550">
        <v>13.82</v>
      </c>
      <c r="H1231" s="551">
        <v>13.753181</v>
      </c>
      <c r="I1231" s="550">
        <v>562000</v>
      </c>
    </row>
    <row r="1232" spans="1:9" x14ac:dyDescent="0.2">
      <c r="A1232" s="549">
        <v>3978</v>
      </c>
      <c r="B1232" s="549">
        <v>8</v>
      </c>
      <c r="C1232" s="548">
        <v>42899</v>
      </c>
      <c r="D1232" s="550">
        <v>13.9</v>
      </c>
      <c r="E1232" s="550">
        <v>13.86</v>
      </c>
      <c r="F1232" s="550">
        <v>13.91</v>
      </c>
      <c r="G1232" s="550">
        <v>13.81</v>
      </c>
      <c r="H1232" s="551">
        <v>13.703744</v>
      </c>
      <c r="I1232" s="550">
        <v>966100</v>
      </c>
    </row>
    <row r="1233" spans="1:9" x14ac:dyDescent="0.2">
      <c r="A1233" s="549">
        <v>3979</v>
      </c>
      <c r="B1233" s="549">
        <v>8</v>
      </c>
      <c r="C1233" s="548">
        <v>42900</v>
      </c>
      <c r="D1233" s="550">
        <v>13.91</v>
      </c>
      <c r="E1233" s="550">
        <v>13.88</v>
      </c>
      <c r="F1233" s="550">
        <v>13.98</v>
      </c>
      <c r="G1233" s="550">
        <v>13.79</v>
      </c>
      <c r="H1233" s="551">
        <v>13.723519</v>
      </c>
      <c r="I1233" s="550">
        <v>706300</v>
      </c>
    </row>
    <row r="1234" spans="1:9" x14ac:dyDescent="0.2">
      <c r="A1234" s="549">
        <v>3980</v>
      </c>
      <c r="B1234" s="549">
        <v>8</v>
      </c>
      <c r="C1234" s="548">
        <v>42901</v>
      </c>
      <c r="D1234" s="550">
        <v>13.86</v>
      </c>
      <c r="E1234" s="550">
        <v>13.95</v>
      </c>
      <c r="F1234" s="550">
        <v>13.95</v>
      </c>
      <c r="G1234" s="550">
        <v>13.77</v>
      </c>
      <c r="H1234" s="551">
        <v>13.792729</v>
      </c>
      <c r="I1234" s="550">
        <v>466500</v>
      </c>
    </row>
    <row r="1235" spans="1:9" x14ac:dyDescent="0.2">
      <c r="A1235" s="549">
        <v>3981</v>
      </c>
      <c r="B1235" s="549">
        <v>8</v>
      </c>
      <c r="C1235" s="548">
        <v>42902</v>
      </c>
      <c r="D1235" s="550">
        <v>13.98</v>
      </c>
      <c r="E1235" s="550">
        <v>14.12</v>
      </c>
      <c r="F1235" s="550">
        <v>14.12</v>
      </c>
      <c r="G1235" s="550">
        <v>13.93</v>
      </c>
      <c r="H1235" s="551">
        <v>13.960813</v>
      </c>
      <c r="I1235" s="550">
        <v>1115500</v>
      </c>
    </row>
    <row r="1236" spans="1:9" x14ac:dyDescent="0.2">
      <c r="A1236" s="549">
        <v>3982</v>
      </c>
      <c r="B1236" s="549">
        <v>8</v>
      </c>
      <c r="C1236" s="548">
        <v>42905</v>
      </c>
      <c r="D1236" s="550">
        <v>14.16</v>
      </c>
      <c r="E1236" s="550">
        <v>14.05</v>
      </c>
      <c r="F1236" s="550">
        <v>14.23</v>
      </c>
      <c r="G1236" s="550">
        <v>14.02</v>
      </c>
      <c r="H1236" s="551">
        <v>13.891603</v>
      </c>
      <c r="I1236" s="550">
        <v>653000</v>
      </c>
    </row>
    <row r="1237" spans="1:9" x14ac:dyDescent="0.2">
      <c r="A1237" s="549">
        <v>3983</v>
      </c>
      <c r="B1237" s="549">
        <v>8</v>
      </c>
      <c r="C1237" s="548">
        <v>42906</v>
      </c>
      <c r="D1237" s="550">
        <v>14.05</v>
      </c>
      <c r="E1237" s="550">
        <v>14.04</v>
      </c>
      <c r="F1237" s="550">
        <v>14.15</v>
      </c>
      <c r="G1237" s="550">
        <v>14</v>
      </c>
      <c r="H1237" s="551">
        <v>13.881715</v>
      </c>
      <c r="I1237" s="550">
        <v>426000</v>
      </c>
    </row>
    <row r="1238" spans="1:9" x14ac:dyDescent="0.2">
      <c r="A1238" s="549">
        <v>3984</v>
      </c>
      <c r="B1238" s="549">
        <v>8</v>
      </c>
      <c r="C1238" s="548">
        <v>42907</v>
      </c>
      <c r="D1238" s="550">
        <v>14.05</v>
      </c>
      <c r="E1238" s="550">
        <v>14.08</v>
      </c>
      <c r="F1238" s="550">
        <v>14.1</v>
      </c>
      <c r="G1238" s="550">
        <v>14.01</v>
      </c>
      <c r="H1238" s="551">
        <v>13.921264000000001</v>
      </c>
      <c r="I1238" s="550">
        <v>347100</v>
      </c>
    </row>
    <row r="1239" spans="1:9" x14ac:dyDescent="0.2">
      <c r="A1239" s="549">
        <v>3985</v>
      </c>
      <c r="B1239" s="549">
        <v>8</v>
      </c>
      <c r="C1239" s="548">
        <v>42908</v>
      </c>
      <c r="D1239" s="550">
        <v>14.12</v>
      </c>
      <c r="E1239" s="550">
        <v>14.15</v>
      </c>
      <c r="F1239" s="550">
        <v>14.22</v>
      </c>
      <c r="G1239" s="550">
        <v>14.09</v>
      </c>
      <c r="H1239" s="551">
        <v>13.990475</v>
      </c>
      <c r="I1239" s="550">
        <v>517700</v>
      </c>
    </row>
    <row r="1240" spans="1:9" x14ac:dyDescent="0.2">
      <c r="A1240" s="549">
        <v>3986</v>
      </c>
      <c r="B1240" s="549">
        <v>8</v>
      </c>
      <c r="C1240" s="548">
        <v>42909</v>
      </c>
      <c r="D1240" s="550">
        <v>14.17</v>
      </c>
      <c r="E1240" s="550">
        <v>14.19</v>
      </c>
      <c r="F1240" s="550">
        <v>14.26</v>
      </c>
      <c r="G1240" s="550">
        <v>14.09</v>
      </c>
      <c r="H1240" s="551">
        <v>14.030023999999999</v>
      </c>
      <c r="I1240" s="550">
        <v>450100</v>
      </c>
    </row>
    <row r="1241" spans="1:9" x14ac:dyDescent="0.2">
      <c r="A1241" s="549">
        <v>3987</v>
      </c>
      <c r="B1241" s="549">
        <v>8</v>
      </c>
      <c r="C1241" s="548">
        <v>42912</v>
      </c>
      <c r="D1241" s="550">
        <v>14.26</v>
      </c>
      <c r="E1241" s="550">
        <v>14.17</v>
      </c>
      <c r="F1241" s="550">
        <v>14.29</v>
      </c>
      <c r="G1241" s="550">
        <v>14.13</v>
      </c>
      <c r="H1241" s="551">
        <v>14.010249</v>
      </c>
      <c r="I1241" s="550">
        <v>392600</v>
      </c>
    </row>
    <row r="1242" spans="1:9" x14ac:dyDescent="0.2">
      <c r="A1242" s="549">
        <v>3988</v>
      </c>
      <c r="B1242" s="549">
        <v>8</v>
      </c>
      <c r="C1242" s="548">
        <v>42913</v>
      </c>
      <c r="D1242" s="550">
        <v>14.15</v>
      </c>
      <c r="E1242" s="550">
        <v>14.13</v>
      </c>
      <c r="F1242" s="550">
        <v>14.18</v>
      </c>
      <c r="G1242" s="550">
        <v>14.08</v>
      </c>
      <c r="H1242" s="551">
        <v>13.970700000000001</v>
      </c>
      <c r="I1242" s="550">
        <v>488800</v>
      </c>
    </row>
    <row r="1243" spans="1:9" x14ac:dyDescent="0.2">
      <c r="A1243" s="549">
        <v>3989</v>
      </c>
      <c r="B1243" s="549">
        <v>8</v>
      </c>
      <c r="C1243" s="548">
        <v>42914</v>
      </c>
      <c r="D1243" s="550">
        <v>14.01</v>
      </c>
      <c r="E1243" s="550">
        <v>13.92</v>
      </c>
      <c r="F1243" s="550">
        <v>14.03</v>
      </c>
      <c r="G1243" s="550">
        <v>13.89</v>
      </c>
      <c r="H1243" s="551">
        <v>13.92</v>
      </c>
      <c r="I1243" s="550">
        <v>542700</v>
      </c>
    </row>
    <row r="1244" spans="1:9" x14ac:dyDescent="0.2">
      <c r="A1244" s="549">
        <v>3990</v>
      </c>
      <c r="B1244" s="549">
        <v>8</v>
      </c>
      <c r="C1244" s="548">
        <v>42915</v>
      </c>
      <c r="D1244" s="550">
        <v>13.91</v>
      </c>
      <c r="E1244" s="550">
        <v>13.49</v>
      </c>
      <c r="F1244" s="550">
        <v>13.91</v>
      </c>
      <c r="G1244" s="550">
        <v>13.26</v>
      </c>
      <c r="H1244" s="551">
        <v>13.49</v>
      </c>
      <c r="I1244" s="550">
        <v>1310400</v>
      </c>
    </row>
    <row r="1245" spans="1:9" x14ac:dyDescent="0.2">
      <c r="A1245" s="549">
        <v>3991</v>
      </c>
      <c r="B1245" s="549">
        <v>8</v>
      </c>
      <c r="C1245" s="548">
        <v>42916</v>
      </c>
      <c r="D1245" s="550">
        <v>13.52</v>
      </c>
      <c r="E1245" s="550">
        <v>13.65</v>
      </c>
      <c r="F1245" s="550">
        <v>13.67</v>
      </c>
      <c r="G1245" s="550">
        <v>13.43</v>
      </c>
      <c r="H1245" s="551">
        <v>13.65</v>
      </c>
      <c r="I1245" s="550">
        <v>756800</v>
      </c>
    </row>
    <row r="1246" spans="1:9" x14ac:dyDescent="0.2">
      <c r="A1246" s="549">
        <v>3992</v>
      </c>
      <c r="B1246" s="549">
        <v>8</v>
      </c>
      <c r="C1246" s="548">
        <v>42920</v>
      </c>
      <c r="D1246" s="550">
        <v>13.69</v>
      </c>
      <c r="E1246" s="550">
        <v>13.42</v>
      </c>
      <c r="F1246" s="550">
        <v>13.7</v>
      </c>
      <c r="G1246" s="550">
        <v>13.41</v>
      </c>
      <c r="H1246" s="551">
        <v>13.42</v>
      </c>
      <c r="I1246" s="550">
        <v>366000</v>
      </c>
    </row>
    <row r="1247" spans="1:9" x14ac:dyDescent="0.2">
      <c r="A1247" s="549">
        <v>3993</v>
      </c>
      <c r="B1247" s="549">
        <v>8</v>
      </c>
      <c r="C1247" s="548">
        <v>42921</v>
      </c>
      <c r="D1247" s="550">
        <v>13.49</v>
      </c>
      <c r="E1247" s="550">
        <v>13.35</v>
      </c>
      <c r="F1247" s="550">
        <v>13.49</v>
      </c>
      <c r="G1247" s="550">
        <v>13.19</v>
      </c>
      <c r="H1247" s="551">
        <v>13.35</v>
      </c>
      <c r="I1247" s="550">
        <v>874300</v>
      </c>
    </row>
    <row r="1248" spans="1:9" x14ac:dyDescent="0.2">
      <c r="A1248" s="549">
        <v>3994</v>
      </c>
      <c r="B1248" s="549">
        <v>8</v>
      </c>
      <c r="C1248" s="548">
        <v>42922</v>
      </c>
      <c r="D1248" s="550">
        <v>13.3</v>
      </c>
      <c r="E1248" s="550">
        <v>13.17</v>
      </c>
      <c r="F1248" s="550">
        <v>13.3</v>
      </c>
      <c r="G1248" s="550">
        <v>13.03</v>
      </c>
      <c r="H1248" s="551">
        <v>13.17</v>
      </c>
      <c r="I1248" s="550">
        <v>1228100</v>
      </c>
    </row>
    <row r="1249" spans="1:9" x14ac:dyDescent="0.2">
      <c r="A1249" s="549">
        <v>3995</v>
      </c>
      <c r="B1249" s="549">
        <v>8</v>
      </c>
      <c r="C1249" s="548">
        <v>42923</v>
      </c>
      <c r="D1249" s="550">
        <v>13.12</v>
      </c>
      <c r="E1249" s="550">
        <v>13.11</v>
      </c>
      <c r="F1249" s="550">
        <v>13.13</v>
      </c>
      <c r="G1249" s="550">
        <v>12.96</v>
      </c>
      <c r="H1249" s="551">
        <v>13.11</v>
      </c>
      <c r="I1249" s="550">
        <v>867300</v>
      </c>
    </row>
    <row r="1250" spans="1:9" x14ac:dyDescent="0.2">
      <c r="A1250" s="549">
        <v>3996</v>
      </c>
      <c r="B1250" s="549">
        <v>8</v>
      </c>
      <c r="C1250" s="548">
        <v>42926</v>
      </c>
      <c r="D1250" s="550">
        <v>13.1</v>
      </c>
      <c r="E1250" s="550">
        <v>13.07</v>
      </c>
      <c r="F1250" s="550">
        <v>13.1</v>
      </c>
      <c r="G1250" s="550">
        <v>13.01</v>
      </c>
      <c r="H1250" s="551">
        <v>13.07</v>
      </c>
      <c r="I1250" s="550">
        <v>748400</v>
      </c>
    </row>
    <row r="1251" spans="1:9" x14ac:dyDescent="0.2">
      <c r="A1251" s="549">
        <v>3997</v>
      </c>
      <c r="B1251" s="549">
        <v>8</v>
      </c>
      <c r="C1251" s="548">
        <v>42927</v>
      </c>
      <c r="D1251" s="550">
        <v>13.1</v>
      </c>
      <c r="E1251" s="550">
        <v>12.98</v>
      </c>
      <c r="F1251" s="550">
        <v>13.11</v>
      </c>
      <c r="G1251" s="550">
        <v>12.92</v>
      </c>
      <c r="H1251" s="551">
        <v>12.98</v>
      </c>
      <c r="I1251" s="550">
        <v>1193000</v>
      </c>
    </row>
    <row r="1252" spans="1:9" x14ac:dyDescent="0.2">
      <c r="A1252" s="549">
        <v>3998</v>
      </c>
      <c r="B1252" s="549">
        <v>8</v>
      </c>
      <c r="C1252" s="548">
        <v>42928</v>
      </c>
      <c r="D1252" s="550">
        <v>12.99</v>
      </c>
      <c r="E1252" s="550">
        <v>13.02</v>
      </c>
      <c r="F1252" s="550">
        <v>13.12</v>
      </c>
      <c r="G1252" s="550">
        <v>12.9</v>
      </c>
      <c r="H1252" s="551">
        <v>13.02</v>
      </c>
      <c r="I1252" s="550">
        <v>1372200</v>
      </c>
    </row>
    <row r="1253" spans="1:9" x14ac:dyDescent="0.2">
      <c r="A1253" s="549">
        <v>3999</v>
      </c>
      <c r="B1253" s="549">
        <v>8</v>
      </c>
      <c r="C1253" s="548">
        <v>42929</v>
      </c>
      <c r="D1253" s="550">
        <v>13.09</v>
      </c>
      <c r="E1253" s="550">
        <v>12.91</v>
      </c>
      <c r="F1253" s="550">
        <v>13.1</v>
      </c>
      <c r="G1253" s="550">
        <v>12.91</v>
      </c>
      <c r="H1253" s="551">
        <v>12.91</v>
      </c>
      <c r="I1253" s="550">
        <v>563800</v>
      </c>
    </row>
    <row r="1254" spans="1:9" x14ac:dyDescent="0.2">
      <c r="A1254" s="549">
        <v>4000</v>
      </c>
      <c r="B1254" s="549">
        <v>8</v>
      </c>
      <c r="C1254" s="548">
        <v>42930</v>
      </c>
      <c r="D1254" s="550">
        <v>12.92</v>
      </c>
      <c r="E1254" s="550">
        <v>13.23</v>
      </c>
      <c r="F1254" s="550">
        <v>13.31</v>
      </c>
      <c r="G1254" s="550">
        <v>12.91</v>
      </c>
      <c r="H1254" s="551">
        <v>13.23</v>
      </c>
      <c r="I1254" s="550">
        <v>1429700</v>
      </c>
    </row>
    <row r="1255" spans="1:9" x14ac:dyDescent="0.2">
      <c r="A1255" s="549">
        <v>4001</v>
      </c>
      <c r="B1255" s="549">
        <v>8</v>
      </c>
      <c r="C1255" s="548">
        <v>42933</v>
      </c>
      <c r="D1255" s="550">
        <v>13.26</v>
      </c>
      <c r="E1255" s="550">
        <v>13.05</v>
      </c>
      <c r="F1255" s="550">
        <v>13.31</v>
      </c>
      <c r="G1255" s="550">
        <v>13.02</v>
      </c>
      <c r="H1255" s="551">
        <v>13.05</v>
      </c>
      <c r="I1255" s="550">
        <v>754000</v>
      </c>
    </row>
    <row r="1256" spans="1:9" x14ac:dyDescent="0.2">
      <c r="A1256" s="549">
        <v>4002</v>
      </c>
      <c r="B1256" s="549">
        <v>8</v>
      </c>
      <c r="C1256" s="548">
        <v>42934</v>
      </c>
      <c r="D1256" s="550">
        <v>13.06</v>
      </c>
      <c r="E1256" s="550">
        <v>13.2</v>
      </c>
      <c r="F1256" s="550">
        <v>13.22</v>
      </c>
      <c r="G1256" s="550">
        <v>13.06</v>
      </c>
      <c r="H1256" s="551">
        <v>13.2</v>
      </c>
      <c r="I1256" s="550">
        <v>606700</v>
      </c>
    </row>
    <row r="1257" spans="1:9" x14ac:dyDescent="0.2">
      <c r="A1257" s="549">
        <v>4003</v>
      </c>
      <c r="B1257" s="549">
        <v>8</v>
      </c>
      <c r="C1257" s="548">
        <v>42935</v>
      </c>
      <c r="D1257" s="550">
        <v>13.23</v>
      </c>
      <c r="E1257" s="550">
        <v>13.44</v>
      </c>
      <c r="F1257" s="550">
        <v>13.45</v>
      </c>
      <c r="G1257" s="550">
        <v>13.18</v>
      </c>
      <c r="H1257" s="551">
        <v>13.44</v>
      </c>
      <c r="I1257" s="550">
        <v>1124700</v>
      </c>
    </row>
    <row r="1258" spans="1:9" x14ac:dyDescent="0.2">
      <c r="A1258" s="549">
        <v>4004</v>
      </c>
      <c r="B1258" s="549">
        <v>8</v>
      </c>
      <c r="C1258" s="548">
        <v>42936</v>
      </c>
      <c r="D1258" s="550">
        <v>13.48</v>
      </c>
      <c r="E1258" s="550">
        <v>13.41</v>
      </c>
      <c r="F1258" s="550">
        <v>13.56</v>
      </c>
      <c r="G1258" s="550">
        <v>13.32</v>
      </c>
      <c r="H1258" s="551">
        <v>13.41</v>
      </c>
      <c r="I1258" s="550">
        <v>1088800</v>
      </c>
    </row>
    <row r="1259" spans="1:9" x14ac:dyDescent="0.2">
      <c r="A1259" s="549">
        <v>4005</v>
      </c>
      <c r="B1259" s="549">
        <v>8</v>
      </c>
      <c r="C1259" s="548">
        <v>42937</v>
      </c>
      <c r="D1259" s="550">
        <v>13.43</v>
      </c>
      <c r="E1259" s="550">
        <v>13.39</v>
      </c>
      <c r="F1259" s="550">
        <v>13.51</v>
      </c>
      <c r="G1259" s="550">
        <v>13.35</v>
      </c>
      <c r="H1259" s="551">
        <v>13.39</v>
      </c>
      <c r="I1259" s="550">
        <v>1139000</v>
      </c>
    </row>
    <row r="1260" spans="1:9" x14ac:dyDescent="0.2">
      <c r="A1260" s="549"/>
      <c r="C1260" s="548"/>
      <c r="D1260" s="550"/>
      <c r="E1260" s="550"/>
      <c r="F1260" s="550"/>
      <c r="G1260" s="550"/>
      <c r="H1260" s="551"/>
      <c r="I1260" s="550"/>
    </row>
    <row r="1261" spans="1:9" x14ac:dyDescent="0.2">
      <c r="A1261" s="549"/>
      <c r="C1261" s="548"/>
      <c r="D1261" s="550"/>
      <c r="E1261" s="550"/>
      <c r="F1261" s="550"/>
      <c r="G1261" s="550"/>
      <c r="H1261" s="551"/>
      <c r="I1261" s="550"/>
    </row>
    <row r="1262" spans="1:9" x14ac:dyDescent="0.2">
      <c r="A1262" s="549"/>
      <c r="C1262" s="548"/>
      <c r="D1262" s="550"/>
      <c r="E1262" s="550"/>
      <c r="F1262" s="550"/>
      <c r="G1262" s="550"/>
      <c r="H1262" s="551"/>
      <c r="I1262" s="550"/>
    </row>
    <row r="1263" spans="1:9" x14ac:dyDescent="0.2">
      <c r="A1263" s="549"/>
      <c r="C1263" s="548"/>
      <c r="D1263" s="550"/>
      <c r="E1263" s="550"/>
      <c r="F1263" s="550"/>
      <c r="G1263" s="550"/>
      <c r="H1263" s="551"/>
      <c r="I1263" s="550"/>
    </row>
    <row r="1264" spans="1:9" x14ac:dyDescent="0.2">
      <c r="A1264" s="549"/>
      <c r="C1264" s="548"/>
      <c r="D1264" s="550"/>
      <c r="E1264" s="550"/>
      <c r="F1264" s="550"/>
      <c r="G1264" s="550"/>
      <c r="H1264" s="551"/>
      <c r="I1264" s="550"/>
    </row>
    <row r="1265" spans="1:9" x14ac:dyDescent="0.2">
      <c r="A1265" s="549"/>
      <c r="C1265" s="548"/>
      <c r="D1265" s="550"/>
      <c r="E1265" s="550"/>
      <c r="F1265" s="550"/>
      <c r="G1265" s="550"/>
      <c r="H1265" s="551"/>
      <c r="I1265" s="550"/>
    </row>
    <row r="1266" spans="1:9" x14ac:dyDescent="0.2">
      <c r="A1266" s="549"/>
      <c r="C1266" s="548"/>
      <c r="D1266" s="550"/>
      <c r="E1266" s="550"/>
      <c r="F1266" s="550"/>
      <c r="G1266" s="550"/>
      <c r="H1266" s="551"/>
      <c r="I1266" s="550"/>
    </row>
    <row r="1267" spans="1:9" x14ac:dyDescent="0.2">
      <c r="A1267" s="549"/>
      <c r="C1267" s="548"/>
      <c r="D1267" s="550"/>
      <c r="E1267" s="550"/>
      <c r="F1267" s="550"/>
      <c r="G1267" s="550"/>
      <c r="H1267" s="551"/>
      <c r="I1267" s="550"/>
    </row>
    <row r="1268" spans="1:9" x14ac:dyDescent="0.2">
      <c r="A1268" s="549"/>
      <c r="C1268" s="548"/>
      <c r="D1268" s="550"/>
      <c r="E1268" s="550"/>
      <c r="F1268" s="550"/>
      <c r="G1268" s="550"/>
      <c r="H1268" s="551"/>
      <c r="I1268" s="550"/>
    </row>
    <row r="1269" spans="1:9" x14ac:dyDescent="0.2">
      <c r="A1269" s="549"/>
      <c r="C1269" s="548"/>
      <c r="D1269" s="550"/>
      <c r="E1269" s="550"/>
      <c r="F1269" s="550"/>
      <c r="G1269" s="550"/>
      <c r="H1269" s="551"/>
      <c r="I1269" s="550"/>
    </row>
    <row r="1270" spans="1:9" x14ac:dyDescent="0.2">
      <c r="A1270" s="549"/>
      <c r="C1270" s="548"/>
      <c r="D1270" s="550"/>
      <c r="E1270" s="550"/>
      <c r="F1270" s="550"/>
      <c r="G1270" s="550"/>
      <c r="H1270" s="551"/>
      <c r="I1270" s="550"/>
    </row>
    <row r="1271" spans="1:9" x14ac:dyDescent="0.2">
      <c r="A1271" s="549"/>
      <c r="C1271" s="548"/>
      <c r="D1271" s="550"/>
      <c r="E1271" s="550"/>
      <c r="F1271" s="550"/>
      <c r="G1271" s="550"/>
      <c r="H1271" s="551"/>
      <c r="I1271" s="550"/>
    </row>
    <row r="1272" spans="1:9" x14ac:dyDescent="0.2">
      <c r="A1272" s="549"/>
      <c r="C1272" s="548"/>
      <c r="D1272" s="550"/>
      <c r="E1272" s="550"/>
      <c r="F1272" s="550"/>
      <c r="G1272" s="550"/>
      <c r="H1272" s="551"/>
      <c r="I1272" s="550"/>
    </row>
    <row r="1273" spans="1:9" x14ac:dyDescent="0.2">
      <c r="A1273" s="549"/>
      <c r="C1273" s="548"/>
      <c r="D1273" s="550"/>
      <c r="E1273" s="550"/>
      <c r="F1273" s="550"/>
      <c r="G1273" s="550"/>
      <c r="H1273" s="551"/>
      <c r="I1273" s="550"/>
    </row>
    <row r="1274" spans="1:9" x14ac:dyDescent="0.2">
      <c r="A1274" s="549"/>
      <c r="C1274" s="548"/>
      <c r="D1274" s="550"/>
      <c r="E1274" s="550"/>
      <c r="F1274" s="550"/>
      <c r="G1274" s="550"/>
      <c r="H1274" s="551"/>
      <c r="I1274" s="550"/>
    </row>
    <row r="1275" spans="1:9" x14ac:dyDescent="0.2">
      <c r="A1275" s="549"/>
      <c r="C1275" s="548"/>
      <c r="D1275" s="550"/>
      <c r="E1275" s="550"/>
      <c r="F1275" s="550"/>
      <c r="G1275" s="550"/>
      <c r="H1275" s="551"/>
      <c r="I1275" s="550"/>
    </row>
    <row r="1276" spans="1:9" x14ac:dyDescent="0.2">
      <c r="A1276" s="549"/>
      <c r="C1276" s="548"/>
      <c r="D1276" s="550"/>
      <c r="E1276" s="550"/>
      <c r="F1276" s="550"/>
      <c r="G1276" s="550"/>
      <c r="H1276" s="551"/>
      <c r="I1276" s="550"/>
    </row>
    <row r="1277" spans="1:9" x14ac:dyDescent="0.2">
      <c r="A1277" s="549"/>
      <c r="C1277" s="548"/>
      <c r="D1277" s="550"/>
      <c r="E1277" s="550"/>
      <c r="F1277" s="550"/>
      <c r="G1277" s="550"/>
      <c r="H1277" s="551"/>
      <c r="I1277" s="550"/>
    </row>
    <row r="1278" spans="1:9" x14ac:dyDescent="0.2">
      <c r="A1278" s="549"/>
      <c r="C1278" s="548"/>
      <c r="D1278" s="550"/>
      <c r="E1278" s="550"/>
      <c r="F1278" s="550"/>
      <c r="G1278" s="550"/>
      <c r="H1278" s="551"/>
      <c r="I1278" s="550"/>
    </row>
    <row r="1279" spans="1:9" x14ac:dyDescent="0.2">
      <c r="A1279" s="549"/>
      <c r="C1279" s="548"/>
      <c r="D1279" s="550"/>
      <c r="E1279" s="550"/>
      <c r="F1279" s="550"/>
      <c r="G1279" s="550"/>
      <c r="H1279" s="551"/>
      <c r="I1279" s="550"/>
    </row>
    <row r="1280" spans="1:9" x14ac:dyDescent="0.2">
      <c r="A1280" s="549"/>
      <c r="C1280" s="548"/>
      <c r="D1280" s="550"/>
      <c r="E1280" s="550"/>
      <c r="F1280" s="550"/>
      <c r="G1280" s="550"/>
      <c r="H1280" s="551"/>
      <c r="I1280" s="550"/>
    </row>
    <row r="1281" spans="1:9" x14ac:dyDescent="0.2">
      <c r="A1281" s="549"/>
      <c r="C1281" s="548"/>
      <c r="D1281" s="550"/>
      <c r="E1281" s="550"/>
      <c r="F1281" s="550"/>
      <c r="G1281" s="550"/>
      <c r="H1281" s="551"/>
      <c r="I1281" s="550"/>
    </row>
    <row r="1282" spans="1:9" x14ac:dyDescent="0.2">
      <c r="A1282" s="549"/>
      <c r="C1282" s="548"/>
      <c r="D1282" s="550"/>
      <c r="E1282" s="550"/>
      <c r="F1282" s="550"/>
      <c r="G1282" s="550"/>
      <c r="H1282" s="551"/>
      <c r="I1282" s="550"/>
    </row>
    <row r="1283" spans="1:9" x14ac:dyDescent="0.2">
      <c r="A1283" s="549"/>
      <c r="C1283" s="548"/>
      <c r="D1283" s="550"/>
      <c r="E1283" s="550"/>
      <c r="F1283" s="550"/>
      <c r="G1283" s="550"/>
      <c r="H1283" s="551"/>
      <c r="I1283" s="550"/>
    </row>
    <row r="1284" spans="1:9" x14ac:dyDescent="0.2">
      <c r="A1284" s="549"/>
      <c r="C1284" s="548"/>
      <c r="D1284" s="550"/>
      <c r="E1284" s="550"/>
      <c r="F1284" s="550"/>
      <c r="G1284" s="550"/>
      <c r="H1284" s="551"/>
      <c r="I1284" s="550"/>
    </row>
    <row r="1285" spans="1:9" x14ac:dyDescent="0.2">
      <c r="A1285" s="549"/>
      <c r="C1285" s="548"/>
      <c r="D1285" s="550"/>
      <c r="E1285" s="550"/>
      <c r="F1285" s="550"/>
      <c r="G1285" s="550"/>
      <c r="H1285" s="551"/>
      <c r="I1285" s="550"/>
    </row>
    <row r="1286" spans="1:9" x14ac:dyDescent="0.2">
      <c r="A1286" s="549"/>
      <c r="C1286" s="548"/>
      <c r="D1286" s="550"/>
      <c r="E1286" s="550"/>
      <c r="F1286" s="550"/>
      <c r="G1286" s="550"/>
      <c r="H1286" s="551"/>
      <c r="I1286" s="550"/>
    </row>
    <row r="1287" spans="1:9" x14ac:dyDescent="0.2">
      <c r="A1287" s="549"/>
      <c r="C1287" s="548"/>
      <c r="D1287" s="550"/>
      <c r="E1287" s="550"/>
      <c r="F1287" s="550"/>
      <c r="G1287" s="550"/>
      <c r="H1287" s="551"/>
      <c r="I1287" s="550"/>
    </row>
    <row r="1288" spans="1:9" x14ac:dyDescent="0.2">
      <c r="A1288" s="549"/>
      <c r="C1288" s="548"/>
      <c r="D1288" s="550"/>
      <c r="E1288" s="550"/>
      <c r="F1288" s="550"/>
      <c r="G1288" s="550"/>
      <c r="H1288" s="551"/>
      <c r="I1288" s="550"/>
    </row>
    <row r="1289" spans="1:9" x14ac:dyDescent="0.2">
      <c r="A1289" s="549"/>
      <c r="C1289" s="548"/>
      <c r="D1289" s="550"/>
      <c r="E1289" s="550"/>
      <c r="F1289" s="550"/>
      <c r="G1289" s="550"/>
      <c r="H1289" s="551"/>
      <c r="I1289" s="550"/>
    </row>
    <row r="1290" spans="1:9" x14ac:dyDescent="0.2">
      <c r="A1290" s="549"/>
      <c r="C1290" s="548"/>
      <c r="D1290" s="550"/>
      <c r="E1290" s="550"/>
      <c r="F1290" s="550"/>
      <c r="G1290" s="550"/>
      <c r="H1290" s="551"/>
      <c r="I1290" s="550"/>
    </row>
    <row r="1291" spans="1:9" x14ac:dyDescent="0.2">
      <c r="A1291" s="549"/>
      <c r="C1291" s="548"/>
      <c r="D1291" s="550"/>
      <c r="E1291" s="550"/>
      <c r="F1291" s="550"/>
      <c r="G1291" s="550"/>
      <c r="H1291" s="551"/>
      <c r="I1291" s="550"/>
    </row>
    <row r="1292" spans="1:9" x14ac:dyDescent="0.2">
      <c r="A1292" s="549"/>
      <c r="C1292" s="548"/>
      <c r="D1292" s="550"/>
      <c r="E1292" s="550"/>
      <c r="F1292" s="550"/>
      <c r="G1292" s="550"/>
      <c r="H1292" s="551"/>
      <c r="I1292" s="550"/>
    </row>
    <row r="1293" spans="1:9" x14ac:dyDescent="0.2">
      <c r="A1293" s="549"/>
      <c r="C1293" s="548"/>
      <c r="D1293" s="550"/>
      <c r="E1293" s="550"/>
      <c r="F1293" s="550"/>
      <c r="G1293" s="550"/>
      <c r="H1293" s="551"/>
      <c r="I1293" s="550"/>
    </row>
    <row r="1294" spans="1:9" x14ac:dyDescent="0.2">
      <c r="A1294" s="549"/>
      <c r="C1294" s="548"/>
      <c r="D1294" s="550"/>
      <c r="E1294" s="550"/>
      <c r="F1294" s="550"/>
      <c r="G1294" s="550"/>
      <c r="H1294" s="551"/>
      <c r="I1294" s="550"/>
    </row>
    <row r="1295" spans="1:9" x14ac:dyDescent="0.2">
      <c r="A1295" s="549"/>
      <c r="C1295" s="548"/>
      <c r="D1295" s="550"/>
      <c r="E1295" s="550"/>
      <c r="F1295" s="550"/>
      <c r="G1295" s="550"/>
      <c r="H1295" s="551"/>
      <c r="I1295" s="550"/>
    </row>
    <row r="1296" spans="1:9" x14ac:dyDescent="0.2">
      <c r="A1296" s="549"/>
      <c r="C1296" s="548"/>
      <c r="D1296" s="550"/>
      <c r="E1296" s="550"/>
      <c r="F1296" s="550"/>
      <c r="G1296" s="550"/>
      <c r="H1296" s="551"/>
      <c r="I1296" s="550"/>
    </row>
    <row r="1297" spans="1:9" x14ac:dyDescent="0.2">
      <c r="A1297" s="549"/>
      <c r="C1297" s="548"/>
      <c r="D1297" s="550"/>
      <c r="E1297" s="550"/>
      <c r="F1297" s="550"/>
      <c r="G1297" s="550"/>
      <c r="H1297" s="551"/>
      <c r="I1297" s="550"/>
    </row>
    <row r="1298" spans="1:9" x14ac:dyDescent="0.2">
      <c r="A1298" s="549"/>
      <c r="C1298" s="548"/>
      <c r="D1298" s="550"/>
      <c r="E1298" s="550"/>
      <c r="F1298" s="550"/>
      <c r="G1298" s="550"/>
      <c r="H1298" s="551"/>
      <c r="I1298" s="550"/>
    </row>
    <row r="1299" spans="1:9" x14ac:dyDescent="0.2">
      <c r="A1299" s="549"/>
      <c r="C1299" s="548"/>
      <c r="D1299" s="550"/>
      <c r="E1299" s="550"/>
      <c r="F1299" s="550"/>
      <c r="G1299" s="550"/>
      <c r="H1299" s="551"/>
      <c r="I1299" s="550"/>
    </row>
    <row r="1300" spans="1:9" x14ac:dyDescent="0.2">
      <c r="A1300" s="549"/>
      <c r="C1300" s="548"/>
      <c r="D1300" s="550"/>
      <c r="E1300" s="550"/>
      <c r="F1300" s="550"/>
      <c r="G1300" s="550"/>
      <c r="H1300" s="551"/>
      <c r="I1300" s="550"/>
    </row>
    <row r="1301" spans="1:9" x14ac:dyDescent="0.2">
      <c r="A1301" s="549"/>
      <c r="C1301" s="548"/>
      <c r="D1301" s="550"/>
      <c r="E1301" s="550"/>
      <c r="F1301" s="550"/>
      <c r="G1301" s="550"/>
      <c r="H1301" s="551"/>
      <c r="I1301" s="550"/>
    </row>
    <row r="1302" spans="1:9" x14ac:dyDescent="0.2">
      <c r="A1302" s="549"/>
      <c r="C1302" s="548"/>
      <c r="D1302" s="550"/>
      <c r="E1302" s="550"/>
      <c r="F1302" s="550"/>
      <c r="G1302" s="550"/>
      <c r="H1302" s="551"/>
      <c r="I1302" s="550"/>
    </row>
    <row r="1303" spans="1:9" x14ac:dyDescent="0.2">
      <c r="A1303" s="549"/>
      <c r="C1303" s="548"/>
      <c r="D1303" s="550"/>
      <c r="E1303" s="550"/>
      <c r="F1303" s="550"/>
      <c r="G1303" s="550"/>
      <c r="H1303" s="551"/>
      <c r="I1303" s="550"/>
    </row>
    <row r="1304" spans="1:9" x14ac:dyDescent="0.2">
      <c r="A1304" s="549"/>
      <c r="C1304" s="548"/>
      <c r="D1304" s="550"/>
      <c r="E1304" s="550"/>
      <c r="F1304" s="550"/>
      <c r="G1304" s="550"/>
      <c r="H1304" s="551"/>
      <c r="I1304" s="550"/>
    </row>
    <row r="1305" spans="1:9" x14ac:dyDescent="0.2">
      <c r="A1305" s="549"/>
      <c r="C1305" s="548"/>
      <c r="D1305" s="550"/>
      <c r="E1305" s="550"/>
      <c r="F1305" s="550"/>
      <c r="G1305" s="550"/>
      <c r="H1305" s="551"/>
      <c r="I1305" s="550"/>
    </row>
    <row r="1306" spans="1:9" x14ac:dyDescent="0.2">
      <c r="A1306" s="549"/>
      <c r="C1306" s="548"/>
      <c r="D1306" s="550"/>
      <c r="E1306" s="550"/>
      <c r="F1306" s="550"/>
      <c r="G1306" s="550"/>
      <c r="H1306" s="551"/>
      <c r="I1306" s="550"/>
    </row>
    <row r="1307" spans="1:9" x14ac:dyDescent="0.2">
      <c r="A1307" s="549"/>
      <c r="C1307" s="548"/>
      <c r="D1307" s="550"/>
      <c r="E1307" s="550"/>
      <c r="F1307" s="550"/>
      <c r="G1307" s="550"/>
      <c r="H1307" s="551"/>
      <c r="I1307" s="550"/>
    </row>
    <row r="1308" spans="1:9" x14ac:dyDescent="0.2">
      <c r="A1308" s="549"/>
      <c r="C1308" s="548"/>
      <c r="D1308" s="550"/>
      <c r="E1308" s="550"/>
      <c r="F1308" s="550"/>
      <c r="G1308" s="550"/>
      <c r="H1308" s="551"/>
      <c r="I1308" s="550"/>
    </row>
    <row r="1309" spans="1:9" x14ac:dyDescent="0.2">
      <c r="A1309" s="549"/>
      <c r="C1309" s="548"/>
      <c r="D1309" s="550"/>
      <c r="E1309" s="550"/>
      <c r="F1309" s="550"/>
      <c r="G1309" s="550"/>
      <c r="H1309" s="551"/>
      <c r="I1309" s="550"/>
    </row>
    <row r="1310" spans="1:9" x14ac:dyDescent="0.2">
      <c r="A1310" s="549"/>
      <c r="C1310" s="548"/>
      <c r="D1310" s="550"/>
      <c r="E1310" s="550"/>
      <c r="F1310" s="550"/>
      <c r="G1310" s="550"/>
      <c r="H1310" s="551"/>
      <c r="I1310" s="550"/>
    </row>
    <row r="1311" spans="1:9" x14ac:dyDescent="0.2">
      <c r="A1311" s="549"/>
      <c r="C1311" s="548"/>
      <c r="D1311" s="550"/>
      <c r="E1311" s="550"/>
      <c r="F1311" s="550"/>
      <c r="G1311" s="550"/>
      <c r="H1311" s="551"/>
      <c r="I1311" s="550"/>
    </row>
    <row r="1312" spans="1:9" x14ac:dyDescent="0.2">
      <c r="A1312" s="549"/>
      <c r="C1312" s="548"/>
      <c r="D1312" s="550"/>
      <c r="E1312" s="550"/>
      <c r="F1312" s="550"/>
      <c r="G1312" s="550"/>
      <c r="H1312" s="551"/>
      <c r="I1312" s="550"/>
    </row>
    <row r="1313" spans="1:9" x14ac:dyDescent="0.2">
      <c r="A1313" s="549"/>
      <c r="C1313" s="548"/>
      <c r="D1313" s="550"/>
      <c r="E1313" s="550"/>
      <c r="F1313" s="550"/>
      <c r="G1313" s="550"/>
      <c r="H1313" s="551"/>
      <c r="I1313" s="550"/>
    </row>
    <row r="1314" spans="1:9" x14ac:dyDescent="0.2">
      <c r="A1314" s="549"/>
      <c r="C1314" s="548"/>
      <c r="D1314" s="550"/>
      <c r="E1314" s="550"/>
      <c r="F1314" s="550"/>
      <c r="G1314" s="550"/>
      <c r="H1314" s="551"/>
      <c r="I1314" s="550"/>
    </row>
    <row r="1315" spans="1:9" x14ac:dyDescent="0.2">
      <c r="A1315" s="549"/>
      <c r="C1315" s="548"/>
      <c r="D1315" s="550"/>
      <c r="E1315" s="550"/>
      <c r="F1315" s="550"/>
      <c r="G1315" s="550"/>
      <c r="H1315" s="551"/>
      <c r="I1315" s="550"/>
    </row>
    <row r="1316" spans="1:9" x14ac:dyDescent="0.2">
      <c r="A1316" s="549"/>
      <c r="C1316" s="548"/>
      <c r="D1316" s="550"/>
      <c r="E1316" s="550"/>
      <c r="F1316" s="550"/>
      <c r="G1316" s="550"/>
      <c r="H1316" s="551"/>
      <c r="I1316" s="550"/>
    </row>
    <row r="1317" spans="1:9" x14ac:dyDescent="0.2">
      <c r="A1317" s="549"/>
      <c r="C1317" s="548"/>
      <c r="D1317" s="550"/>
      <c r="E1317" s="550"/>
      <c r="F1317" s="550"/>
      <c r="G1317" s="550"/>
      <c r="H1317" s="551"/>
      <c r="I1317" s="550"/>
    </row>
    <row r="1318" spans="1:9" x14ac:dyDescent="0.2">
      <c r="A1318" s="549"/>
      <c r="C1318" s="548"/>
      <c r="D1318" s="550"/>
      <c r="E1318" s="550"/>
      <c r="F1318" s="550"/>
      <c r="G1318" s="550"/>
      <c r="H1318" s="551"/>
      <c r="I1318" s="550"/>
    </row>
    <row r="1319" spans="1:9" x14ac:dyDescent="0.2">
      <c r="A1319" s="549"/>
      <c r="C1319" s="548"/>
      <c r="D1319" s="550"/>
      <c r="E1319" s="550"/>
      <c r="F1319" s="550"/>
      <c r="G1319" s="550"/>
      <c r="H1319" s="551"/>
      <c r="I1319" s="550"/>
    </row>
    <row r="1320" spans="1:9" x14ac:dyDescent="0.2">
      <c r="A1320" s="549"/>
      <c r="C1320" s="548"/>
      <c r="D1320" s="550"/>
      <c r="E1320" s="550"/>
      <c r="F1320" s="550"/>
      <c r="G1320" s="550"/>
      <c r="H1320" s="551"/>
      <c r="I1320" s="550"/>
    </row>
    <row r="1321" spans="1:9" x14ac:dyDescent="0.2">
      <c r="A1321" s="549"/>
      <c r="C1321" s="548"/>
      <c r="D1321" s="550"/>
      <c r="E1321" s="550"/>
      <c r="F1321" s="550"/>
      <c r="G1321" s="550"/>
      <c r="H1321" s="551"/>
      <c r="I1321" s="550"/>
    </row>
    <row r="1322" spans="1:9" x14ac:dyDescent="0.2">
      <c r="A1322" s="549"/>
      <c r="C1322" s="548"/>
      <c r="D1322" s="550"/>
      <c r="E1322" s="550"/>
      <c r="F1322" s="550"/>
      <c r="G1322" s="550"/>
      <c r="H1322" s="551"/>
      <c r="I1322" s="550"/>
    </row>
    <row r="1323" spans="1:9" x14ac:dyDescent="0.2">
      <c r="A1323" s="549"/>
      <c r="C1323" s="548"/>
      <c r="D1323" s="550"/>
      <c r="E1323" s="550"/>
      <c r="F1323" s="550"/>
      <c r="G1323" s="550"/>
      <c r="H1323" s="551"/>
      <c r="I1323" s="550"/>
    </row>
    <row r="1324" spans="1:9" x14ac:dyDescent="0.2">
      <c r="A1324" s="549"/>
      <c r="C1324" s="548"/>
      <c r="D1324" s="550"/>
      <c r="E1324" s="550"/>
      <c r="F1324" s="550"/>
      <c r="G1324" s="550"/>
      <c r="H1324" s="551"/>
      <c r="I1324" s="550"/>
    </row>
    <row r="1325" spans="1:9" x14ac:dyDescent="0.2">
      <c r="A1325" s="549"/>
      <c r="C1325" s="548"/>
      <c r="D1325" s="550"/>
      <c r="E1325" s="550"/>
      <c r="F1325" s="550"/>
      <c r="G1325" s="550"/>
      <c r="H1325" s="551"/>
      <c r="I1325" s="550"/>
    </row>
    <row r="1326" spans="1:9" x14ac:dyDescent="0.2">
      <c r="A1326" s="549"/>
      <c r="C1326" s="548"/>
      <c r="D1326" s="550"/>
      <c r="E1326" s="550"/>
      <c r="F1326" s="550"/>
      <c r="G1326" s="550"/>
      <c r="H1326" s="551"/>
      <c r="I1326" s="550"/>
    </row>
    <row r="1327" spans="1:9" x14ac:dyDescent="0.2">
      <c r="A1327" s="549"/>
      <c r="C1327" s="548"/>
      <c r="D1327" s="550"/>
      <c r="E1327" s="550"/>
      <c r="F1327" s="550"/>
      <c r="G1327" s="550"/>
      <c r="H1327" s="551"/>
      <c r="I1327" s="550"/>
    </row>
    <row r="1328" spans="1:9" x14ac:dyDescent="0.2">
      <c r="A1328" s="549"/>
      <c r="C1328" s="548"/>
      <c r="D1328" s="550"/>
      <c r="E1328" s="550"/>
      <c r="F1328" s="550"/>
      <c r="G1328" s="550"/>
      <c r="H1328" s="551"/>
      <c r="I1328" s="550"/>
    </row>
    <row r="1329" spans="1:9" x14ac:dyDescent="0.2">
      <c r="A1329" s="549"/>
      <c r="C1329" s="548"/>
      <c r="D1329" s="550"/>
      <c r="E1329" s="550"/>
      <c r="F1329" s="550"/>
      <c r="G1329" s="550"/>
      <c r="H1329" s="551"/>
      <c r="I1329" s="550"/>
    </row>
    <row r="1330" spans="1:9" x14ac:dyDescent="0.2">
      <c r="A1330" s="549"/>
      <c r="C1330" s="548"/>
      <c r="D1330" s="550"/>
      <c r="E1330" s="550"/>
      <c r="F1330" s="550"/>
      <c r="G1330" s="550"/>
      <c r="H1330" s="551"/>
      <c r="I1330" s="550"/>
    </row>
    <row r="1331" spans="1:9" x14ac:dyDescent="0.2">
      <c r="A1331" s="549"/>
      <c r="C1331" s="548"/>
      <c r="D1331" s="550"/>
      <c r="E1331" s="550"/>
      <c r="F1331" s="550"/>
      <c r="G1331" s="550"/>
      <c r="H1331" s="551"/>
      <c r="I1331" s="550"/>
    </row>
    <row r="1332" spans="1:9" x14ac:dyDescent="0.2">
      <c r="A1332" s="549"/>
      <c r="C1332" s="548"/>
      <c r="D1332" s="550"/>
      <c r="E1332" s="550"/>
      <c r="F1332" s="550"/>
      <c r="G1332" s="550"/>
      <c r="H1332" s="551"/>
      <c r="I1332" s="550"/>
    </row>
    <row r="1333" spans="1:9" x14ac:dyDescent="0.2">
      <c r="A1333" s="549"/>
      <c r="C1333" s="548"/>
      <c r="D1333" s="550"/>
      <c r="E1333" s="550"/>
      <c r="F1333" s="550"/>
      <c r="G1333" s="550"/>
      <c r="H1333" s="551"/>
      <c r="I1333" s="550"/>
    </row>
    <row r="1334" spans="1:9" x14ac:dyDescent="0.2">
      <c r="A1334" s="549"/>
      <c r="C1334" s="548"/>
      <c r="D1334" s="550"/>
      <c r="E1334" s="550"/>
      <c r="F1334" s="550"/>
      <c r="G1334" s="550"/>
      <c r="H1334" s="551"/>
      <c r="I1334" s="550"/>
    </row>
    <row r="1335" spans="1:9" x14ac:dyDescent="0.2">
      <c r="A1335" s="549"/>
      <c r="C1335" s="548"/>
      <c r="D1335" s="550"/>
      <c r="E1335" s="550"/>
      <c r="F1335" s="550"/>
      <c r="G1335" s="550"/>
      <c r="H1335" s="551"/>
      <c r="I1335" s="550"/>
    </row>
    <row r="1336" spans="1:9" x14ac:dyDescent="0.2">
      <c r="A1336" s="549"/>
      <c r="C1336" s="548"/>
      <c r="D1336" s="550"/>
      <c r="E1336" s="550"/>
      <c r="F1336" s="550"/>
      <c r="G1336" s="550"/>
      <c r="H1336" s="551"/>
      <c r="I1336" s="550"/>
    </row>
    <row r="1337" spans="1:9" x14ac:dyDescent="0.2">
      <c r="A1337" s="549"/>
      <c r="C1337" s="548"/>
      <c r="D1337" s="550"/>
      <c r="E1337" s="550"/>
      <c r="F1337" s="550"/>
      <c r="G1337" s="550"/>
      <c r="H1337" s="551"/>
      <c r="I1337" s="550"/>
    </row>
    <row r="1338" spans="1:9" x14ac:dyDescent="0.2">
      <c r="A1338" s="549"/>
      <c r="C1338" s="548"/>
      <c r="D1338" s="550"/>
      <c r="E1338" s="550"/>
      <c r="F1338" s="550"/>
      <c r="G1338" s="550"/>
      <c r="H1338" s="551"/>
      <c r="I1338" s="550"/>
    </row>
    <row r="1339" spans="1:9" x14ac:dyDescent="0.2">
      <c r="A1339" s="549"/>
      <c r="C1339" s="548"/>
      <c r="D1339" s="550"/>
      <c r="E1339" s="550"/>
      <c r="F1339" s="550"/>
      <c r="G1339" s="550"/>
      <c r="H1339" s="551"/>
      <c r="I1339" s="550"/>
    </row>
    <row r="1340" spans="1:9" x14ac:dyDescent="0.2">
      <c r="A1340" s="549"/>
      <c r="C1340" s="548"/>
      <c r="D1340" s="550"/>
      <c r="E1340" s="550"/>
      <c r="F1340" s="550"/>
      <c r="G1340" s="550"/>
      <c r="H1340" s="551"/>
      <c r="I1340" s="550"/>
    </row>
    <row r="1341" spans="1:9" x14ac:dyDescent="0.2">
      <c r="A1341" s="549"/>
      <c r="C1341" s="548"/>
      <c r="D1341" s="550"/>
      <c r="E1341" s="550"/>
      <c r="F1341" s="550"/>
      <c r="G1341" s="550"/>
      <c r="H1341" s="551"/>
      <c r="I1341" s="550"/>
    </row>
    <row r="1342" spans="1:9" x14ac:dyDescent="0.2">
      <c r="A1342" s="549"/>
      <c r="C1342" s="548"/>
      <c r="D1342" s="550"/>
      <c r="E1342" s="550"/>
      <c r="F1342" s="550"/>
      <c r="G1342" s="550"/>
      <c r="H1342" s="551"/>
      <c r="I1342" s="550"/>
    </row>
    <row r="1343" spans="1:9" x14ac:dyDescent="0.2">
      <c r="A1343" s="549"/>
      <c r="C1343" s="548"/>
      <c r="D1343" s="550"/>
      <c r="E1343" s="550"/>
      <c r="F1343" s="550"/>
      <c r="G1343" s="550"/>
      <c r="H1343" s="551"/>
      <c r="I1343" s="550"/>
    </row>
    <row r="1344" spans="1:9" x14ac:dyDescent="0.2">
      <c r="A1344" s="549"/>
      <c r="C1344" s="548"/>
      <c r="D1344" s="550"/>
      <c r="E1344" s="550"/>
      <c r="F1344" s="550"/>
      <c r="G1344" s="550"/>
      <c r="H1344" s="551"/>
      <c r="I1344" s="550"/>
    </row>
    <row r="1345" spans="1:9" x14ac:dyDescent="0.2">
      <c r="A1345" s="549"/>
      <c r="C1345" s="548"/>
      <c r="D1345" s="550"/>
      <c r="E1345" s="550"/>
      <c r="F1345" s="550"/>
      <c r="G1345" s="550"/>
      <c r="H1345" s="551"/>
      <c r="I1345" s="550"/>
    </row>
    <row r="1346" spans="1:9" x14ac:dyDescent="0.2">
      <c r="A1346" s="549"/>
      <c r="C1346" s="548"/>
      <c r="D1346" s="550"/>
      <c r="E1346" s="550"/>
      <c r="F1346" s="550"/>
      <c r="G1346" s="550"/>
      <c r="H1346" s="551"/>
      <c r="I1346" s="550"/>
    </row>
    <row r="1347" spans="1:9" x14ac:dyDescent="0.2">
      <c r="A1347" s="549"/>
      <c r="C1347" s="548"/>
      <c r="D1347" s="550"/>
      <c r="E1347" s="550"/>
      <c r="F1347" s="550"/>
      <c r="G1347" s="550"/>
      <c r="H1347" s="551"/>
      <c r="I1347" s="550"/>
    </row>
    <row r="1348" spans="1:9" x14ac:dyDescent="0.2">
      <c r="A1348" s="549"/>
      <c r="C1348" s="548"/>
      <c r="D1348" s="550"/>
      <c r="E1348" s="550"/>
      <c r="F1348" s="550"/>
      <c r="G1348" s="550"/>
      <c r="H1348" s="551"/>
      <c r="I1348" s="550"/>
    </row>
    <row r="1349" spans="1:9" x14ac:dyDescent="0.2">
      <c r="A1349" s="549"/>
      <c r="C1349" s="548"/>
      <c r="D1349" s="550"/>
      <c r="E1349" s="550"/>
      <c r="F1349" s="550"/>
      <c r="G1349" s="550"/>
      <c r="H1349" s="551"/>
      <c r="I1349" s="550"/>
    </row>
    <row r="1350" spans="1:9" x14ac:dyDescent="0.2">
      <c r="A1350" s="549"/>
      <c r="C1350" s="548"/>
      <c r="D1350" s="550"/>
      <c r="E1350" s="550"/>
      <c r="F1350" s="550"/>
      <c r="G1350" s="550"/>
      <c r="H1350" s="551"/>
      <c r="I1350" s="550"/>
    </row>
    <row r="1351" spans="1:9" x14ac:dyDescent="0.2">
      <c r="A1351" s="549"/>
      <c r="C1351" s="548"/>
      <c r="D1351" s="550"/>
      <c r="E1351" s="550"/>
      <c r="F1351" s="550"/>
      <c r="G1351" s="550"/>
      <c r="H1351" s="551"/>
      <c r="I1351" s="550"/>
    </row>
    <row r="1352" spans="1:9" x14ac:dyDescent="0.2">
      <c r="A1352" s="549"/>
      <c r="C1352" s="548"/>
      <c r="D1352" s="550"/>
      <c r="E1352" s="550"/>
      <c r="F1352" s="550"/>
      <c r="G1352" s="550"/>
      <c r="H1352" s="551"/>
      <c r="I1352" s="550"/>
    </row>
    <row r="1353" spans="1:9" x14ac:dyDescent="0.2">
      <c r="A1353" s="549"/>
      <c r="C1353" s="548"/>
      <c r="D1353" s="550"/>
      <c r="E1353" s="550"/>
      <c r="F1353" s="550"/>
      <c r="G1353" s="550"/>
      <c r="H1353" s="551"/>
      <c r="I1353" s="550"/>
    </row>
    <row r="1354" spans="1:9" x14ac:dyDescent="0.2">
      <c r="A1354" s="549"/>
      <c r="C1354" s="548"/>
      <c r="D1354" s="550"/>
      <c r="E1354" s="550"/>
      <c r="F1354" s="550"/>
      <c r="G1354" s="550"/>
      <c r="H1354" s="551"/>
      <c r="I1354" s="550"/>
    </row>
    <row r="1355" spans="1:9" x14ac:dyDescent="0.2">
      <c r="A1355" s="549"/>
      <c r="C1355" s="548"/>
      <c r="D1355" s="550"/>
      <c r="E1355" s="550"/>
      <c r="F1355" s="550"/>
      <c r="G1355" s="550"/>
      <c r="H1355" s="551"/>
      <c r="I1355" s="550"/>
    </row>
    <row r="1356" spans="1:9" x14ac:dyDescent="0.2">
      <c r="A1356" s="549"/>
      <c r="C1356" s="548"/>
      <c r="D1356" s="550"/>
      <c r="E1356" s="550"/>
      <c r="F1356" s="550"/>
      <c r="G1356" s="550"/>
      <c r="H1356" s="551"/>
      <c r="I1356" s="550"/>
    </row>
    <row r="1357" spans="1:9" x14ac:dyDescent="0.2">
      <c r="A1357" s="549"/>
      <c r="C1357" s="548"/>
      <c r="D1357" s="550"/>
      <c r="E1357" s="550"/>
      <c r="F1357" s="550"/>
      <c r="G1357" s="550"/>
      <c r="H1357" s="551"/>
      <c r="I1357" s="550"/>
    </row>
    <row r="1358" spans="1:9" x14ac:dyDescent="0.2">
      <c r="A1358" s="549"/>
      <c r="C1358" s="548"/>
      <c r="D1358" s="550"/>
      <c r="E1358" s="550"/>
      <c r="F1358" s="550"/>
      <c r="G1358" s="550"/>
      <c r="H1358" s="551"/>
      <c r="I1358" s="550"/>
    </row>
    <row r="1359" spans="1:9" x14ac:dyDescent="0.2">
      <c r="A1359" s="549"/>
      <c r="C1359" s="548"/>
      <c r="D1359" s="550"/>
      <c r="E1359" s="550"/>
      <c r="F1359" s="550"/>
      <c r="G1359" s="550"/>
      <c r="H1359" s="551"/>
      <c r="I1359" s="550"/>
    </row>
    <row r="1360" spans="1:9" x14ac:dyDescent="0.2">
      <c r="A1360" s="549"/>
      <c r="C1360" s="548"/>
      <c r="D1360" s="550"/>
      <c r="E1360" s="550"/>
      <c r="F1360" s="550"/>
      <c r="G1360" s="550"/>
      <c r="H1360" s="551"/>
      <c r="I1360" s="550"/>
    </row>
    <row r="1361" spans="1:9" x14ac:dyDescent="0.2">
      <c r="A1361" s="549"/>
      <c r="C1361" s="548"/>
      <c r="D1361" s="550"/>
      <c r="E1361" s="550"/>
      <c r="F1361" s="550"/>
      <c r="G1361" s="550"/>
      <c r="H1361" s="551"/>
      <c r="I1361" s="550"/>
    </row>
    <row r="1362" spans="1:9" x14ac:dyDescent="0.2">
      <c r="A1362" s="549"/>
      <c r="C1362" s="548"/>
      <c r="D1362" s="550"/>
      <c r="E1362" s="550"/>
      <c r="F1362" s="550"/>
      <c r="G1362" s="550"/>
      <c r="H1362" s="551"/>
      <c r="I1362" s="550"/>
    </row>
    <row r="1363" spans="1:9" x14ac:dyDescent="0.2">
      <c r="A1363" s="549"/>
      <c r="C1363" s="548"/>
      <c r="D1363" s="550"/>
      <c r="E1363" s="550"/>
      <c r="F1363" s="550"/>
      <c r="G1363" s="550"/>
      <c r="H1363" s="551"/>
      <c r="I1363" s="550"/>
    </row>
    <row r="1364" spans="1:9" x14ac:dyDescent="0.2">
      <c r="A1364" s="549"/>
      <c r="C1364" s="548"/>
      <c r="D1364" s="550"/>
      <c r="E1364" s="550"/>
      <c r="F1364" s="550"/>
      <c r="G1364" s="550"/>
      <c r="H1364" s="551"/>
      <c r="I1364" s="550"/>
    </row>
    <row r="1365" spans="1:9" x14ac:dyDescent="0.2">
      <c r="A1365" s="549"/>
      <c r="C1365" s="548"/>
      <c r="D1365" s="550"/>
      <c r="E1365" s="550"/>
      <c r="F1365" s="550"/>
      <c r="G1365" s="550"/>
      <c r="H1365" s="551"/>
      <c r="I1365" s="550"/>
    </row>
    <row r="1366" spans="1:9" x14ac:dyDescent="0.2">
      <c r="A1366" s="549"/>
      <c r="C1366" s="548"/>
      <c r="D1366" s="550"/>
      <c r="E1366" s="550"/>
      <c r="F1366" s="550"/>
      <c r="G1366" s="550"/>
      <c r="H1366" s="551"/>
      <c r="I1366" s="550"/>
    </row>
    <row r="1367" spans="1:9" x14ac:dyDescent="0.2">
      <c r="A1367" s="549"/>
      <c r="C1367" s="548"/>
      <c r="D1367" s="550"/>
      <c r="E1367" s="550"/>
      <c r="F1367" s="550"/>
      <c r="G1367" s="550"/>
      <c r="H1367" s="551"/>
      <c r="I1367" s="550"/>
    </row>
    <row r="1368" spans="1:9" x14ac:dyDescent="0.2">
      <c r="A1368" s="549"/>
      <c r="C1368" s="548"/>
      <c r="D1368" s="550"/>
      <c r="E1368" s="550"/>
      <c r="F1368" s="550"/>
      <c r="G1368" s="550"/>
      <c r="H1368" s="551"/>
      <c r="I1368" s="550"/>
    </row>
    <row r="1369" spans="1:9" x14ac:dyDescent="0.2">
      <c r="A1369" s="549"/>
      <c r="C1369" s="548"/>
      <c r="D1369" s="550"/>
      <c r="E1369" s="550"/>
      <c r="F1369" s="550"/>
      <c r="G1369" s="550"/>
      <c r="H1369" s="551"/>
      <c r="I1369" s="550"/>
    </row>
    <row r="1370" spans="1:9" x14ac:dyDescent="0.2">
      <c r="A1370" s="549"/>
      <c r="C1370" s="548"/>
      <c r="D1370" s="550"/>
      <c r="E1370" s="550"/>
      <c r="F1370" s="550"/>
      <c r="G1370" s="550"/>
      <c r="H1370" s="551"/>
      <c r="I1370" s="550"/>
    </row>
    <row r="1371" spans="1:9" x14ac:dyDescent="0.2">
      <c r="A1371" s="549"/>
      <c r="C1371" s="548"/>
      <c r="D1371" s="550"/>
      <c r="E1371" s="550"/>
      <c r="F1371" s="550"/>
      <c r="G1371" s="550"/>
      <c r="H1371" s="551"/>
      <c r="I1371" s="550"/>
    </row>
    <row r="1372" spans="1:9" x14ac:dyDescent="0.2">
      <c r="A1372" s="549"/>
      <c r="C1372" s="548"/>
      <c r="D1372" s="550"/>
      <c r="E1372" s="550"/>
      <c r="F1372" s="550"/>
      <c r="G1372" s="550"/>
      <c r="H1372" s="551"/>
      <c r="I1372" s="550"/>
    </row>
    <row r="1373" spans="1:9" x14ac:dyDescent="0.2">
      <c r="A1373" s="549"/>
      <c r="C1373" s="548"/>
      <c r="D1373" s="550"/>
      <c r="E1373" s="550"/>
      <c r="F1373" s="550"/>
      <c r="G1373" s="550"/>
      <c r="H1373" s="551"/>
      <c r="I1373" s="550"/>
    </row>
    <row r="1374" spans="1:9" x14ac:dyDescent="0.2">
      <c r="A1374" s="549"/>
      <c r="C1374" s="548"/>
      <c r="D1374" s="550"/>
      <c r="E1374" s="550"/>
      <c r="F1374" s="550"/>
      <c r="G1374" s="550"/>
      <c r="H1374" s="551"/>
      <c r="I1374" s="550"/>
    </row>
    <row r="1375" spans="1:9" x14ac:dyDescent="0.2">
      <c r="A1375" s="549"/>
      <c r="C1375" s="548"/>
      <c r="D1375" s="550"/>
      <c r="E1375" s="550"/>
      <c r="F1375" s="550"/>
      <c r="G1375" s="550"/>
      <c r="H1375" s="551"/>
      <c r="I1375" s="550"/>
    </row>
    <row r="1376" spans="1:9" x14ac:dyDescent="0.2">
      <c r="A1376" s="549"/>
      <c r="C1376" s="548"/>
      <c r="D1376" s="550"/>
      <c r="E1376" s="550"/>
      <c r="F1376" s="550"/>
      <c r="G1376" s="550"/>
      <c r="H1376" s="551"/>
      <c r="I1376" s="550"/>
    </row>
    <row r="1377" spans="1:9" x14ac:dyDescent="0.2">
      <c r="A1377" s="549"/>
      <c r="C1377" s="548"/>
      <c r="D1377" s="550"/>
      <c r="E1377" s="550"/>
      <c r="F1377" s="550"/>
      <c r="G1377" s="550"/>
      <c r="H1377" s="551"/>
      <c r="I1377" s="550"/>
    </row>
    <row r="1378" spans="1:9" x14ac:dyDescent="0.2">
      <c r="A1378" s="549"/>
      <c r="C1378" s="548"/>
      <c r="D1378" s="550"/>
      <c r="E1378" s="550"/>
      <c r="F1378" s="550"/>
      <c r="G1378" s="550"/>
      <c r="H1378" s="551"/>
      <c r="I1378" s="550"/>
    </row>
    <row r="1379" spans="1:9" x14ac:dyDescent="0.2">
      <c r="A1379" s="549"/>
      <c r="C1379" s="548"/>
      <c r="D1379" s="550"/>
      <c r="E1379" s="550"/>
      <c r="F1379" s="550"/>
      <c r="G1379" s="550"/>
      <c r="H1379" s="551"/>
      <c r="I1379" s="550"/>
    </row>
    <row r="1380" spans="1:9" x14ac:dyDescent="0.2">
      <c r="A1380" s="549"/>
      <c r="C1380" s="548"/>
      <c r="D1380" s="550"/>
      <c r="E1380" s="550"/>
      <c r="F1380" s="550"/>
      <c r="G1380" s="550"/>
      <c r="H1380" s="551"/>
      <c r="I1380" s="550"/>
    </row>
    <row r="1381" spans="1:9" x14ac:dyDescent="0.2">
      <c r="A1381" s="549"/>
      <c r="C1381" s="548"/>
      <c r="D1381" s="550"/>
      <c r="E1381" s="550"/>
      <c r="F1381" s="550"/>
      <c r="G1381" s="550"/>
      <c r="H1381" s="551"/>
      <c r="I1381" s="550"/>
    </row>
    <row r="1382" spans="1:9" x14ac:dyDescent="0.2">
      <c r="A1382" s="549"/>
      <c r="C1382" s="548"/>
      <c r="D1382" s="550"/>
      <c r="E1382" s="550"/>
      <c r="F1382" s="550"/>
      <c r="G1382" s="550"/>
      <c r="H1382" s="551"/>
      <c r="I1382" s="550"/>
    </row>
    <row r="1383" spans="1:9" x14ac:dyDescent="0.2">
      <c r="A1383" s="549"/>
      <c r="C1383" s="548"/>
      <c r="D1383" s="550"/>
      <c r="E1383" s="550"/>
      <c r="F1383" s="550"/>
      <c r="G1383" s="550"/>
      <c r="H1383" s="551"/>
      <c r="I1383" s="550"/>
    </row>
    <row r="1384" spans="1:9" x14ac:dyDescent="0.2">
      <c r="A1384" s="549"/>
      <c r="C1384" s="548"/>
      <c r="D1384" s="550"/>
      <c r="E1384" s="550"/>
      <c r="F1384" s="550"/>
      <c r="G1384" s="550"/>
      <c r="H1384" s="551"/>
      <c r="I1384" s="550"/>
    </row>
    <row r="1385" spans="1:9" x14ac:dyDescent="0.2">
      <c r="A1385" s="549"/>
      <c r="C1385" s="548"/>
      <c r="D1385" s="550"/>
      <c r="E1385" s="550"/>
      <c r="F1385" s="550"/>
      <c r="G1385" s="550"/>
      <c r="H1385" s="551"/>
      <c r="I1385" s="550"/>
    </row>
    <row r="1386" spans="1:9" x14ac:dyDescent="0.2">
      <c r="A1386" s="549"/>
      <c r="C1386" s="548"/>
      <c r="D1386" s="550"/>
      <c r="E1386" s="550"/>
      <c r="F1386" s="550"/>
      <c r="G1386" s="550"/>
      <c r="H1386" s="551"/>
      <c r="I1386" s="550"/>
    </row>
    <row r="1387" spans="1:9" x14ac:dyDescent="0.2">
      <c r="A1387" s="549"/>
      <c r="C1387" s="548"/>
      <c r="D1387" s="550"/>
      <c r="E1387" s="550"/>
      <c r="F1387" s="550"/>
      <c r="G1387" s="550"/>
      <c r="H1387" s="551"/>
      <c r="I1387" s="550"/>
    </row>
    <row r="1388" spans="1:9" x14ac:dyDescent="0.2">
      <c r="A1388" s="549"/>
      <c r="C1388" s="548"/>
      <c r="D1388" s="550"/>
      <c r="E1388" s="550"/>
      <c r="F1388" s="550"/>
      <c r="G1388" s="550"/>
      <c r="H1388" s="551"/>
      <c r="I1388" s="550"/>
    </row>
    <row r="1389" spans="1:9" x14ac:dyDescent="0.2">
      <c r="A1389" s="549"/>
      <c r="C1389" s="548"/>
      <c r="D1389" s="550"/>
      <c r="E1389" s="550"/>
      <c r="F1389" s="550"/>
      <c r="G1389" s="550"/>
      <c r="H1389" s="551"/>
      <c r="I1389" s="550"/>
    </row>
    <row r="1390" spans="1:9" x14ac:dyDescent="0.2">
      <c r="A1390" s="549"/>
      <c r="C1390" s="548"/>
      <c r="D1390" s="550"/>
      <c r="E1390" s="550"/>
      <c r="F1390" s="550"/>
      <c r="G1390" s="550"/>
      <c r="H1390" s="551"/>
      <c r="I1390" s="550"/>
    </row>
    <row r="1391" spans="1:9" x14ac:dyDescent="0.2">
      <c r="A1391" s="549"/>
      <c r="C1391" s="548"/>
      <c r="D1391" s="550"/>
      <c r="E1391" s="550"/>
      <c r="F1391" s="550"/>
      <c r="G1391" s="550"/>
      <c r="H1391" s="551"/>
      <c r="I1391" s="550"/>
    </row>
    <row r="1392" spans="1:9" x14ac:dyDescent="0.2">
      <c r="A1392" s="549"/>
      <c r="C1392" s="548"/>
      <c r="D1392" s="550"/>
      <c r="E1392" s="550"/>
      <c r="F1392" s="550"/>
      <c r="G1392" s="550"/>
      <c r="H1392" s="551"/>
      <c r="I1392" s="550"/>
    </row>
    <row r="1393" spans="1:9" x14ac:dyDescent="0.2">
      <c r="A1393" s="549"/>
      <c r="C1393" s="548"/>
      <c r="D1393" s="550"/>
      <c r="E1393" s="550"/>
      <c r="F1393" s="550"/>
      <c r="G1393" s="550"/>
      <c r="H1393" s="551"/>
      <c r="I1393" s="550"/>
    </row>
    <row r="1394" spans="1:9" x14ac:dyDescent="0.2">
      <c r="A1394" s="549"/>
      <c r="C1394" s="548"/>
      <c r="D1394" s="550"/>
      <c r="E1394" s="550"/>
      <c r="F1394" s="550"/>
      <c r="G1394" s="550"/>
      <c r="H1394" s="551"/>
      <c r="I1394" s="550"/>
    </row>
    <row r="1395" spans="1:9" x14ac:dyDescent="0.2">
      <c r="A1395" s="549"/>
      <c r="C1395" s="548"/>
      <c r="D1395" s="550"/>
      <c r="E1395" s="550"/>
      <c r="F1395" s="550"/>
      <c r="G1395" s="550"/>
      <c r="H1395" s="551"/>
      <c r="I1395" s="550"/>
    </row>
    <row r="1396" spans="1:9" x14ac:dyDescent="0.2">
      <c r="A1396" s="549"/>
      <c r="C1396" s="548"/>
      <c r="D1396" s="550"/>
      <c r="E1396" s="550"/>
      <c r="F1396" s="550"/>
      <c r="G1396" s="550"/>
      <c r="H1396" s="551"/>
      <c r="I1396" s="550"/>
    </row>
    <row r="1397" spans="1:9" x14ac:dyDescent="0.2">
      <c r="A1397" s="549"/>
      <c r="C1397" s="548"/>
      <c r="D1397" s="550"/>
      <c r="E1397" s="550"/>
      <c r="F1397" s="550"/>
      <c r="G1397" s="550"/>
      <c r="H1397" s="551"/>
      <c r="I1397" s="550"/>
    </row>
    <row r="1398" spans="1:9" x14ac:dyDescent="0.2">
      <c r="A1398" s="549"/>
      <c r="C1398" s="548"/>
      <c r="D1398" s="550"/>
      <c r="E1398" s="550"/>
      <c r="F1398" s="550"/>
      <c r="G1398" s="550"/>
      <c r="H1398" s="551"/>
      <c r="I1398" s="550"/>
    </row>
    <row r="1399" spans="1:9" x14ac:dyDescent="0.2">
      <c r="A1399" s="549"/>
      <c r="C1399" s="548"/>
      <c r="D1399" s="550"/>
      <c r="E1399" s="550"/>
      <c r="F1399" s="550"/>
      <c r="G1399" s="550"/>
      <c r="H1399" s="551"/>
      <c r="I1399" s="550"/>
    </row>
    <row r="1400" spans="1:9" x14ac:dyDescent="0.2">
      <c r="A1400" s="549"/>
      <c r="C1400" s="548"/>
      <c r="D1400" s="550"/>
      <c r="E1400" s="550"/>
      <c r="F1400" s="550"/>
      <c r="G1400" s="550"/>
      <c r="H1400" s="551"/>
      <c r="I1400" s="550"/>
    </row>
    <row r="1401" spans="1:9" x14ac:dyDescent="0.2">
      <c r="A1401" s="549"/>
      <c r="C1401" s="548"/>
      <c r="D1401" s="550"/>
      <c r="E1401" s="550"/>
      <c r="F1401" s="550"/>
      <c r="G1401" s="550"/>
      <c r="H1401" s="551"/>
      <c r="I1401" s="550"/>
    </row>
    <row r="1402" spans="1:9" x14ac:dyDescent="0.2">
      <c r="A1402" s="549"/>
      <c r="C1402" s="548"/>
      <c r="D1402" s="550"/>
      <c r="E1402" s="550"/>
      <c r="F1402" s="550"/>
      <c r="G1402" s="550"/>
      <c r="H1402" s="551"/>
      <c r="I1402" s="550"/>
    </row>
    <row r="1403" spans="1:9" x14ac:dyDescent="0.2">
      <c r="A1403" s="549"/>
      <c r="C1403" s="548"/>
      <c r="D1403" s="550"/>
      <c r="E1403" s="550"/>
      <c r="F1403" s="550"/>
      <c r="G1403" s="550"/>
      <c r="H1403" s="551"/>
      <c r="I1403" s="550"/>
    </row>
    <row r="1404" spans="1:9" x14ac:dyDescent="0.2">
      <c r="A1404" s="549"/>
      <c r="C1404" s="548"/>
      <c r="D1404" s="550"/>
      <c r="E1404" s="550"/>
      <c r="F1404" s="550"/>
      <c r="G1404" s="550"/>
      <c r="H1404" s="551"/>
      <c r="I1404" s="550"/>
    </row>
    <row r="1405" spans="1:9" x14ac:dyDescent="0.2">
      <c r="A1405" s="549"/>
      <c r="C1405" s="548"/>
      <c r="D1405" s="550"/>
      <c r="E1405" s="550"/>
      <c r="F1405" s="550"/>
      <c r="G1405" s="550"/>
      <c r="H1405" s="551"/>
      <c r="I1405" s="550"/>
    </row>
    <row r="1406" spans="1:9" x14ac:dyDescent="0.2">
      <c r="A1406" s="549"/>
      <c r="C1406" s="548"/>
      <c r="D1406" s="550"/>
      <c r="E1406" s="550"/>
      <c r="F1406" s="550"/>
      <c r="G1406" s="550"/>
      <c r="H1406" s="551"/>
      <c r="I1406" s="550"/>
    </row>
    <row r="1407" spans="1:9" x14ac:dyDescent="0.2">
      <c r="A1407" s="549"/>
      <c r="C1407" s="548"/>
      <c r="D1407" s="550"/>
      <c r="E1407" s="550"/>
      <c r="F1407" s="550"/>
      <c r="G1407" s="550"/>
      <c r="H1407" s="551"/>
      <c r="I1407" s="550"/>
    </row>
    <row r="1408" spans="1:9" x14ac:dyDescent="0.2">
      <c r="A1408" s="549"/>
      <c r="C1408" s="548"/>
      <c r="D1408" s="550"/>
      <c r="E1408" s="550"/>
      <c r="F1408" s="550"/>
      <c r="G1408" s="550"/>
      <c r="H1408" s="551"/>
      <c r="I1408" s="550"/>
    </row>
    <row r="1409" spans="1:9" x14ac:dyDescent="0.2">
      <c r="A1409" s="549"/>
      <c r="C1409" s="548"/>
      <c r="D1409" s="550"/>
      <c r="E1409" s="550"/>
      <c r="F1409" s="550"/>
      <c r="G1409" s="550"/>
      <c r="H1409" s="551"/>
      <c r="I1409" s="550"/>
    </row>
    <row r="1410" spans="1:9" x14ac:dyDescent="0.2">
      <c r="A1410" s="549"/>
      <c r="C1410" s="548"/>
      <c r="D1410" s="550"/>
      <c r="E1410" s="550"/>
      <c r="F1410" s="550"/>
      <c r="G1410" s="550"/>
      <c r="H1410" s="551"/>
      <c r="I1410" s="550"/>
    </row>
    <row r="1411" spans="1:9" x14ac:dyDescent="0.2">
      <c r="A1411" s="549"/>
      <c r="C1411" s="548"/>
      <c r="D1411" s="550"/>
      <c r="E1411" s="550"/>
      <c r="F1411" s="550"/>
      <c r="G1411" s="550"/>
      <c r="H1411" s="551"/>
      <c r="I1411" s="550"/>
    </row>
    <row r="1412" spans="1:9" x14ac:dyDescent="0.2">
      <c r="A1412" s="549"/>
      <c r="C1412" s="548"/>
      <c r="D1412" s="550"/>
      <c r="E1412" s="550"/>
      <c r="F1412" s="550"/>
      <c r="G1412" s="550"/>
      <c r="H1412" s="551"/>
      <c r="I1412" s="550"/>
    </row>
    <row r="1413" spans="1:9" x14ac:dyDescent="0.2">
      <c r="A1413" s="549"/>
      <c r="C1413" s="548"/>
      <c r="D1413" s="550"/>
      <c r="E1413" s="550"/>
      <c r="F1413" s="550"/>
      <c r="G1413" s="550"/>
      <c r="H1413" s="551"/>
      <c r="I1413" s="550"/>
    </row>
    <row r="1414" spans="1:9" x14ac:dyDescent="0.2">
      <c r="A1414" s="549"/>
      <c r="C1414" s="548"/>
      <c r="D1414" s="550"/>
      <c r="E1414" s="550"/>
      <c r="F1414" s="550"/>
      <c r="G1414" s="550"/>
      <c r="H1414" s="551"/>
      <c r="I1414" s="550"/>
    </row>
    <row r="1415" spans="1:9" x14ac:dyDescent="0.2">
      <c r="A1415" s="549"/>
      <c r="C1415" s="548"/>
      <c r="D1415" s="550"/>
      <c r="E1415" s="550"/>
      <c r="F1415" s="550"/>
      <c r="G1415" s="550"/>
      <c r="H1415" s="551"/>
      <c r="I1415" s="550"/>
    </row>
    <row r="1416" spans="1:9" x14ac:dyDescent="0.2">
      <c r="A1416" s="549"/>
      <c r="C1416" s="548"/>
      <c r="D1416" s="550"/>
      <c r="E1416" s="550"/>
      <c r="F1416" s="550"/>
      <c r="G1416" s="550"/>
      <c r="H1416" s="551"/>
      <c r="I1416" s="550"/>
    </row>
    <row r="1417" spans="1:9" x14ac:dyDescent="0.2">
      <c r="A1417" s="549"/>
      <c r="C1417" s="548"/>
      <c r="D1417" s="550"/>
      <c r="E1417" s="550"/>
      <c r="F1417" s="550"/>
      <c r="G1417" s="550"/>
      <c r="H1417" s="551"/>
      <c r="I1417" s="550"/>
    </row>
    <row r="1418" spans="1:9" x14ac:dyDescent="0.2">
      <c r="A1418" s="549"/>
      <c r="C1418" s="548"/>
      <c r="D1418" s="550"/>
      <c r="E1418" s="550"/>
      <c r="F1418" s="550"/>
      <c r="G1418" s="550"/>
      <c r="H1418" s="551"/>
      <c r="I1418" s="550"/>
    </row>
    <row r="1419" spans="1:9" x14ac:dyDescent="0.2">
      <c r="A1419" s="549"/>
      <c r="C1419" s="548"/>
      <c r="D1419" s="550"/>
      <c r="E1419" s="550"/>
      <c r="F1419" s="550"/>
      <c r="G1419" s="550"/>
      <c r="H1419" s="551"/>
      <c r="I1419" s="550"/>
    </row>
    <row r="1420" spans="1:9" x14ac:dyDescent="0.2">
      <c r="A1420" s="549"/>
      <c r="C1420" s="548"/>
      <c r="D1420" s="550"/>
      <c r="E1420" s="550"/>
      <c r="F1420" s="550"/>
      <c r="G1420" s="550"/>
      <c r="H1420" s="551"/>
      <c r="I1420" s="550"/>
    </row>
    <row r="1421" spans="1:9" x14ac:dyDescent="0.2">
      <c r="A1421" s="549"/>
      <c r="C1421" s="548"/>
      <c r="D1421" s="550"/>
      <c r="E1421" s="550"/>
      <c r="F1421" s="550"/>
      <c r="G1421" s="550"/>
      <c r="H1421" s="551"/>
      <c r="I1421" s="550"/>
    </row>
    <row r="1422" spans="1:9" x14ac:dyDescent="0.2">
      <c r="A1422" s="549"/>
      <c r="C1422" s="548"/>
      <c r="D1422" s="550"/>
      <c r="E1422" s="550"/>
      <c r="F1422" s="550"/>
      <c r="G1422" s="550"/>
      <c r="H1422" s="551"/>
      <c r="I1422" s="550"/>
    </row>
    <row r="1423" spans="1:9" x14ac:dyDescent="0.2">
      <c r="A1423" s="549"/>
      <c r="C1423" s="548"/>
      <c r="D1423" s="550"/>
      <c r="E1423" s="550"/>
      <c r="F1423" s="550"/>
      <c r="G1423" s="550"/>
      <c r="H1423" s="551"/>
      <c r="I1423" s="550"/>
    </row>
    <row r="1424" spans="1:9" x14ac:dyDescent="0.2">
      <c r="A1424" s="549"/>
      <c r="C1424" s="548"/>
      <c r="D1424" s="550"/>
      <c r="E1424" s="550"/>
      <c r="F1424" s="550"/>
      <c r="G1424" s="550"/>
      <c r="H1424" s="551"/>
      <c r="I1424" s="550"/>
    </row>
    <row r="1425" spans="1:9" x14ac:dyDescent="0.2">
      <c r="A1425" s="549"/>
      <c r="C1425" s="548"/>
      <c r="D1425" s="550"/>
      <c r="E1425" s="550"/>
      <c r="F1425" s="550"/>
      <c r="G1425" s="550"/>
      <c r="H1425" s="551"/>
      <c r="I1425" s="550"/>
    </row>
    <row r="1426" spans="1:9" x14ac:dyDescent="0.2">
      <c r="A1426" s="549"/>
      <c r="C1426" s="548"/>
      <c r="D1426" s="550"/>
      <c r="E1426" s="550"/>
      <c r="F1426" s="550"/>
      <c r="G1426" s="550"/>
      <c r="H1426" s="551"/>
      <c r="I1426" s="550"/>
    </row>
    <row r="1427" spans="1:9" x14ac:dyDescent="0.2">
      <c r="A1427" s="549"/>
      <c r="C1427" s="548"/>
      <c r="D1427" s="550"/>
      <c r="E1427" s="550"/>
      <c r="F1427" s="550"/>
      <c r="G1427" s="550"/>
      <c r="H1427" s="551"/>
      <c r="I1427" s="550"/>
    </row>
    <row r="1428" spans="1:9" x14ac:dyDescent="0.2">
      <c r="A1428" s="549"/>
      <c r="C1428" s="548"/>
      <c r="D1428" s="550"/>
      <c r="E1428" s="550"/>
      <c r="F1428" s="550"/>
      <c r="G1428" s="550"/>
      <c r="H1428" s="551"/>
      <c r="I1428" s="550"/>
    </row>
    <row r="1429" spans="1:9" x14ac:dyDescent="0.2">
      <c r="A1429" s="549"/>
      <c r="C1429" s="548"/>
      <c r="D1429" s="550"/>
      <c r="E1429" s="550"/>
      <c r="F1429" s="550"/>
      <c r="G1429" s="550"/>
      <c r="H1429" s="551"/>
      <c r="I1429" s="550"/>
    </row>
    <row r="1430" spans="1:9" x14ac:dyDescent="0.2">
      <c r="A1430" s="549"/>
      <c r="C1430" s="548"/>
      <c r="D1430" s="550"/>
      <c r="E1430" s="550"/>
      <c r="F1430" s="550"/>
      <c r="G1430" s="550"/>
      <c r="H1430" s="551"/>
      <c r="I1430" s="550"/>
    </row>
    <row r="1431" spans="1:9" x14ac:dyDescent="0.2">
      <c r="A1431" s="549"/>
      <c r="C1431" s="548"/>
      <c r="D1431" s="550"/>
      <c r="E1431" s="550"/>
      <c r="F1431" s="550"/>
      <c r="G1431" s="550"/>
      <c r="H1431" s="551"/>
      <c r="I1431" s="550"/>
    </row>
    <row r="1432" spans="1:9" x14ac:dyDescent="0.2">
      <c r="A1432" s="549"/>
      <c r="C1432" s="548"/>
      <c r="D1432" s="550"/>
      <c r="E1432" s="550"/>
      <c r="F1432" s="550"/>
      <c r="G1432" s="550"/>
      <c r="H1432" s="551"/>
      <c r="I1432" s="550"/>
    </row>
    <row r="1433" spans="1:9" x14ac:dyDescent="0.2">
      <c r="A1433" s="549"/>
      <c r="C1433" s="548"/>
      <c r="D1433" s="550"/>
      <c r="E1433" s="550"/>
      <c r="F1433" s="550"/>
      <c r="G1433" s="550"/>
      <c r="H1433" s="551"/>
      <c r="I1433" s="550"/>
    </row>
    <row r="1434" spans="1:9" x14ac:dyDescent="0.2">
      <c r="A1434" s="549"/>
      <c r="C1434" s="548"/>
      <c r="D1434" s="550"/>
      <c r="E1434" s="550"/>
      <c r="F1434" s="550"/>
      <c r="G1434" s="550"/>
      <c r="H1434" s="551"/>
      <c r="I1434" s="550"/>
    </row>
    <row r="1435" spans="1:9" x14ac:dyDescent="0.2">
      <c r="A1435" s="549"/>
      <c r="C1435" s="548"/>
      <c r="D1435" s="550"/>
      <c r="E1435" s="550"/>
      <c r="F1435" s="550"/>
      <c r="G1435" s="550"/>
      <c r="H1435" s="551"/>
      <c r="I1435" s="550"/>
    </row>
    <row r="1436" spans="1:9" x14ac:dyDescent="0.2">
      <c r="A1436" s="549"/>
      <c r="C1436" s="548"/>
      <c r="D1436" s="550"/>
      <c r="E1436" s="550"/>
      <c r="F1436" s="550"/>
      <c r="G1436" s="550"/>
      <c r="H1436" s="551"/>
      <c r="I1436" s="550"/>
    </row>
    <row r="1437" spans="1:9" x14ac:dyDescent="0.2">
      <c r="A1437" s="549"/>
      <c r="C1437" s="548"/>
      <c r="D1437" s="550"/>
      <c r="E1437" s="550"/>
      <c r="F1437" s="550"/>
      <c r="G1437" s="550"/>
      <c r="H1437" s="551"/>
      <c r="I1437" s="550"/>
    </row>
    <row r="1438" spans="1:9" x14ac:dyDescent="0.2">
      <c r="A1438" s="549"/>
      <c r="C1438" s="548"/>
      <c r="D1438" s="550"/>
      <c r="E1438" s="550"/>
      <c r="F1438" s="550"/>
      <c r="G1438" s="550"/>
      <c r="H1438" s="551"/>
      <c r="I1438" s="550"/>
    </row>
    <row r="1439" spans="1:9" x14ac:dyDescent="0.2">
      <c r="A1439" s="549"/>
      <c r="C1439" s="548"/>
      <c r="D1439" s="550"/>
      <c r="E1439" s="550"/>
      <c r="F1439" s="550"/>
      <c r="G1439" s="550"/>
      <c r="H1439" s="551"/>
      <c r="I1439" s="550"/>
    </row>
    <row r="1440" spans="1:9" x14ac:dyDescent="0.2">
      <c r="A1440" s="549"/>
      <c r="C1440" s="548"/>
      <c r="D1440" s="550"/>
      <c r="E1440" s="550"/>
      <c r="F1440" s="550"/>
      <c r="G1440" s="550"/>
      <c r="H1440" s="551"/>
      <c r="I1440" s="550"/>
    </row>
    <row r="1441" spans="1:9" x14ac:dyDescent="0.2">
      <c r="A1441" s="549"/>
      <c r="C1441" s="548"/>
      <c r="D1441" s="550"/>
      <c r="E1441" s="550"/>
      <c r="F1441" s="550"/>
      <c r="G1441" s="550"/>
      <c r="H1441" s="551"/>
      <c r="I1441" s="550"/>
    </row>
    <row r="1442" spans="1:9" x14ac:dyDescent="0.2">
      <c r="A1442" s="549"/>
      <c r="C1442" s="548"/>
      <c r="D1442" s="550"/>
      <c r="E1442" s="550"/>
      <c r="F1442" s="550"/>
      <c r="G1442" s="550"/>
      <c r="H1442" s="551"/>
      <c r="I1442" s="550"/>
    </row>
    <row r="1443" spans="1:9" x14ac:dyDescent="0.2">
      <c r="A1443" s="549"/>
      <c r="C1443" s="548"/>
      <c r="D1443" s="550"/>
      <c r="E1443" s="550"/>
      <c r="F1443" s="550"/>
      <c r="G1443" s="550"/>
      <c r="H1443" s="551"/>
      <c r="I1443" s="550"/>
    </row>
    <row r="1444" spans="1:9" x14ac:dyDescent="0.2">
      <c r="A1444" s="549"/>
      <c r="C1444" s="548"/>
      <c r="D1444" s="550"/>
      <c r="E1444" s="550"/>
      <c r="F1444" s="550"/>
      <c r="G1444" s="550"/>
      <c r="H1444" s="551"/>
      <c r="I1444" s="550"/>
    </row>
    <row r="1445" spans="1:9" x14ac:dyDescent="0.2">
      <c r="A1445" s="549"/>
      <c r="C1445" s="548"/>
      <c r="D1445" s="550"/>
      <c r="E1445" s="550"/>
      <c r="F1445" s="550"/>
      <c r="G1445" s="550"/>
      <c r="H1445" s="551"/>
      <c r="I1445" s="550"/>
    </row>
    <row r="1446" spans="1:9" x14ac:dyDescent="0.2">
      <c r="A1446" s="549"/>
      <c r="C1446" s="548"/>
      <c r="D1446" s="550"/>
      <c r="E1446" s="550"/>
      <c r="F1446" s="550"/>
      <c r="G1446" s="550"/>
      <c r="H1446" s="551"/>
      <c r="I1446" s="550"/>
    </row>
    <row r="1447" spans="1:9" x14ac:dyDescent="0.2">
      <c r="A1447" s="549"/>
      <c r="C1447" s="548"/>
      <c r="D1447" s="550"/>
      <c r="E1447" s="550"/>
      <c r="F1447" s="550"/>
      <c r="G1447" s="550"/>
      <c r="H1447" s="551"/>
      <c r="I1447" s="550"/>
    </row>
    <row r="1448" spans="1:9" x14ac:dyDescent="0.2">
      <c r="A1448" s="549"/>
      <c r="C1448" s="548"/>
      <c r="D1448" s="550"/>
      <c r="E1448" s="550"/>
      <c r="F1448" s="550"/>
      <c r="G1448" s="550"/>
      <c r="H1448" s="551"/>
      <c r="I1448" s="550"/>
    </row>
    <row r="1449" spans="1:9" x14ac:dyDescent="0.2">
      <c r="A1449" s="549"/>
      <c r="C1449" s="548"/>
      <c r="D1449" s="550"/>
      <c r="E1449" s="550"/>
      <c r="F1449" s="550"/>
      <c r="G1449" s="550"/>
      <c r="H1449" s="551"/>
      <c r="I1449" s="550"/>
    </row>
    <row r="1450" spans="1:9" x14ac:dyDescent="0.2">
      <c r="A1450" s="549"/>
      <c r="C1450" s="548"/>
      <c r="D1450" s="550"/>
      <c r="E1450" s="550"/>
      <c r="F1450" s="550"/>
      <c r="G1450" s="550"/>
      <c r="H1450" s="551"/>
      <c r="I1450" s="550"/>
    </row>
    <row r="1451" spans="1:9" x14ac:dyDescent="0.2">
      <c r="A1451" s="549"/>
      <c r="C1451" s="548"/>
      <c r="D1451" s="550"/>
      <c r="E1451" s="550"/>
      <c r="F1451" s="550"/>
      <c r="G1451" s="550"/>
      <c r="H1451" s="551"/>
      <c r="I1451" s="550"/>
    </row>
    <row r="1452" spans="1:9" x14ac:dyDescent="0.2">
      <c r="A1452" s="549"/>
      <c r="C1452" s="548"/>
      <c r="D1452" s="550"/>
      <c r="E1452" s="550"/>
      <c r="F1452" s="550"/>
      <c r="G1452" s="550"/>
      <c r="H1452" s="551"/>
      <c r="I1452" s="550"/>
    </row>
    <row r="1453" spans="1:9" x14ac:dyDescent="0.2">
      <c r="A1453" s="549"/>
      <c r="C1453" s="548"/>
      <c r="D1453" s="550"/>
      <c r="E1453" s="550"/>
      <c r="F1453" s="550"/>
      <c r="G1453" s="550"/>
      <c r="H1453" s="551"/>
      <c r="I1453" s="550"/>
    </row>
    <row r="1454" spans="1:9" x14ac:dyDescent="0.2">
      <c r="A1454" s="549"/>
      <c r="C1454" s="548"/>
      <c r="D1454" s="550"/>
      <c r="E1454" s="550"/>
      <c r="F1454" s="550"/>
      <c r="G1454" s="550"/>
      <c r="H1454" s="551"/>
      <c r="I1454" s="550"/>
    </row>
    <row r="1455" spans="1:9" x14ac:dyDescent="0.2">
      <c r="A1455" s="549"/>
      <c r="C1455" s="548"/>
      <c r="D1455" s="550"/>
      <c r="E1455" s="550"/>
      <c r="F1455" s="550"/>
      <c r="G1455" s="550"/>
      <c r="H1455" s="551"/>
      <c r="I1455" s="550"/>
    </row>
    <row r="1456" spans="1:9" x14ac:dyDescent="0.2">
      <c r="A1456" s="549"/>
      <c r="C1456" s="548"/>
      <c r="D1456" s="550"/>
      <c r="E1456" s="550"/>
      <c r="F1456" s="550"/>
      <c r="G1456" s="550"/>
      <c r="H1456" s="551"/>
      <c r="I1456" s="550"/>
    </row>
    <row r="1457" spans="1:9" x14ac:dyDescent="0.2">
      <c r="A1457" s="549"/>
      <c r="C1457" s="548"/>
      <c r="D1457" s="550"/>
      <c r="E1457" s="550"/>
      <c r="F1457" s="550"/>
      <c r="G1457" s="550"/>
      <c r="H1457" s="551"/>
      <c r="I1457" s="550"/>
    </row>
    <row r="1458" spans="1:9" x14ac:dyDescent="0.2">
      <c r="A1458" s="549"/>
      <c r="C1458" s="548"/>
      <c r="D1458" s="550"/>
      <c r="E1458" s="550"/>
      <c r="F1458" s="550"/>
      <c r="G1458" s="550"/>
      <c r="H1458" s="551"/>
      <c r="I1458" s="550"/>
    </row>
    <row r="1459" spans="1:9" x14ac:dyDescent="0.2">
      <c r="A1459" s="549"/>
      <c r="C1459" s="548"/>
      <c r="D1459" s="550"/>
      <c r="E1459" s="550"/>
      <c r="F1459" s="550"/>
      <c r="G1459" s="550"/>
      <c r="H1459" s="551"/>
      <c r="I1459" s="550"/>
    </row>
    <row r="1460" spans="1:9" x14ac:dyDescent="0.2">
      <c r="A1460" s="549"/>
      <c r="C1460" s="548"/>
      <c r="D1460" s="550"/>
      <c r="E1460" s="550"/>
      <c r="F1460" s="550"/>
      <c r="G1460" s="550"/>
      <c r="H1460" s="551"/>
      <c r="I1460" s="550"/>
    </row>
    <row r="1461" spans="1:9" x14ac:dyDescent="0.2">
      <c r="A1461" s="549"/>
      <c r="C1461" s="548"/>
      <c r="D1461" s="550"/>
      <c r="E1461" s="550"/>
      <c r="F1461" s="550"/>
      <c r="G1461" s="550"/>
      <c r="H1461" s="551"/>
      <c r="I1461" s="550"/>
    </row>
    <row r="1462" spans="1:9" x14ac:dyDescent="0.2">
      <c r="A1462" s="549"/>
      <c r="C1462" s="548"/>
      <c r="D1462" s="550"/>
      <c r="E1462" s="550"/>
      <c r="F1462" s="550"/>
      <c r="G1462" s="550"/>
      <c r="H1462" s="551"/>
      <c r="I1462" s="550"/>
    </row>
    <row r="1463" spans="1:9" x14ac:dyDescent="0.2">
      <c r="A1463" s="549"/>
      <c r="C1463" s="548"/>
      <c r="D1463" s="550"/>
      <c r="E1463" s="550"/>
      <c r="F1463" s="550"/>
      <c r="G1463" s="550"/>
      <c r="H1463" s="551"/>
      <c r="I1463" s="550"/>
    </row>
    <row r="1464" spans="1:9" x14ac:dyDescent="0.2">
      <c r="A1464" s="549"/>
      <c r="C1464" s="548"/>
      <c r="D1464" s="550"/>
      <c r="E1464" s="550"/>
      <c r="F1464" s="550"/>
      <c r="G1464" s="550"/>
      <c r="H1464" s="551"/>
      <c r="I1464" s="550"/>
    </row>
    <row r="1465" spans="1:9" x14ac:dyDescent="0.2">
      <c r="A1465" s="549"/>
      <c r="C1465" s="548"/>
      <c r="D1465" s="550"/>
      <c r="E1465" s="550"/>
      <c r="F1465" s="550"/>
      <c r="G1465" s="550"/>
      <c r="H1465" s="551"/>
      <c r="I1465" s="550"/>
    </row>
    <row r="1466" spans="1:9" x14ac:dyDescent="0.2">
      <c r="A1466" s="549"/>
      <c r="C1466" s="548"/>
      <c r="D1466" s="550"/>
      <c r="E1466" s="550"/>
      <c r="F1466" s="550"/>
      <c r="G1466" s="550"/>
      <c r="H1466" s="551"/>
      <c r="I1466" s="550"/>
    </row>
    <row r="1467" spans="1:9" x14ac:dyDescent="0.2">
      <c r="A1467" s="549"/>
      <c r="C1467" s="548"/>
      <c r="D1467" s="550"/>
      <c r="E1467" s="550"/>
      <c r="F1467" s="550"/>
      <c r="G1467" s="550"/>
      <c r="H1467" s="551"/>
      <c r="I1467" s="550"/>
    </row>
    <row r="1468" spans="1:9" x14ac:dyDescent="0.2">
      <c r="A1468" s="549"/>
      <c r="C1468" s="548"/>
      <c r="D1468" s="550"/>
      <c r="E1468" s="550"/>
      <c r="F1468" s="550"/>
      <c r="G1468" s="550"/>
      <c r="H1468" s="551"/>
      <c r="I1468" s="550"/>
    </row>
    <row r="1469" spans="1:9" x14ac:dyDescent="0.2">
      <c r="A1469" s="549"/>
      <c r="C1469" s="548"/>
      <c r="D1469" s="550"/>
      <c r="E1469" s="550"/>
      <c r="F1469" s="550"/>
      <c r="G1469" s="550"/>
      <c r="H1469" s="551"/>
      <c r="I1469" s="550"/>
    </row>
    <row r="1470" spans="1:9" x14ac:dyDescent="0.2">
      <c r="A1470" s="549"/>
      <c r="C1470" s="548"/>
      <c r="D1470" s="550"/>
      <c r="E1470" s="550"/>
      <c r="F1470" s="550"/>
      <c r="G1470" s="550"/>
      <c r="H1470" s="551"/>
      <c r="I1470" s="550"/>
    </row>
    <row r="1471" spans="1:9" x14ac:dyDescent="0.2">
      <c r="A1471" s="549"/>
      <c r="C1471" s="548"/>
      <c r="D1471" s="550"/>
      <c r="E1471" s="550"/>
      <c r="F1471" s="550"/>
      <c r="G1471" s="550"/>
      <c r="H1471" s="551"/>
      <c r="I1471" s="550"/>
    </row>
    <row r="1472" spans="1:9" x14ac:dyDescent="0.2">
      <c r="A1472" s="549"/>
      <c r="C1472" s="548"/>
      <c r="D1472" s="550"/>
      <c r="E1472" s="550"/>
      <c r="F1472" s="550"/>
      <c r="G1472" s="550"/>
      <c r="H1472" s="551"/>
      <c r="I1472" s="550"/>
    </row>
    <row r="1473" spans="1:9" x14ac:dyDescent="0.2">
      <c r="A1473" s="549"/>
      <c r="C1473" s="548"/>
      <c r="D1473" s="550"/>
      <c r="E1473" s="550"/>
      <c r="F1473" s="550"/>
      <c r="G1473" s="550"/>
      <c r="H1473" s="551"/>
      <c r="I1473" s="550"/>
    </row>
    <row r="1474" spans="1:9" x14ac:dyDescent="0.2">
      <c r="A1474" s="549"/>
      <c r="C1474" s="548"/>
      <c r="D1474" s="550"/>
      <c r="E1474" s="550"/>
      <c r="F1474" s="550"/>
      <c r="G1474" s="550"/>
      <c r="H1474" s="551"/>
      <c r="I1474" s="550"/>
    </row>
    <row r="1475" spans="1:9" x14ac:dyDescent="0.2">
      <c r="A1475" s="549"/>
      <c r="C1475" s="548"/>
      <c r="D1475" s="550"/>
      <c r="E1475" s="550"/>
      <c r="F1475" s="550"/>
      <c r="G1475" s="550"/>
      <c r="H1475" s="551"/>
      <c r="I1475" s="550"/>
    </row>
    <row r="1476" spans="1:9" x14ac:dyDescent="0.2">
      <c r="A1476" s="549"/>
      <c r="C1476" s="548"/>
      <c r="D1476" s="550"/>
      <c r="E1476" s="550"/>
      <c r="F1476" s="550"/>
      <c r="G1476" s="550"/>
      <c r="H1476" s="551"/>
      <c r="I1476" s="550"/>
    </row>
    <row r="1477" spans="1:9" x14ac:dyDescent="0.2">
      <c r="A1477" s="549"/>
      <c r="C1477" s="548"/>
      <c r="D1477" s="550"/>
      <c r="E1477" s="550"/>
      <c r="F1477" s="550"/>
      <c r="G1477" s="550"/>
      <c r="H1477" s="551"/>
      <c r="I1477" s="550"/>
    </row>
    <row r="1478" spans="1:9" x14ac:dyDescent="0.2">
      <c r="A1478" s="549"/>
      <c r="C1478" s="548"/>
      <c r="D1478" s="550"/>
      <c r="E1478" s="550"/>
      <c r="F1478" s="550"/>
      <c r="G1478" s="550"/>
      <c r="H1478" s="551"/>
      <c r="I1478" s="550"/>
    </row>
    <row r="1479" spans="1:9" x14ac:dyDescent="0.2">
      <c r="A1479" s="549"/>
      <c r="C1479" s="548"/>
      <c r="D1479" s="550"/>
      <c r="E1479" s="550"/>
      <c r="F1479" s="550"/>
      <c r="G1479" s="550"/>
      <c r="H1479" s="551"/>
      <c r="I1479" s="550"/>
    </row>
    <row r="1480" spans="1:9" x14ac:dyDescent="0.2">
      <c r="A1480" s="549"/>
      <c r="C1480" s="548"/>
      <c r="D1480" s="550"/>
      <c r="E1480" s="550"/>
      <c r="F1480" s="550"/>
      <c r="G1480" s="550"/>
      <c r="H1480" s="551"/>
      <c r="I1480" s="550"/>
    </row>
    <row r="1481" spans="1:9" x14ac:dyDescent="0.2">
      <c r="A1481" s="549"/>
      <c r="C1481" s="548"/>
      <c r="D1481" s="550"/>
      <c r="E1481" s="550"/>
      <c r="F1481" s="550"/>
      <c r="G1481" s="550"/>
      <c r="H1481" s="551"/>
      <c r="I1481" s="550"/>
    </row>
    <row r="1482" spans="1:9" x14ac:dyDescent="0.2">
      <c r="A1482" s="549"/>
      <c r="C1482" s="548"/>
      <c r="D1482" s="550"/>
      <c r="E1482" s="550"/>
      <c r="F1482" s="550"/>
      <c r="G1482" s="550"/>
      <c r="H1482" s="551"/>
      <c r="I1482" s="550"/>
    </row>
    <row r="1483" spans="1:9" x14ac:dyDescent="0.2">
      <c r="A1483" s="549"/>
      <c r="C1483" s="548"/>
      <c r="D1483" s="550"/>
      <c r="E1483" s="550"/>
      <c r="F1483" s="550"/>
      <c r="G1483" s="550"/>
      <c r="H1483" s="551"/>
      <c r="I1483" s="550"/>
    </row>
    <row r="1484" spans="1:9" x14ac:dyDescent="0.2">
      <c r="A1484" s="549"/>
      <c r="C1484" s="548"/>
      <c r="D1484" s="550"/>
      <c r="E1484" s="550"/>
      <c r="F1484" s="550"/>
      <c r="G1484" s="550"/>
      <c r="H1484" s="551"/>
      <c r="I1484" s="550"/>
    </row>
    <row r="1485" spans="1:9" x14ac:dyDescent="0.2">
      <c r="A1485" s="549"/>
      <c r="C1485" s="548"/>
      <c r="D1485" s="550"/>
      <c r="E1485" s="550"/>
      <c r="F1485" s="550"/>
      <c r="G1485" s="550"/>
      <c r="H1485" s="551"/>
      <c r="I1485" s="550"/>
    </row>
    <row r="1486" spans="1:9" x14ac:dyDescent="0.2">
      <c r="A1486" s="549"/>
      <c r="C1486" s="548"/>
      <c r="D1486" s="550"/>
      <c r="E1486" s="550"/>
      <c r="F1486" s="550"/>
      <c r="G1486" s="550"/>
      <c r="H1486" s="551"/>
      <c r="I1486" s="550"/>
    </row>
    <row r="1487" spans="1:9" x14ac:dyDescent="0.2">
      <c r="A1487" s="549"/>
      <c r="C1487" s="548"/>
      <c r="D1487" s="550"/>
      <c r="E1487" s="550"/>
      <c r="F1487" s="550"/>
      <c r="G1487" s="550"/>
      <c r="H1487" s="551"/>
      <c r="I1487" s="550"/>
    </row>
    <row r="1488" spans="1:9" x14ac:dyDescent="0.2">
      <c r="A1488" s="549"/>
      <c r="C1488" s="548"/>
      <c r="D1488" s="550"/>
      <c r="E1488" s="550"/>
      <c r="F1488" s="550"/>
      <c r="G1488" s="550"/>
      <c r="H1488" s="551"/>
      <c r="I1488" s="550"/>
    </row>
    <row r="1489" spans="1:9" x14ac:dyDescent="0.2">
      <c r="A1489" s="549"/>
      <c r="C1489" s="548"/>
      <c r="D1489" s="550"/>
      <c r="E1489" s="550"/>
      <c r="F1489" s="550"/>
      <c r="G1489" s="550"/>
      <c r="H1489" s="551"/>
      <c r="I1489" s="550"/>
    </row>
    <row r="1490" spans="1:9" x14ac:dyDescent="0.2">
      <c r="A1490" s="549"/>
      <c r="C1490" s="548"/>
      <c r="D1490" s="550"/>
      <c r="E1490" s="550"/>
      <c r="F1490" s="550"/>
      <c r="G1490" s="550"/>
      <c r="H1490" s="551"/>
      <c r="I1490" s="550"/>
    </row>
    <row r="1491" spans="1:9" x14ac:dyDescent="0.2">
      <c r="A1491" s="549"/>
      <c r="C1491" s="548"/>
      <c r="D1491" s="550"/>
      <c r="E1491" s="550"/>
      <c r="F1491" s="550"/>
      <c r="G1491" s="550"/>
      <c r="H1491" s="551"/>
      <c r="I1491" s="550"/>
    </row>
    <row r="1492" spans="1:9" x14ac:dyDescent="0.2">
      <c r="A1492" s="549"/>
      <c r="C1492" s="548"/>
      <c r="D1492" s="550"/>
      <c r="E1492" s="550"/>
      <c r="F1492" s="550"/>
      <c r="G1492" s="550"/>
      <c r="H1492" s="551"/>
      <c r="I1492" s="550"/>
    </row>
    <row r="1493" spans="1:9" x14ac:dyDescent="0.2">
      <c r="A1493" s="549"/>
      <c r="C1493" s="548"/>
      <c r="D1493" s="550"/>
      <c r="E1493" s="550"/>
      <c r="F1493" s="550"/>
      <c r="G1493" s="550"/>
      <c r="H1493" s="551"/>
      <c r="I1493" s="550"/>
    </row>
    <row r="1494" spans="1:9" x14ac:dyDescent="0.2">
      <c r="A1494" s="549"/>
      <c r="C1494" s="548"/>
      <c r="D1494" s="550"/>
      <c r="E1494" s="550"/>
      <c r="F1494" s="550"/>
      <c r="G1494" s="550"/>
      <c r="H1494" s="551"/>
      <c r="I1494" s="550"/>
    </row>
    <row r="1495" spans="1:9" x14ac:dyDescent="0.2">
      <c r="A1495" s="549"/>
      <c r="C1495" s="548"/>
      <c r="D1495" s="550"/>
      <c r="E1495" s="550"/>
      <c r="F1495" s="550"/>
      <c r="G1495" s="550"/>
      <c r="H1495" s="551"/>
      <c r="I1495" s="550"/>
    </row>
    <row r="1496" spans="1:9" x14ac:dyDescent="0.2">
      <c r="A1496" s="549"/>
      <c r="C1496" s="548"/>
      <c r="D1496" s="550"/>
      <c r="E1496" s="550"/>
      <c r="F1496" s="550"/>
      <c r="G1496" s="550"/>
      <c r="H1496" s="551"/>
      <c r="I1496" s="550"/>
    </row>
    <row r="1497" spans="1:9" x14ac:dyDescent="0.2">
      <c r="A1497" s="549"/>
      <c r="C1497" s="548"/>
      <c r="D1497" s="550"/>
      <c r="E1497" s="550"/>
      <c r="F1497" s="550"/>
      <c r="G1497" s="550"/>
      <c r="H1497" s="551"/>
      <c r="I1497" s="550"/>
    </row>
    <row r="1498" spans="1:9" x14ac:dyDescent="0.2">
      <c r="A1498" s="549"/>
      <c r="C1498" s="548"/>
      <c r="D1498" s="550"/>
      <c r="E1498" s="550"/>
      <c r="F1498" s="550"/>
      <c r="G1498" s="550"/>
      <c r="H1498" s="551"/>
      <c r="I1498" s="550"/>
    </row>
    <row r="1499" spans="1:9" x14ac:dyDescent="0.2">
      <c r="A1499" s="549"/>
      <c r="C1499" s="548"/>
      <c r="D1499" s="550"/>
      <c r="E1499" s="550"/>
      <c r="F1499" s="550"/>
      <c r="G1499" s="550"/>
      <c r="H1499" s="551"/>
      <c r="I1499" s="550"/>
    </row>
    <row r="1500" spans="1:9" x14ac:dyDescent="0.2">
      <c r="A1500" s="549"/>
      <c r="C1500" s="548"/>
      <c r="D1500" s="550"/>
      <c r="E1500" s="550"/>
      <c r="F1500" s="550"/>
      <c r="G1500" s="550"/>
      <c r="H1500" s="551"/>
      <c r="I1500" s="550"/>
    </row>
    <row r="1501" spans="1:9" x14ac:dyDescent="0.2">
      <c r="A1501" s="549"/>
      <c r="C1501" s="548"/>
      <c r="D1501" s="550"/>
      <c r="E1501" s="550"/>
      <c r="F1501" s="550"/>
      <c r="G1501" s="550"/>
      <c r="H1501" s="551"/>
      <c r="I1501" s="550"/>
    </row>
    <row r="1502" spans="1:9" x14ac:dyDescent="0.2">
      <c r="A1502" s="549"/>
      <c r="C1502" s="548"/>
      <c r="D1502" s="550"/>
      <c r="E1502" s="550"/>
      <c r="F1502" s="550"/>
      <c r="G1502" s="550"/>
      <c r="H1502" s="551"/>
      <c r="I1502" s="550"/>
    </row>
    <row r="1503" spans="1:9" x14ac:dyDescent="0.2">
      <c r="A1503" s="549"/>
      <c r="C1503" s="548"/>
      <c r="D1503" s="550"/>
      <c r="E1503" s="550"/>
      <c r="F1503" s="550"/>
      <c r="G1503" s="550"/>
      <c r="H1503" s="551"/>
      <c r="I1503" s="550"/>
    </row>
    <row r="1504" spans="1:9" x14ac:dyDescent="0.2">
      <c r="A1504" s="549"/>
      <c r="C1504" s="548"/>
      <c r="D1504" s="550"/>
      <c r="E1504" s="550"/>
      <c r="F1504" s="550"/>
      <c r="G1504" s="550"/>
      <c r="H1504" s="551"/>
      <c r="I1504" s="550"/>
    </row>
    <row r="1505" spans="1:9" x14ac:dyDescent="0.2">
      <c r="A1505" s="549"/>
      <c r="C1505" s="548"/>
      <c r="D1505" s="550"/>
      <c r="E1505" s="550"/>
      <c r="F1505" s="550"/>
      <c r="G1505" s="550"/>
      <c r="H1505" s="551"/>
      <c r="I1505" s="550"/>
    </row>
    <row r="1506" spans="1:9" x14ac:dyDescent="0.2">
      <c r="A1506" s="549"/>
      <c r="C1506" s="548"/>
      <c r="D1506" s="550"/>
      <c r="E1506" s="550"/>
      <c r="F1506" s="550"/>
      <c r="G1506" s="550"/>
      <c r="H1506" s="551"/>
      <c r="I1506" s="550"/>
    </row>
    <row r="1507" spans="1:9" x14ac:dyDescent="0.2">
      <c r="A1507" s="549"/>
      <c r="C1507" s="548"/>
      <c r="D1507" s="550"/>
      <c r="E1507" s="550"/>
      <c r="F1507" s="550"/>
      <c r="G1507" s="550"/>
      <c r="H1507" s="551"/>
      <c r="I1507" s="550"/>
    </row>
    <row r="1508" spans="1:9" x14ac:dyDescent="0.2">
      <c r="A1508" s="549"/>
      <c r="C1508" s="548"/>
      <c r="D1508" s="550"/>
      <c r="E1508" s="550"/>
      <c r="F1508" s="550"/>
      <c r="G1508" s="550"/>
      <c r="H1508" s="551"/>
      <c r="I1508" s="550"/>
    </row>
    <row r="1509" spans="1:9" x14ac:dyDescent="0.2">
      <c r="A1509" s="549"/>
      <c r="C1509" s="548"/>
      <c r="D1509" s="550"/>
      <c r="E1509" s="550"/>
      <c r="F1509" s="550"/>
      <c r="G1509" s="550"/>
      <c r="H1509" s="551"/>
      <c r="I1509" s="550"/>
    </row>
    <row r="1510" spans="1:9" x14ac:dyDescent="0.2">
      <c r="A1510" s="549"/>
      <c r="C1510" s="548"/>
      <c r="D1510" s="550"/>
      <c r="E1510" s="550"/>
      <c r="F1510" s="550"/>
      <c r="G1510" s="550"/>
      <c r="H1510" s="551"/>
      <c r="I1510" s="550"/>
    </row>
    <row r="1511" spans="1:9" x14ac:dyDescent="0.2">
      <c r="A1511" s="549"/>
      <c r="C1511" s="548"/>
      <c r="D1511" s="550"/>
      <c r="E1511" s="550"/>
      <c r="F1511" s="550"/>
      <c r="G1511" s="550"/>
      <c r="H1511" s="551"/>
      <c r="I1511" s="550"/>
    </row>
    <row r="1512" spans="1:9" x14ac:dyDescent="0.2">
      <c r="A1512" s="549"/>
      <c r="C1512" s="548"/>
      <c r="D1512" s="550"/>
      <c r="E1512" s="550"/>
      <c r="F1512" s="550"/>
      <c r="G1512" s="550"/>
      <c r="H1512" s="551"/>
      <c r="I1512" s="550"/>
    </row>
    <row r="1513" spans="1:9" x14ac:dyDescent="0.2">
      <c r="A1513" s="549"/>
      <c r="C1513" s="548"/>
      <c r="D1513" s="550"/>
      <c r="E1513" s="550"/>
      <c r="F1513" s="550"/>
      <c r="G1513" s="550"/>
      <c r="H1513" s="551"/>
      <c r="I1513" s="550"/>
    </row>
    <row r="1514" spans="1:9" x14ac:dyDescent="0.2">
      <c r="A1514" s="549"/>
      <c r="C1514" s="548"/>
      <c r="D1514" s="550"/>
      <c r="E1514" s="550"/>
      <c r="F1514" s="550"/>
      <c r="G1514" s="550"/>
      <c r="H1514" s="551"/>
      <c r="I1514" s="550"/>
    </row>
    <row r="1515" spans="1:9" x14ac:dyDescent="0.2">
      <c r="A1515" s="549"/>
      <c r="C1515" s="548"/>
      <c r="D1515" s="550"/>
      <c r="E1515" s="550"/>
      <c r="F1515" s="550"/>
      <c r="G1515" s="550"/>
      <c r="H1515" s="551"/>
      <c r="I1515" s="550"/>
    </row>
    <row r="1516" spans="1:9" x14ac:dyDescent="0.2">
      <c r="A1516" s="549"/>
      <c r="C1516" s="548"/>
      <c r="D1516" s="550"/>
      <c r="E1516" s="550"/>
      <c r="F1516" s="550"/>
      <c r="G1516" s="550"/>
      <c r="H1516" s="551"/>
      <c r="I1516" s="550"/>
    </row>
    <row r="1517" spans="1:9" x14ac:dyDescent="0.2">
      <c r="A1517" s="549"/>
      <c r="C1517" s="548"/>
      <c r="D1517" s="550"/>
      <c r="E1517" s="550"/>
      <c r="F1517" s="550"/>
      <c r="G1517" s="550"/>
      <c r="H1517" s="551"/>
      <c r="I1517" s="550"/>
    </row>
    <row r="1518" spans="1:9" x14ac:dyDescent="0.2">
      <c r="A1518" s="549"/>
      <c r="C1518" s="548"/>
      <c r="D1518" s="550"/>
      <c r="E1518" s="550"/>
      <c r="F1518" s="550"/>
      <c r="G1518" s="550"/>
      <c r="H1518" s="551"/>
      <c r="I1518" s="550"/>
    </row>
    <row r="1519" spans="1:9" x14ac:dyDescent="0.2">
      <c r="A1519" s="549"/>
      <c r="C1519" s="548"/>
      <c r="D1519" s="550"/>
      <c r="E1519" s="550"/>
      <c r="F1519" s="550"/>
      <c r="G1519" s="550"/>
      <c r="H1519" s="551"/>
      <c r="I1519" s="550"/>
    </row>
    <row r="1520" spans="1:9" x14ac:dyDescent="0.2">
      <c r="A1520" s="549"/>
      <c r="C1520" s="548"/>
      <c r="D1520" s="550"/>
      <c r="E1520" s="550"/>
      <c r="F1520" s="550"/>
      <c r="G1520" s="550"/>
      <c r="H1520" s="551"/>
      <c r="I1520" s="550"/>
    </row>
    <row r="1521" spans="1:9" x14ac:dyDescent="0.2">
      <c r="A1521" s="549"/>
      <c r="C1521" s="548"/>
      <c r="D1521" s="550"/>
      <c r="E1521" s="550"/>
      <c r="F1521" s="550"/>
      <c r="G1521" s="550"/>
      <c r="H1521" s="551"/>
      <c r="I1521" s="550"/>
    </row>
    <row r="1522" spans="1:9" x14ac:dyDescent="0.2">
      <c r="A1522" s="549"/>
      <c r="C1522" s="548"/>
      <c r="D1522" s="550"/>
      <c r="E1522" s="550"/>
      <c r="F1522" s="550"/>
      <c r="G1522" s="550"/>
      <c r="H1522" s="551"/>
      <c r="I1522" s="550"/>
    </row>
    <row r="1523" spans="1:9" x14ac:dyDescent="0.2">
      <c r="A1523" s="549"/>
      <c r="C1523" s="548"/>
      <c r="D1523" s="550"/>
      <c r="E1523" s="550"/>
      <c r="F1523" s="550"/>
      <c r="G1523" s="550"/>
      <c r="H1523" s="551"/>
      <c r="I1523" s="550"/>
    </row>
    <row r="1524" spans="1:9" x14ac:dyDescent="0.2">
      <c r="A1524" s="549"/>
      <c r="C1524" s="548"/>
      <c r="D1524" s="550"/>
      <c r="E1524" s="550"/>
      <c r="F1524" s="550"/>
      <c r="G1524" s="550"/>
      <c r="H1524" s="551"/>
      <c r="I1524" s="550"/>
    </row>
    <row r="1525" spans="1:9" x14ac:dyDescent="0.2">
      <c r="A1525" s="549"/>
      <c r="C1525" s="548"/>
      <c r="D1525" s="550"/>
      <c r="E1525" s="550"/>
      <c r="F1525" s="550"/>
      <c r="G1525" s="550"/>
      <c r="H1525" s="551"/>
      <c r="I1525" s="550"/>
    </row>
    <row r="1526" spans="1:9" x14ac:dyDescent="0.2">
      <c r="A1526" s="549"/>
      <c r="C1526" s="548"/>
      <c r="D1526" s="550"/>
      <c r="E1526" s="550"/>
      <c r="F1526" s="550"/>
      <c r="G1526" s="550"/>
      <c r="H1526" s="551"/>
      <c r="I1526" s="550"/>
    </row>
    <row r="1527" spans="1:9" x14ac:dyDescent="0.2">
      <c r="A1527" s="549"/>
      <c r="C1527" s="548"/>
      <c r="D1527" s="550"/>
      <c r="E1527" s="550"/>
      <c r="F1527" s="550"/>
      <c r="G1527" s="550"/>
      <c r="H1527" s="551"/>
      <c r="I1527" s="550"/>
    </row>
    <row r="1528" spans="1:9" x14ac:dyDescent="0.2">
      <c r="A1528" s="549"/>
      <c r="C1528" s="548"/>
      <c r="D1528" s="550"/>
      <c r="E1528" s="550"/>
      <c r="F1528" s="550"/>
      <c r="G1528" s="550"/>
      <c r="H1528" s="551"/>
      <c r="I1528" s="550"/>
    </row>
    <row r="1529" spans="1:9" x14ac:dyDescent="0.2">
      <c r="A1529" s="549"/>
      <c r="C1529" s="548"/>
      <c r="D1529" s="550"/>
      <c r="E1529" s="550"/>
      <c r="F1529" s="550"/>
      <c r="G1529" s="550"/>
      <c r="H1529" s="551"/>
      <c r="I1529" s="550"/>
    </row>
    <row r="1530" spans="1:9" x14ac:dyDescent="0.2">
      <c r="A1530" s="549"/>
      <c r="C1530" s="548"/>
      <c r="D1530" s="550"/>
      <c r="E1530" s="550"/>
      <c r="F1530" s="550"/>
      <c r="G1530" s="550"/>
      <c r="H1530" s="551"/>
      <c r="I1530" s="550"/>
    </row>
    <row r="1531" spans="1:9" x14ac:dyDescent="0.2">
      <c r="A1531" s="549"/>
      <c r="C1531" s="548"/>
      <c r="D1531" s="550"/>
      <c r="E1531" s="550"/>
      <c r="F1531" s="550"/>
      <c r="G1531" s="550"/>
      <c r="H1531" s="551"/>
      <c r="I1531" s="550"/>
    </row>
    <row r="1532" spans="1:9" x14ac:dyDescent="0.2">
      <c r="A1532" s="549"/>
      <c r="C1532" s="548"/>
      <c r="D1532" s="550"/>
      <c r="E1532" s="550"/>
      <c r="F1532" s="550"/>
      <c r="G1532" s="550"/>
      <c r="H1532" s="551"/>
      <c r="I1532" s="550"/>
    </row>
    <row r="1533" spans="1:9" x14ac:dyDescent="0.2">
      <c r="A1533" s="549"/>
      <c r="C1533" s="548"/>
      <c r="D1533" s="550"/>
      <c r="E1533" s="550"/>
      <c r="F1533" s="550"/>
      <c r="G1533" s="550"/>
      <c r="H1533" s="551"/>
      <c r="I1533" s="550"/>
    </row>
    <row r="1534" spans="1:9" x14ac:dyDescent="0.2">
      <c r="A1534" s="549"/>
      <c r="C1534" s="548"/>
      <c r="D1534" s="550"/>
      <c r="E1534" s="550"/>
      <c r="F1534" s="550"/>
      <c r="G1534" s="550"/>
      <c r="H1534" s="551"/>
      <c r="I1534" s="550"/>
    </row>
    <row r="1535" spans="1:9" x14ac:dyDescent="0.2">
      <c r="A1535" s="549"/>
      <c r="C1535" s="548"/>
      <c r="D1535" s="550"/>
      <c r="E1535" s="550"/>
      <c r="F1535" s="550"/>
      <c r="G1535" s="550"/>
      <c r="H1535" s="551"/>
      <c r="I1535" s="550"/>
    </row>
    <row r="1536" spans="1:9" x14ac:dyDescent="0.2">
      <c r="A1536" s="549"/>
      <c r="C1536" s="548"/>
      <c r="D1536" s="550"/>
      <c r="E1536" s="550"/>
      <c r="F1536" s="550"/>
      <c r="G1536" s="550"/>
      <c r="H1536" s="551"/>
      <c r="I1536" s="550"/>
    </row>
    <row r="1537" spans="1:9" x14ac:dyDescent="0.2">
      <c r="A1537" s="549"/>
      <c r="C1537" s="548"/>
      <c r="D1537" s="550"/>
      <c r="E1537" s="550"/>
      <c r="F1537" s="550"/>
      <c r="G1537" s="550"/>
      <c r="H1537" s="551"/>
      <c r="I1537" s="550"/>
    </row>
    <row r="1538" spans="1:9" x14ac:dyDescent="0.2">
      <c r="A1538" s="549"/>
      <c r="C1538" s="548"/>
      <c r="D1538" s="550"/>
      <c r="E1538" s="550"/>
      <c r="F1538" s="550"/>
      <c r="G1538" s="550"/>
      <c r="H1538" s="551"/>
      <c r="I1538" s="550"/>
    </row>
    <row r="1539" spans="1:9" x14ac:dyDescent="0.2">
      <c r="A1539" s="549"/>
      <c r="C1539" s="548"/>
      <c r="D1539" s="550"/>
      <c r="E1539" s="550"/>
      <c r="F1539" s="550"/>
      <c r="G1539" s="550"/>
      <c r="H1539" s="551"/>
      <c r="I1539" s="550"/>
    </row>
    <row r="1540" spans="1:9" x14ac:dyDescent="0.2">
      <c r="A1540" s="549"/>
      <c r="C1540" s="548"/>
      <c r="D1540" s="550"/>
      <c r="E1540" s="550"/>
      <c r="F1540" s="550"/>
      <c r="G1540" s="550"/>
      <c r="H1540" s="551"/>
      <c r="I1540" s="550"/>
    </row>
    <row r="1541" spans="1:9" x14ac:dyDescent="0.2">
      <c r="A1541" s="549"/>
      <c r="C1541" s="548"/>
      <c r="D1541" s="550"/>
      <c r="E1541" s="550"/>
      <c r="F1541" s="550"/>
      <c r="G1541" s="550"/>
      <c r="H1541" s="551"/>
      <c r="I1541" s="550"/>
    </row>
    <row r="1542" spans="1:9" x14ac:dyDescent="0.2">
      <c r="A1542" s="549"/>
      <c r="C1542" s="548"/>
      <c r="D1542" s="550"/>
      <c r="E1542" s="550"/>
      <c r="F1542" s="550"/>
      <c r="G1542" s="550"/>
      <c r="H1542" s="551"/>
      <c r="I1542" s="550"/>
    </row>
    <row r="1543" spans="1:9" x14ac:dyDescent="0.2">
      <c r="A1543" s="549"/>
      <c r="C1543" s="548"/>
      <c r="D1543" s="550"/>
      <c r="E1543" s="550"/>
      <c r="F1543" s="550"/>
      <c r="G1543" s="550"/>
      <c r="H1543" s="551"/>
      <c r="I1543" s="550"/>
    </row>
    <row r="1544" spans="1:9" x14ac:dyDescent="0.2">
      <c r="A1544" s="549"/>
      <c r="C1544" s="548"/>
      <c r="D1544" s="550"/>
      <c r="E1544" s="550"/>
      <c r="F1544" s="550"/>
      <c r="G1544" s="550"/>
      <c r="H1544" s="551"/>
      <c r="I1544" s="550"/>
    </row>
    <row r="1545" spans="1:9" x14ac:dyDescent="0.2">
      <c r="A1545" s="549"/>
      <c r="C1545" s="548"/>
      <c r="D1545" s="550"/>
      <c r="E1545" s="550"/>
      <c r="F1545" s="550"/>
      <c r="G1545" s="550"/>
      <c r="H1545" s="551"/>
      <c r="I1545" s="550"/>
    </row>
    <row r="1546" spans="1:9" x14ac:dyDescent="0.2">
      <c r="A1546" s="549"/>
      <c r="C1546" s="548"/>
      <c r="D1546" s="550"/>
      <c r="E1546" s="550"/>
      <c r="F1546" s="550"/>
      <c r="G1546" s="550"/>
      <c r="H1546" s="551"/>
      <c r="I1546" s="550"/>
    </row>
    <row r="1547" spans="1:9" x14ac:dyDescent="0.2">
      <c r="A1547" s="549"/>
      <c r="C1547" s="548"/>
      <c r="D1547" s="550"/>
      <c r="E1547" s="550"/>
      <c r="F1547" s="550"/>
      <c r="G1547" s="550"/>
      <c r="H1547" s="551"/>
      <c r="I1547" s="550"/>
    </row>
    <row r="1548" spans="1:9" x14ac:dyDescent="0.2">
      <c r="A1548" s="549"/>
      <c r="C1548" s="548"/>
      <c r="D1548" s="550"/>
      <c r="E1548" s="550"/>
      <c r="F1548" s="550"/>
      <c r="G1548" s="550"/>
      <c r="H1548" s="551"/>
      <c r="I1548" s="550"/>
    </row>
    <row r="1549" spans="1:9" x14ac:dyDescent="0.2">
      <c r="A1549" s="549"/>
      <c r="C1549" s="548"/>
      <c r="D1549" s="550"/>
      <c r="E1549" s="550"/>
      <c r="F1549" s="550"/>
      <c r="G1549" s="550"/>
      <c r="H1549" s="551"/>
      <c r="I1549" s="550"/>
    </row>
    <row r="1550" spans="1:9" x14ac:dyDescent="0.2">
      <c r="A1550" s="549"/>
      <c r="C1550" s="548"/>
      <c r="D1550" s="550"/>
      <c r="E1550" s="550"/>
      <c r="F1550" s="550"/>
      <c r="G1550" s="550"/>
      <c r="H1550" s="551"/>
      <c r="I1550" s="550"/>
    </row>
    <row r="1551" spans="1:9" x14ac:dyDescent="0.2">
      <c r="A1551" s="549"/>
      <c r="C1551" s="548"/>
      <c r="D1551" s="550"/>
      <c r="E1551" s="550"/>
      <c r="F1551" s="550"/>
      <c r="G1551" s="550"/>
      <c r="H1551" s="551"/>
      <c r="I1551" s="550"/>
    </row>
    <row r="1552" spans="1:9" x14ac:dyDescent="0.2">
      <c r="A1552" s="549"/>
      <c r="C1552" s="548"/>
      <c r="D1552" s="550"/>
      <c r="E1552" s="550"/>
      <c r="F1552" s="550"/>
      <c r="G1552" s="550"/>
      <c r="H1552" s="551"/>
      <c r="I1552" s="550"/>
    </row>
    <row r="1553" spans="1:9" x14ac:dyDescent="0.2">
      <c r="A1553" s="549"/>
      <c r="C1553" s="548"/>
      <c r="D1553" s="550"/>
      <c r="E1553" s="550"/>
      <c r="F1553" s="550"/>
      <c r="G1553" s="550"/>
      <c r="H1553" s="551"/>
      <c r="I1553" s="550"/>
    </row>
    <row r="1554" spans="1:9" x14ac:dyDescent="0.2">
      <c r="A1554" s="549"/>
      <c r="C1554" s="548"/>
      <c r="D1554" s="550"/>
      <c r="E1554" s="550"/>
      <c r="F1554" s="550"/>
      <c r="G1554" s="550"/>
      <c r="H1554" s="551"/>
      <c r="I1554" s="550"/>
    </row>
    <row r="1555" spans="1:9" x14ac:dyDescent="0.2">
      <c r="A1555" s="549"/>
      <c r="C1555" s="548"/>
      <c r="D1555" s="550"/>
      <c r="E1555" s="550"/>
      <c r="F1555" s="550"/>
      <c r="G1555" s="550"/>
      <c r="H1555" s="551"/>
      <c r="I1555" s="550"/>
    </row>
    <row r="1556" spans="1:9" x14ac:dyDescent="0.2">
      <c r="A1556" s="549"/>
      <c r="C1556" s="548"/>
      <c r="D1556" s="550"/>
      <c r="E1556" s="550"/>
      <c r="F1556" s="550"/>
      <c r="G1556" s="550"/>
      <c r="H1556" s="551"/>
      <c r="I1556" s="550"/>
    </row>
    <row r="1557" spans="1:9" x14ac:dyDescent="0.2">
      <c r="A1557" s="549"/>
      <c r="C1557" s="548"/>
      <c r="D1557" s="550"/>
      <c r="E1557" s="550"/>
      <c r="F1557" s="550"/>
      <c r="G1557" s="550"/>
      <c r="H1557" s="551"/>
      <c r="I1557" s="550"/>
    </row>
    <row r="1558" spans="1:9" x14ac:dyDescent="0.2">
      <c r="A1558" s="549"/>
      <c r="C1558" s="548"/>
      <c r="D1558" s="550"/>
      <c r="E1558" s="550"/>
      <c r="F1558" s="550"/>
      <c r="G1558" s="550"/>
      <c r="H1558" s="551"/>
      <c r="I1558" s="550"/>
    </row>
    <row r="1559" spans="1:9" x14ac:dyDescent="0.2">
      <c r="A1559" s="549"/>
      <c r="C1559" s="548"/>
      <c r="D1559" s="550"/>
      <c r="E1559" s="550"/>
      <c r="F1559" s="550"/>
      <c r="G1559" s="550"/>
      <c r="H1559" s="551"/>
      <c r="I1559" s="550"/>
    </row>
    <row r="1560" spans="1:9" x14ac:dyDescent="0.2">
      <c r="A1560" s="549"/>
      <c r="C1560" s="548"/>
      <c r="D1560" s="550"/>
      <c r="E1560" s="550"/>
      <c r="F1560" s="550"/>
      <c r="G1560" s="550"/>
      <c r="H1560" s="551"/>
      <c r="I1560" s="550"/>
    </row>
    <row r="1561" spans="1:9" x14ac:dyDescent="0.2">
      <c r="A1561" s="549"/>
      <c r="C1561" s="548"/>
      <c r="D1561" s="550"/>
      <c r="E1561" s="550"/>
      <c r="F1561" s="550"/>
      <c r="G1561" s="550"/>
      <c r="H1561" s="551"/>
      <c r="I1561" s="550"/>
    </row>
    <row r="1562" spans="1:9" x14ac:dyDescent="0.2">
      <c r="A1562" s="549"/>
      <c r="C1562" s="548"/>
      <c r="D1562" s="550"/>
      <c r="E1562" s="550"/>
      <c r="F1562" s="550"/>
      <c r="G1562" s="550"/>
      <c r="H1562" s="551"/>
      <c r="I1562" s="550"/>
    </row>
    <row r="1563" spans="1:9" x14ac:dyDescent="0.2">
      <c r="A1563" s="549"/>
      <c r="C1563" s="548"/>
      <c r="D1563" s="550"/>
      <c r="E1563" s="550"/>
      <c r="F1563" s="550"/>
      <c r="G1563" s="550"/>
      <c r="H1563" s="551"/>
      <c r="I1563" s="550"/>
    </row>
    <row r="1564" spans="1:9" x14ac:dyDescent="0.2">
      <c r="A1564" s="549"/>
      <c r="C1564" s="548"/>
      <c r="D1564" s="550"/>
      <c r="E1564" s="550"/>
      <c r="F1564" s="550"/>
      <c r="G1564" s="550"/>
      <c r="H1564" s="551"/>
      <c r="I1564" s="550"/>
    </row>
    <row r="1565" spans="1:9" x14ac:dyDescent="0.2">
      <c r="A1565" s="549"/>
      <c r="C1565" s="548"/>
      <c r="D1565" s="550"/>
      <c r="E1565" s="550"/>
      <c r="F1565" s="550"/>
      <c r="G1565" s="550"/>
      <c r="H1565" s="551"/>
      <c r="I1565" s="550"/>
    </row>
    <row r="1566" spans="1:9" x14ac:dyDescent="0.2">
      <c r="A1566" s="549"/>
      <c r="C1566" s="548"/>
      <c r="D1566" s="550"/>
      <c r="E1566" s="550"/>
      <c r="F1566" s="550"/>
      <c r="G1566" s="550"/>
      <c r="H1566" s="551"/>
      <c r="I1566" s="550"/>
    </row>
    <row r="1567" spans="1:9" x14ac:dyDescent="0.2">
      <c r="A1567" s="549"/>
      <c r="C1567" s="548"/>
      <c r="D1567" s="550"/>
      <c r="E1567" s="550"/>
      <c r="F1567" s="550"/>
      <c r="G1567" s="550"/>
      <c r="H1567" s="551"/>
      <c r="I1567" s="550"/>
    </row>
    <row r="1568" spans="1:9" x14ac:dyDescent="0.2">
      <c r="A1568" s="549"/>
      <c r="C1568" s="548"/>
      <c r="D1568" s="550"/>
      <c r="E1568" s="550"/>
      <c r="F1568" s="550"/>
      <c r="G1568" s="550"/>
      <c r="H1568" s="551"/>
      <c r="I1568" s="550"/>
    </row>
    <row r="1569" spans="1:9" x14ac:dyDescent="0.2">
      <c r="A1569" s="549"/>
      <c r="C1569" s="548"/>
      <c r="D1569" s="550"/>
      <c r="E1569" s="550"/>
      <c r="F1569" s="550"/>
      <c r="G1569" s="550"/>
      <c r="H1569" s="551"/>
      <c r="I1569" s="550"/>
    </row>
    <row r="1570" spans="1:9" x14ac:dyDescent="0.2">
      <c r="A1570" s="549"/>
      <c r="C1570" s="548"/>
      <c r="D1570" s="550"/>
      <c r="E1570" s="550"/>
      <c r="F1570" s="550"/>
      <c r="G1570" s="550"/>
      <c r="H1570" s="551"/>
      <c r="I1570" s="550"/>
    </row>
    <row r="1571" spans="1:9" x14ac:dyDescent="0.2">
      <c r="A1571" s="549"/>
      <c r="C1571" s="548"/>
      <c r="D1571" s="550"/>
      <c r="E1571" s="550"/>
      <c r="F1571" s="550"/>
      <c r="G1571" s="550"/>
      <c r="H1571" s="551"/>
      <c r="I1571" s="550"/>
    </row>
    <row r="1572" spans="1:9" x14ac:dyDescent="0.2">
      <c r="A1572" s="549"/>
      <c r="C1572" s="548"/>
      <c r="D1572" s="550"/>
      <c r="E1572" s="550"/>
      <c r="F1572" s="550"/>
      <c r="G1572" s="550"/>
      <c r="H1572" s="551"/>
      <c r="I1572" s="550"/>
    </row>
    <row r="1573" spans="1:9" x14ac:dyDescent="0.2">
      <c r="A1573" s="549"/>
      <c r="C1573" s="548"/>
      <c r="D1573" s="550"/>
      <c r="E1573" s="550"/>
      <c r="F1573" s="550"/>
      <c r="G1573" s="550"/>
      <c r="H1573" s="551"/>
      <c r="I1573" s="550"/>
    </row>
    <row r="1574" spans="1:9" x14ac:dyDescent="0.2">
      <c r="A1574" s="549"/>
      <c r="C1574" s="548"/>
      <c r="D1574" s="550"/>
      <c r="E1574" s="550"/>
      <c r="F1574" s="550"/>
      <c r="G1574" s="550"/>
      <c r="H1574" s="551"/>
      <c r="I1574" s="550"/>
    </row>
    <row r="1575" spans="1:9" x14ac:dyDescent="0.2">
      <c r="A1575" s="549"/>
      <c r="C1575" s="548"/>
      <c r="D1575" s="550"/>
      <c r="E1575" s="550"/>
      <c r="F1575" s="550"/>
      <c r="G1575" s="550"/>
      <c r="H1575" s="551"/>
      <c r="I1575" s="550"/>
    </row>
    <row r="1576" spans="1:9" x14ac:dyDescent="0.2">
      <c r="A1576" s="549"/>
      <c r="C1576" s="548"/>
      <c r="D1576" s="550"/>
      <c r="E1576" s="550"/>
      <c r="F1576" s="550"/>
      <c r="G1576" s="550"/>
      <c r="H1576" s="551"/>
      <c r="I1576" s="550"/>
    </row>
    <row r="1577" spans="1:9" x14ac:dyDescent="0.2">
      <c r="A1577" s="549"/>
      <c r="C1577" s="548"/>
      <c r="D1577" s="550"/>
      <c r="E1577" s="550"/>
      <c r="F1577" s="550"/>
      <c r="G1577" s="550"/>
      <c r="H1577" s="551"/>
      <c r="I1577" s="550"/>
    </row>
    <row r="1578" spans="1:9" x14ac:dyDescent="0.2">
      <c r="A1578" s="549"/>
      <c r="C1578" s="548"/>
      <c r="D1578" s="550"/>
      <c r="E1578" s="550"/>
      <c r="F1578" s="550"/>
      <c r="G1578" s="550"/>
      <c r="H1578" s="551"/>
      <c r="I1578" s="550"/>
    </row>
    <row r="1579" spans="1:9" x14ac:dyDescent="0.2">
      <c r="A1579" s="549"/>
      <c r="C1579" s="548"/>
      <c r="D1579" s="550"/>
      <c r="E1579" s="550"/>
      <c r="F1579" s="550"/>
      <c r="G1579" s="550"/>
      <c r="H1579" s="551"/>
      <c r="I1579" s="550"/>
    </row>
    <row r="1580" spans="1:9" x14ac:dyDescent="0.2">
      <c r="A1580" s="549"/>
      <c r="C1580" s="548"/>
      <c r="D1580" s="550"/>
      <c r="E1580" s="550"/>
      <c r="F1580" s="550"/>
      <c r="G1580" s="550"/>
      <c r="H1580" s="551"/>
      <c r="I1580" s="550"/>
    </row>
    <row r="1581" spans="1:9" x14ac:dyDescent="0.2">
      <c r="A1581" s="549"/>
      <c r="C1581" s="548"/>
      <c r="D1581" s="550"/>
      <c r="E1581" s="550"/>
      <c r="F1581" s="550"/>
      <c r="G1581" s="550"/>
      <c r="H1581" s="551"/>
      <c r="I1581" s="550"/>
    </row>
    <row r="1582" spans="1:9" x14ac:dyDescent="0.2">
      <c r="A1582" s="549"/>
      <c r="C1582" s="548"/>
      <c r="D1582" s="550"/>
      <c r="E1582" s="550"/>
      <c r="F1582" s="550"/>
      <c r="G1582" s="550"/>
      <c r="H1582" s="551"/>
      <c r="I1582" s="550"/>
    </row>
    <row r="1583" spans="1:9" x14ac:dyDescent="0.2">
      <c r="A1583" s="549"/>
      <c r="C1583" s="548"/>
      <c r="D1583" s="550"/>
      <c r="E1583" s="550"/>
      <c r="F1583" s="550"/>
      <c r="G1583" s="550"/>
      <c r="H1583" s="551"/>
      <c r="I1583" s="550"/>
    </row>
    <row r="1584" spans="1:9" x14ac:dyDescent="0.2">
      <c r="A1584" s="549"/>
      <c r="C1584" s="548"/>
      <c r="D1584" s="550"/>
      <c r="E1584" s="550"/>
      <c r="F1584" s="550"/>
      <c r="G1584" s="550"/>
      <c r="H1584" s="551"/>
      <c r="I1584" s="550"/>
    </row>
    <row r="1585" spans="1:9" x14ac:dyDescent="0.2">
      <c r="A1585" s="549"/>
      <c r="C1585" s="548"/>
      <c r="D1585" s="550"/>
      <c r="E1585" s="550"/>
      <c r="F1585" s="550"/>
      <c r="G1585" s="550"/>
      <c r="H1585" s="551"/>
      <c r="I1585" s="550"/>
    </row>
    <row r="1586" spans="1:9" x14ac:dyDescent="0.2">
      <c r="A1586" s="549"/>
      <c r="C1586" s="548"/>
      <c r="D1586" s="550"/>
      <c r="E1586" s="550"/>
      <c r="F1586" s="550"/>
      <c r="G1586" s="550"/>
      <c r="H1586" s="551"/>
      <c r="I1586" s="550"/>
    </row>
    <row r="1587" spans="1:9" x14ac:dyDescent="0.2">
      <c r="A1587" s="549"/>
      <c r="C1587" s="548"/>
      <c r="D1587" s="550"/>
      <c r="E1587" s="550"/>
      <c r="F1587" s="550"/>
      <c r="G1587" s="550"/>
      <c r="H1587" s="551"/>
      <c r="I1587" s="550"/>
    </row>
    <row r="1588" spans="1:9" x14ac:dyDescent="0.2">
      <c r="A1588" s="549"/>
      <c r="C1588" s="548"/>
      <c r="D1588" s="550"/>
      <c r="E1588" s="550"/>
      <c r="F1588" s="550"/>
      <c r="G1588" s="550"/>
      <c r="H1588" s="551"/>
      <c r="I1588" s="550"/>
    </row>
    <row r="1589" spans="1:9" x14ac:dyDescent="0.2">
      <c r="A1589" s="549"/>
      <c r="C1589" s="548"/>
      <c r="D1589" s="550"/>
      <c r="E1589" s="550"/>
      <c r="F1589" s="550"/>
      <c r="G1589" s="550"/>
      <c r="H1589" s="551"/>
      <c r="I1589" s="550"/>
    </row>
    <row r="1590" spans="1:9" x14ac:dyDescent="0.2">
      <c r="A1590" s="549"/>
      <c r="C1590" s="548"/>
      <c r="D1590" s="550"/>
      <c r="E1590" s="550"/>
      <c r="F1590" s="550"/>
      <c r="G1590" s="550"/>
      <c r="H1590" s="551"/>
      <c r="I1590" s="550"/>
    </row>
    <row r="1591" spans="1:9" x14ac:dyDescent="0.2">
      <c r="A1591" s="549"/>
      <c r="C1591" s="548"/>
      <c r="D1591" s="550"/>
      <c r="E1591" s="550"/>
      <c r="F1591" s="550"/>
      <c r="G1591" s="550"/>
      <c r="H1591" s="551"/>
      <c r="I1591" s="550"/>
    </row>
    <row r="1592" spans="1:9" x14ac:dyDescent="0.2">
      <c r="A1592" s="549"/>
      <c r="C1592" s="548"/>
      <c r="D1592" s="550"/>
      <c r="E1592" s="550"/>
      <c r="F1592" s="550"/>
      <c r="G1592" s="550"/>
      <c r="H1592" s="551"/>
      <c r="I1592" s="550"/>
    </row>
    <row r="1593" spans="1:9" x14ac:dyDescent="0.2">
      <c r="A1593" s="549"/>
      <c r="C1593" s="548"/>
      <c r="D1593" s="550"/>
      <c r="E1593" s="550"/>
      <c r="F1593" s="550"/>
      <c r="G1593" s="550"/>
      <c r="H1593" s="551"/>
      <c r="I1593" s="550"/>
    </row>
    <row r="1594" spans="1:9" x14ac:dyDescent="0.2">
      <c r="A1594" s="549"/>
      <c r="C1594" s="548"/>
      <c r="D1594" s="550"/>
      <c r="E1594" s="550"/>
      <c r="F1594" s="550"/>
      <c r="G1594" s="550"/>
      <c r="H1594" s="551"/>
      <c r="I1594" s="550"/>
    </row>
    <row r="1595" spans="1:9" x14ac:dyDescent="0.2">
      <c r="A1595" s="549"/>
      <c r="C1595" s="548"/>
      <c r="D1595" s="550"/>
      <c r="E1595" s="550"/>
      <c r="F1595" s="550"/>
      <c r="G1595" s="550"/>
      <c r="H1595" s="551"/>
      <c r="I1595" s="550"/>
    </row>
    <row r="1596" spans="1:9" x14ac:dyDescent="0.2">
      <c r="A1596" s="549"/>
      <c r="C1596" s="548"/>
      <c r="D1596" s="550"/>
      <c r="E1596" s="550"/>
      <c r="F1596" s="550"/>
      <c r="G1596" s="550"/>
      <c r="H1596" s="551"/>
      <c r="I1596" s="550"/>
    </row>
    <row r="1597" spans="1:9" x14ac:dyDescent="0.2">
      <c r="A1597" s="549"/>
      <c r="C1597" s="548"/>
      <c r="D1597" s="550"/>
      <c r="E1597" s="550"/>
      <c r="F1597" s="550"/>
      <c r="G1597" s="550"/>
      <c r="H1597" s="551"/>
      <c r="I1597" s="550"/>
    </row>
    <row r="1598" spans="1:9" x14ac:dyDescent="0.2">
      <c r="A1598" s="549"/>
      <c r="C1598" s="548"/>
      <c r="D1598" s="550"/>
      <c r="E1598" s="550"/>
      <c r="F1598" s="550"/>
      <c r="G1598" s="550"/>
      <c r="H1598" s="551"/>
      <c r="I1598" s="550"/>
    </row>
    <row r="1599" spans="1:9" x14ac:dyDescent="0.2">
      <c r="A1599" s="549"/>
      <c r="C1599" s="548"/>
      <c r="D1599" s="550"/>
      <c r="E1599" s="550"/>
      <c r="F1599" s="550"/>
      <c r="G1599" s="550"/>
      <c r="H1599" s="551"/>
      <c r="I1599" s="550"/>
    </row>
    <row r="1600" spans="1:9" x14ac:dyDescent="0.2">
      <c r="A1600" s="549"/>
      <c r="C1600" s="548"/>
      <c r="D1600" s="550"/>
      <c r="E1600" s="550"/>
      <c r="F1600" s="550"/>
      <c r="G1600" s="550"/>
      <c r="H1600" s="551"/>
      <c r="I1600" s="550"/>
    </row>
    <row r="1601" spans="1:9" x14ac:dyDescent="0.2">
      <c r="A1601" s="549"/>
      <c r="C1601" s="548"/>
      <c r="D1601" s="550"/>
      <c r="E1601" s="550"/>
      <c r="F1601" s="550"/>
      <c r="G1601" s="550"/>
      <c r="H1601" s="551"/>
      <c r="I1601" s="550"/>
    </row>
    <row r="1602" spans="1:9" x14ac:dyDescent="0.2">
      <c r="A1602" s="549"/>
      <c r="C1602" s="548"/>
      <c r="D1602" s="550"/>
      <c r="E1602" s="550"/>
      <c r="F1602" s="550"/>
      <c r="G1602" s="550"/>
      <c r="H1602" s="551"/>
      <c r="I1602" s="550"/>
    </row>
    <row r="1603" spans="1:9" x14ac:dyDescent="0.2">
      <c r="A1603" s="549"/>
      <c r="C1603" s="548"/>
      <c r="D1603" s="550"/>
      <c r="E1603" s="550"/>
      <c r="F1603" s="550"/>
      <c r="G1603" s="550"/>
      <c r="H1603" s="551"/>
      <c r="I1603" s="550"/>
    </row>
    <row r="1604" spans="1:9" x14ac:dyDescent="0.2">
      <c r="A1604" s="549"/>
      <c r="C1604" s="548"/>
      <c r="D1604" s="550"/>
      <c r="E1604" s="550"/>
      <c r="F1604" s="550"/>
      <c r="G1604" s="550"/>
      <c r="H1604" s="551"/>
      <c r="I1604" s="550"/>
    </row>
    <row r="1605" spans="1:9" x14ac:dyDescent="0.2">
      <c r="A1605" s="549"/>
      <c r="C1605" s="548"/>
      <c r="D1605" s="550"/>
      <c r="E1605" s="550"/>
      <c r="F1605" s="550"/>
      <c r="G1605" s="550"/>
      <c r="H1605" s="551"/>
      <c r="I1605" s="550"/>
    </row>
    <row r="1606" spans="1:9" x14ac:dyDescent="0.2">
      <c r="A1606" s="549"/>
      <c r="C1606" s="548"/>
      <c r="D1606" s="550"/>
      <c r="E1606" s="550"/>
      <c r="F1606" s="550"/>
      <c r="G1606" s="550"/>
      <c r="H1606" s="551"/>
      <c r="I1606" s="550"/>
    </row>
    <row r="1607" spans="1:9" x14ac:dyDescent="0.2">
      <c r="A1607" s="549"/>
      <c r="C1607" s="548"/>
      <c r="D1607" s="550"/>
      <c r="E1607" s="550"/>
      <c r="F1607" s="550"/>
      <c r="G1607" s="550"/>
      <c r="H1607" s="551"/>
      <c r="I1607" s="550"/>
    </row>
    <row r="1608" spans="1:9" x14ac:dyDescent="0.2">
      <c r="A1608" s="549"/>
      <c r="C1608" s="548"/>
      <c r="D1608" s="550"/>
      <c r="E1608" s="550"/>
      <c r="F1608" s="550"/>
      <c r="G1608" s="550"/>
      <c r="H1608" s="551"/>
      <c r="I1608" s="550"/>
    </row>
    <row r="1609" spans="1:9" x14ac:dyDescent="0.2">
      <c r="A1609" s="549"/>
      <c r="C1609" s="548"/>
      <c r="D1609" s="550"/>
      <c r="E1609" s="550"/>
      <c r="F1609" s="550"/>
      <c r="G1609" s="550"/>
      <c r="H1609" s="551"/>
      <c r="I1609" s="550"/>
    </row>
    <row r="1610" spans="1:9" x14ac:dyDescent="0.2">
      <c r="A1610" s="549"/>
      <c r="C1610" s="548"/>
      <c r="D1610" s="550"/>
      <c r="E1610" s="550"/>
      <c r="F1610" s="550"/>
      <c r="G1610" s="550"/>
      <c r="H1610" s="551"/>
      <c r="I1610" s="550"/>
    </row>
    <row r="1611" spans="1:9" x14ac:dyDescent="0.2">
      <c r="A1611" s="549"/>
      <c r="C1611" s="548"/>
      <c r="D1611" s="550"/>
      <c r="E1611" s="550"/>
      <c r="F1611" s="550"/>
      <c r="G1611" s="550"/>
      <c r="H1611" s="551"/>
      <c r="I1611" s="550"/>
    </row>
    <row r="1612" spans="1:9" x14ac:dyDescent="0.2">
      <c r="A1612" s="549"/>
      <c r="C1612" s="548"/>
      <c r="D1612" s="550"/>
      <c r="E1612" s="550"/>
      <c r="F1612" s="550"/>
      <c r="G1612" s="550"/>
      <c r="H1612" s="551"/>
      <c r="I1612" s="550"/>
    </row>
    <row r="1613" spans="1:9" x14ac:dyDescent="0.2">
      <c r="A1613" s="549"/>
      <c r="C1613" s="548"/>
      <c r="D1613" s="550"/>
      <c r="E1613" s="550"/>
      <c r="F1613" s="550"/>
      <c r="G1613" s="550"/>
      <c r="H1613" s="551"/>
      <c r="I1613" s="550"/>
    </row>
    <row r="1614" spans="1:9" x14ac:dyDescent="0.2">
      <c r="A1614" s="549"/>
      <c r="C1614" s="548"/>
      <c r="D1614" s="550"/>
      <c r="E1614" s="550"/>
      <c r="F1614" s="550"/>
      <c r="G1614" s="550"/>
      <c r="H1614" s="551"/>
      <c r="I1614" s="550"/>
    </row>
    <row r="1615" spans="1:9" x14ac:dyDescent="0.2">
      <c r="A1615" s="549"/>
      <c r="C1615" s="548"/>
      <c r="D1615" s="550"/>
      <c r="E1615" s="550"/>
      <c r="F1615" s="550"/>
      <c r="G1615" s="550"/>
      <c r="H1615" s="551"/>
      <c r="I1615" s="550"/>
    </row>
    <row r="1616" spans="1:9" x14ac:dyDescent="0.2">
      <c r="A1616" s="549"/>
      <c r="C1616" s="548"/>
      <c r="D1616" s="550"/>
      <c r="E1616" s="550"/>
      <c r="F1616" s="550"/>
      <c r="G1616" s="550"/>
      <c r="H1616" s="551"/>
      <c r="I1616" s="550"/>
    </row>
    <row r="1617" spans="1:9" x14ac:dyDescent="0.2">
      <c r="A1617" s="549"/>
      <c r="C1617" s="548"/>
      <c r="D1617" s="550"/>
      <c r="E1617" s="550"/>
      <c r="F1617" s="550"/>
      <c r="G1617" s="550"/>
      <c r="H1617" s="551"/>
      <c r="I1617" s="550"/>
    </row>
    <row r="1618" spans="1:9" x14ac:dyDescent="0.2">
      <c r="A1618" s="549"/>
      <c r="C1618" s="548"/>
      <c r="D1618" s="550"/>
      <c r="E1618" s="550"/>
      <c r="F1618" s="550"/>
      <c r="G1618" s="550"/>
      <c r="H1618" s="551"/>
      <c r="I1618" s="550"/>
    </row>
    <row r="1619" spans="1:9" x14ac:dyDescent="0.2">
      <c r="A1619" s="549"/>
      <c r="C1619" s="548"/>
      <c r="D1619" s="550"/>
      <c r="E1619" s="550"/>
      <c r="F1619" s="550"/>
      <c r="G1619" s="550"/>
      <c r="H1619" s="551"/>
      <c r="I1619" s="550"/>
    </row>
    <row r="1620" spans="1:9" x14ac:dyDescent="0.2">
      <c r="A1620" s="549"/>
      <c r="C1620" s="548"/>
      <c r="D1620" s="550"/>
      <c r="E1620" s="550"/>
      <c r="F1620" s="550"/>
      <c r="G1620" s="550"/>
      <c r="H1620" s="551"/>
      <c r="I1620" s="550"/>
    </row>
    <row r="1621" spans="1:9" x14ac:dyDescent="0.2">
      <c r="A1621" s="549"/>
      <c r="C1621" s="548"/>
      <c r="D1621" s="550"/>
      <c r="E1621" s="550"/>
      <c r="F1621" s="550"/>
      <c r="G1621" s="550"/>
      <c r="H1621" s="551"/>
      <c r="I1621" s="550"/>
    </row>
    <row r="1622" spans="1:9" x14ac:dyDescent="0.2">
      <c r="A1622" s="549"/>
      <c r="C1622" s="548"/>
      <c r="D1622" s="550"/>
      <c r="E1622" s="550"/>
      <c r="F1622" s="550"/>
      <c r="G1622" s="550"/>
      <c r="H1622" s="551"/>
      <c r="I1622" s="550"/>
    </row>
    <row r="1623" spans="1:9" x14ac:dyDescent="0.2">
      <c r="A1623" s="549"/>
      <c r="C1623" s="548"/>
      <c r="D1623" s="550"/>
      <c r="E1623" s="550"/>
      <c r="F1623" s="550"/>
      <c r="G1623" s="550"/>
      <c r="H1623" s="551"/>
      <c r="I1623" s="550"/>
    </row>
    <row r="1624" spans="1:9" x14ac:dyDescent="0.2">
      <c r="A1624" s="549"/>
      <c r="C1624" s="548"/>
      <c r="D1624" s="550"/>
      <c r="E1624" s="550"/>
      <c r="F1624" s="550"/>
      <c r="G1624" s="550"/>
      <c r="H1624" s="551"/>
      <c r="I1624" s="550"/>
    </row>
    <row r="1625" spans="1:9" x14ac:dyDescent="0.2">
      <c r="A1625" s="549"/>
      <c r="C1625" s="548"/>
      <c r="D1625" s="550"/>
      <c r="E1625" s="550"/>
      <c r="F1625" s="550"/>
      <c r="G1625" s="550"/>
      <c r="H1625" s="551"/>
      <c r="I1625" s="550"/>
    </row>
    <row r="1626" spans="1:9" x14ac:dyDescent="0.2">
      <c r="A1626" s="549"/>
      <c r="C1626" s="548"/>
      <c r="D1626" s="550"/>
      <c r="E1626" s="550"/>
      <c r="F1626" s="550"/>
      <c r="G1626" s="550"/>
      <c r="H1626" s="551"/>
      <c r="I1626" s="550"/>
    </row>
    <row r="1627" spans="1:9" x14ac:dyDescent="0.2">
      <c r="A1627" s="549"/>
      <c r="C1627" s="548"/>
      <c r="D1627" s="550"/>
      <c r="E1627" s="550"/>
      <c r="F1627" s="550"/>
      <c r="G1627" s="550"/>
      <c r="H1627" s="551"/>
      <c r="I1627" s="550"/>
    </row>
    <row r="1628" spans="1:9" x14ac:dyDescent="0.2">
      <c r="A1628" s="549"/>
      <c r="C1628" s="548"/>
      <c r="D1628" s="550"/>
      <c r="E1628" s="550"/>
      <c r="F1628" s="550"/>
      <c r="G1628" s="550"/>
      <c r="H1628" s="551"/>
      <c r="I1628" s="550"/>
    </row>
    <row r="1629" spans="1:9" x14ac:dyDescent="0.2">
      <c r="A1629" s="549"/>
      <c r="C1629" s="548"/>
      <c r="D1629" s="550"/>
      <c r="E1629" s="550"/>
      <c r="F1629" s="550"/>
      <c r="G1629" s="550"/>
      <c r="H1629" s="551"/>
      <c r="I1629" s="550"/>
    </row>
    <row r="1630" spans="1:9" x14ac:dyDescent="0.2">
      <c r="A1630" s="549"/>
      <c r="C1630" s="548"/>
      <c r="D1630" s="550"/>
      <c r="E1630" s="550"/>
      <c r="F1630" s="550"/>
      <c r="G1630" s="550"/>
      <c r="H1630" s="551"/>
      <c r="I1630" s="550"/>
    </row>
    <row r="1631" spans="1:9" x14ac:dyDescent="0.2">
      <c r="A1631" s="549"/>
      <c r="C1631" s="548"/>
      <c r="D1631" s="550"/>
      <c r="E1631" s="550"/>
      <c r="F1631" s="550"/>
      <c r="G1631" s="550"/>
      <c r="H1631" s="551"/>
      <c r="I1631" s="550"/>
    </row>
    <row r="1632" spans="1:9" x14ac:dyDescent="0.2">
      <c r="A1632" s="549"/>
      <c r="C1632" s="548"/>
      <c r="D1632" s="550"/>
      <c r="E1632" s="550"/>
      <c r="F1632" s="550"/>
      <c r="G1632" s="550"/>
      <c r="H1632" s="551"/>
      <c r="I1632" s="550"/>
    </row>
    <row r="1633" spans="1:9" x14ac:dyDescent="0.2">
      <c r="A1633" s="549"/>
      <c r="C1633" s="548"/>
      <c r="D1633" s="550"/>
      <c r="E1633" s="550"/>
      <c r="F1633" s="550"/>
      <c r="G1633" s="550"/>
      <c r="H1633" s="551"/>
      <c r="I1633" s="550"/>
    </row>
    <row r="1634" spans="1:9" x14ac:dyDescent="0.2">
      <c r="A1634" s="549"/>
      <c r="C1634" s="548"/>
      <c r="D1634" s="550"/>
      <c r="E1634" s="550"/>
      <c r="F1634" s="550"/>
      <c r="G1634" s="550"/>
      <c r="H1634" s="551"/>
      <c r="I1634" s="550"/>
    </row>
    <row r="1635" spans="1:9" x14ac:dyDescent="0.2">
      <c r="A1635" s="549"/>
      <c r="C1635" s="548"/>
      <c r="D1635" s="550"/>
      <c r="E1635" s="550"/>
      <c r="F1635" s="550"/>
      <c r="G1635" s="550"/>
      <c r="H1635" s="551"/>
      <c r="I1635" s="550"/>
    </row>
    <row r="1636" spans="1:9" x14ac:dyDescent="0.2">
      <c r="A1636" s="549"/>
      <c r="C1636" s="548"/>
      <c r="D1636" s="550"/>
      <c r="E1636" s="550"/>
      <c r="F1636" s="550"/>
      <c r="G1636" s="550"/>
      <c r="H1636" s="551"/>
      <c r="I1636" s="550"/>
    </row>
    <row r="1637" spans="1:9" x14ac:dyDescent="0.2">
      <c r="A1637" s="549"/>
      <c r="C1637" s="548"/>
      <c r="D1637" s="550"/>
      <c r="E1637" s="550"/>
      <c r="F1637" s="550"/>
      <c r="G1637" s="550"/>
      <c r="H1637" s="551"/>
      <c r="I1637" s="550"/>
    </row>
    <row r="1638" spans="1:9" x14ac:dyDescent="0.2">
      <c r="A1638" s="549"/>
      <c r="C1638" s="548"/>
      <c r="D1638" s="550"/>
      <c r="E1638" s="550"/>
      <c r="F1638" s="550"/>
      <c r="G1638" s="550"/>
      <c r="H1638" s="551"/>
      <c r="I1638" s="550"/>
    </row>
    <row r="1639" spans="1:9" x14ac:dyDescent="0.2">
      <c r="A1639" s="549"/>
      <c r="C1639" s="548"/>
      <c r="D1639" s="550"/>
      <c r="E1639" s="550"/>
      <c r="F1639" s="550"/>
      <c r="G1639" s="550"/>
      <c r="H1639" s="551"/>
      <c r="I1639" s="550"/>
    </row>
    <row r="1640" spans="1:9" x14ac:dyDescent="0.2">
      <c r="A1640" s="549"/>
      <c r="C1640" s="548"/>
      <c r="D1640" s="550"/>
      <c r="E1640" s="550"/>
      <c r="F1640" s="550"/>
      <c r="G1640" s="550"/>
      <c r="H1640" s="551"/>
      <c r="I1640" s="550"/>
    </row>
    <row r="1641" spans="1:9" x14ac:dyDescent="0.2">
      <c r="A1641" s="549"/>
      <c r="C1641" s="548"/>
      <c r="D1641" s="550"/>
      <c r="E1641" s="550"/>
      <c r="F1641" s="550"/>
      <c r="G1641" s="550"/>
      <c r="H1641" s="551"/>
      <c r="I1641" s="550"/>
    </row>
    <row r="1642" spans="1:9" x14ac:dyDescent="0.2">
      <c r="A1642" s="549"/>
      <c r="C1642" s="548"/>
      <c r="D1642" s="550"/>
      <c r="E1642" s="550"/>
      <c r="F1642" s="550"/>
      <c r="G1642" s="550"/>
      <c r="H1642" s="551"/>
      <c r="I1642" s="550"/>
    </row>
    <row r="1643" spans="1:9" x14ac:dyDescent="0.2">
      <c r="A1643" s="549"/>
      <c r="C1643" s="548"/>
      <c r="D1643" s="550"/>
      <c r="E1643" s="550"/>
      <c r="F1643" s="550"/>
      <c r="G1643" s="550"/>
      <c r="H1643" s="551"/>
      <c r="I1643" s="550"/>
    </row>
    <row r="1644" spans="1:9" x14ac:dyDescent="0.2">
      <c r="A1644" s="549"/>
      <c r="C1644" s="548"/>
      <c r="D1644" s="550"/>
      <c r="E1644" s="550"/>
      <c r="F1644" s="550"/>
      <c r="G1644" s="550"/>
      <c r="H1644" s="551"/>
      <c r="I1644" s="550"/>
    </row>
    <row r="1645" spans="1:9" x14ac:dyDescent="0.2">
      <c r="A1645" s="549"/>
      <c r="C1645" s="548"/>
      <c r="D1645" s="550"/>
      <c r="E1645" s="550"/>
      <c r="F1645" s="550"/>
      <c r="G1645" s="550"/>
      <c r="H1645" s="551"/>
      <c r="I1645" s="550"/>
    </row>
    <row r="1646" spans="1:9" x14ac:dyDescent="0.2">
      <c r="A1646" s="549"/>
      <c r="C1646" s="548"/>
      <c r="D1646" s="550"/>
      <c r="E1646" s="550"/>
      <c r="F1646" s="550"/>
      <c r="G1646" s="550"/>
      <c r="H1646" s="551"/>
      <c r="I1646" s="550"/>
    </row>
    <row r="1647" spans="1:9" x14ac:dyDescent="0.2">
      <c r="A1647" s="549"/>
      <c r="C1647" s="548"/>
      <c r="D1647" s="550"/>
      <c r="E1647" s="550"/>
      <c r="F1647" s="550"/>
      <c r="G1647" s="550"/>
      <c r="H1647" s="551"/>
      <c r="I1647" s="550"/>
    </row>
    <row r="1648" spans="1:9" x14ac:dyDescent="0.2">
      <c r="A1648" s="549"/>
      <c r="C1648" s="548"/>
      <c r="D1648" s="550"/>
      <c r="E1648" s="550"/>
      <c r="F1648" s="550"/>
      <c r="G1648" s="550"/>
      <c r="H1648" s="551"/>
      <c r="I1648" s="550"/>
    </row>
    <row r="1649" spans="1:9" x14ac:dyDescent="0.2">
      <c r="A1649" s="549"/>
      <c r="C1649" s="548"/>
      <c r="D1649" s="550"/>
      <c r="E1649" s="550"/>
      <c r="F1649" s="550"/>
      <c r="G1649" s="550"/>
      <c r="H1649" s="551"/>
      <c r="I1649" s="550"/>
    </row>
    <row r="1650" spans="1:9" x14ac:dyDescent="0.2">
      <c r="A1650" s="549"/>
      <c r="C1650" s="548"/>
      <c r="D1650" s="550"/>
      <c r="E1650" s="550"/>
      <c r="F1650" s="550"/>
      <c r="G1650" s="550"/>
      <c r="H1650" s="551"/>
      <c r="I1650" s="550"/>
    </row>
    <row r="1651" spans="1:9" x14ac:dyDescent="0.2">
      <c r="A1651" s="549"/>
      <c r="C1651" s="548"/>
      <c r="D1651" s="550"/>
      <c r="E1651" s="550"/>
      <c r="F1651" s="550"/>
      <c r="G1651" s="550"/>
      <c r="H1651" s="551"/>
      <c r="I1651" s="550"/>
    </row>
    <row r="1652" spans="1:9" x14ac:dyDescent="0.2">
      <c r="A1652" s="549"/>
      <c r="C1652" s="548"/>
      <c r="D1652" s="550"/>
      <c r="E1652" s="550"/>
      <c r="F1652" s="550"/>
      <c r="G1652" s="550"/>
      <c r="H1652" s="551"/>
      <c r="I1652" s="550"/>
    </row>
    <row r="1653" spans="1:9" x14ac:dyDescent="0.2">
      <c r="A1653" s="549"/>
      <c r="C1653" s="548"/>
      <c r="D1653" s="550"/>
      <c r="E1653" s="550"/>
      <c r="F1653" s="550"/>
      <c r="G1653" s="550"/>
      <c r="H1653" s="551"/>
      <c r="I1653" s="550"/>
    </row>
    <row r="1654" spans="1:9" x14ac:dyDescent="0.2">
      <c r="A1654" s="549"/>
      <c r="C1654" s="548"/>
      <c r="D1654" s="550"/>
      <c r="E1654" s="550"/>
      <c r="F1654" s="550"/>
      <c r="G1654" s="550"/>
      <c r="H1654" s="551"/>
      <c r="I1654" s="550"/>
    </row>
    <row r="1655" spans="1:9" x14ac:dyDescent="0.2">
      <c r="A1655" s="549"/>
      <c r="C1655" s="548"/>
      <c r="D1655" s="550"/>
      <c r="E1655" s="550"/>
      <c r="F1655" s="550"/>
      <c r="G1655" s="550"/>
      <c r="H1655" s="551"/>
      <c r="I1655" s="550"/>
    </row>
    <row r="1656" spans="1:9" x14ac:dyDescent="0.2">
      <c r="A1656" s="549"/>
      <c r="C1656" s="548"/>
      <c r="D1656" s="550"/>
      <c r="E1656" s="550"/>
      <c r="F1656" s="550"/>
      <c r="G1656" s="550"/>
      <c r="H1656" s="551"/>
      <c r="I1656" s="550"/>
    </row>
    <row r="1657" spans="1:9" x14ac:dyDescent="0.2">
      <c r="A1657" s="549"/>
      <c r="C1657" s="548"/>
      <c r="D1657" s="550"/>
      <c r="E1657" s="550"/>
      <c r="F1657" s="550"/>
      <c r="G1657" s="550"/>
      <c r="H1657" s="551"/>
      <c r="I1657" s="550"/>
    </row>
    <row r="1658" spans="1:9" x14ac:dyDescent="0.2">
      <c r="A1658" s="549"/>
      <c r="C1658" s="548"/>
      <c r="D1658" s="550"/>
      <c r="E1658" s="550"/>
      <c r="F1658" s="550"/>
      <c r="G1658" s="550"/>
      <c r="H1658" s="551"/>
      <c r="I1658" s="550"/>
    </row>
    <row r="1659" spans="1:9" x14ac:dyDescent="0.2">
      <c r="A1659" s="549"/>
      <c r="C1659" s="548"/>
      <c r="D1659" s="550"/>
      <c r="E1659" s="550"/>
      <c r="F1659" s="550"/>
      <c r="G1659" s="550"/>
      <c r="H1659" s="551"/>
      <c r="I1659" s="550"/>
    </row>
    <row r="1660" spans="1:9" x14ac:dyDescent="0.2">
      <c r="A1660" s="549"/>
      <c r="C1660" s="548"/>
      <c r="D1660" s="550"/>
      <c r="E1660" s="550"/>
      <c r="F1660" s="550"/>
      <c r="G1660" s="550"/>
      <c r="H1660" s="551"/>
      <c r="I1660" s="550"/>
    </row>
    <row r="1661" spans="1:9" x14ac:dyDescent="0.2">
      <c r="A1661" s="549"/>
      <c r="C1661" s="548"/>
      <c r="D1661" s="550"/>
      <c r="E1661" s="550"/>
      <c r="F1661" s="550"/>
      <c r="G1661" s="550"/>
      <c r="H1661" s="551"/>
      <c r="I1661" s="550"/>
    </row>
    <row r="1662" spans="1:9" x14ac:dyDescent="0.2">
      <c r="A1662" s="549"/>
      <c r="C1662" s="548"/>
      <c r="D1662" s="550"/>
      <c r="E1662" s="550"/>
      <c r="F1662" s="550"/>
      <c r="G1662" s="550"/>
      <c r="H1662" s="551"/>
      <c r="I1662" s="550"/>
    </row>
    <row r="1663" spans="1:9" x14ac:dyDescent="0.2">
      <c r="A1663" s="549"/>
      <c r="C1663" s="548"/>
      <c r="D1663" s="550"/>
      <c r="E1663" s="550"/>
      <c r="F1663" s="550"/>
      <c r="G1663" s="550"/>
      <c r="H1663" s="551"/>
      <c r="I1663" s="550"/>
    </row>
    <row r="1664" spans="1:9" x14ac:dyDescent="0.2">
      <c r="A1664" s="549"/>
      <c r="C1664" s="548"/>
      <c r="D1664" s="550"/>
      <c r="E1664" s="550"/>
      <c r="F1664" s="550"/>
      <c r="G1664" s="550"/>
      <c r="H1664" s="551"/>
      <c r="I1664" s="550"/>
    </row>
    <row r="1665" spans="1:9" x14ac:dyDescent="0.2">
      <c r="A1665" s="549"/>
      <c r="C1665" s="548"/>
      <c r="D1665" s="550"/>
      <c r="E1665" s="550"/>
      <c r="F1665" s="550"/>
      <c r="G1665" s="550"/>
      <c r="H1665" s="551"/>
      <c r="I1665" s="550"/>
    </row>
    <row r="1666" spans="1:9" x14ac:dyDescent="0.2">
      <c r="A1666" s="549"/>
      <c r="C1666" s="548"/>
      <c r="D1666" s="550"/>
      <c r="E1666" s="550"/>
      <c r="F1666" s="550"/>
      <c r="G1666" s="550"/>
      <c r="H1666" s="551"/>
      <c r="I1666" s="550"/>
    </row>
    <row r="1667" spans="1:9" x14ac:dyDescent="0.2">
      <c r="A1667" s="549"/>
      <c r="C1667" s="548"/>
      <c r="D1667" s="550"/>
      <c r="E1667" s="550"/>
      <c r="F1667" s="550"/>
      <c r="G1667" s="550"/>
      <c r="H1667" s="551"/>
      <c r="I1667" s="550"/>
    </row>
    <row r="1668" spans="1:9" x14ac:dyDescent="0.2">
      <c r="A1668" s="549"/>
      <c r="C1668" s="548"/>
      <c r="D1668" s="550"/>
      <c r="E1668" s="550"/>
      <c r="F1668" s="550"/>
      <c r="G1668" s="550"/>
      <c r="H1668" s="551"/>
      <c r="I1668" s="550"/>
    </row>
    <row r="1669" spans="1:9" x14ac:dyDescent="0.2">
      <c r="A1669" s="549"/>
      <c r="C1669" s="548"/>
      <c r="D1669" s="550"/>
      <c r="E1669" s="550"/>
      <c r="F1669" s="550"/>
      <c r="G1669" s="550"/>
      <c r="H1669" s="551"/>
      <c r="I1669" s="550"/>
    </row>
    <row r="1670" spans="1:9" x14ac:dyDescent="0.2">
      <c r="A1670" s="549"/>
      <c r="C1670" s="548"/>
      <c r="D1670" s="550"/>
      <c r="E1670" s="550"/>
      <c r="F1670" s="550"/>
      <c r="G1670" s="550"/>
      <c r="H1670" s="551"/>
      <c r="I1670" s="550"/>
    </row>
    <row r="1671" spans="1:9" x14ac:dyDescent="0.2">
      <c r="A1671" s="549"/>
      <c r="C1671" s="548"/>
      <c r="D1671" s="550"/>
      <c r="E1671" s="550"/>
      <c r="F1671" s="550"/>
      <c r="G1671" s="550"/>
      <c r="H1671" s="551"/>
      <c r="I1671" s="550"/>
    </row>
    <row r="1672" spans="1:9" x14ac:dyDescent="0.2">
      <c r="A1672" s="549"/>
      <c r="C1672" s="548"/>
      <c r="D1672" s="550"/>
      <c r="E1672" s="550"/>
      <c r="F1672" s="550"/>
      <c r="G1672" s="550"/>
      <c r="H1672" s="551"/>
      <c r="I1672" s="550"/>
    </row>
    <row r="1673" spans="1:9" x14ac:dyDescent="0.2">
      <c r="A1673" s="549"/>
      <c r="C1673" s="548"/>
      <c r="D1673" s="550"/>
      <c r="E1673" s="550"/>
      <c r="F1673" s="550"/>
      <c r="G1673" s="550"/>
      <c r="H1673" s="551"/>
      <c r="I1673" s="550"/>
    </row>
    <row r="1674" spans="1:9" x14ac:dyDescent="0.2">
      <c r="A1674" s="549"/>
      <c r="C1674" s="548"/>
      <c r="D1674" s="550"/>
      <c r="E1674" s="550"/>
      <c r="F1674" s="550"/>
      <c r="G1674" s="550"/>
      <c r="H1674" s="551"/>
      <c r="I1674" s="550"/>
    </row>
    <row r="1675" spans="1:9" x14ac:dyDescent="0.2">
      <c r="A1675" s="549"/>
      <c r="C1675" s="548"/>
      <c r="D1675" s="550"/>
      <c r="E1675" s="550"/>
      <c r="F1675" s="550"/>
      <c r="G1675" s="550"/>
      <c r="H1675" s="551"/>
      <c r="I1675" s="550"/>
    </row>
    <row r="1676" spans="1:9" x14ac:dyDescent="0.2">
      <c r="A1676" s="549"/>
      <c r="C1676" s="548"/>
      <c r="D1676" s="550"/>
      <c r="E1676" s="550"/>
      <c r="F1676" s="550"/>
      <c r="G1676" s="550"/>
      <c r="H1676" s="551"/>
      <c r="I1676" s="550"/>
    </row>
    <row r="1677" spans="1:9" x14ac:dyDescent="0.2">
      <c r="A1677" s="549"/>
      <c r="C1677" s="548"/>
      <c r="D1677" s="550"/>
      <c r="E1677" s="550"/>
      <c r="F1677" s="550"/>
      <c r="G1677" s="550"/>
      <c r="H1677" s="551"/>
      <c r="I1677" s="550"/>
    </row>
    <row r="1678" spans="1:9" x14ac:dyDescent="0.2">
      <c r="A1678" s="549"/>
      <c r="C1678" s="548"/>
      <c r="D1678" s="550"/>
      <c r="E1678" s="550"/>
      <c r="F1678" s="550"/>
      <c r="G1678" s="550"/>
      <c r="H1678" s="551"/>
      <c r="I1678" s="550"/>
    </row>
    <row r="1679" spans="1:9" x14ac:dyDescent="0.2">
      <c r="A1679" s="549"/>
      <c r="C1679" s="548"/>
      <c r="D1679" s="550"/>
      <c r="E1679" s="550"/>
      <c r="F1679" s="550"/>
      <c r="G1679" s="550"/>
      <c r="H1679" s="551"/>
      <c r="I1679" s="550"/>
    </row>
    <row r="1680" spans="1:9" x14ac:dyDescent="0.2">
      <c r="A1680" s="549"/>
      <c r="C1680" s="548"/>
      <c r="D1680" s="550"/>
      <c r="E1680" s="550"/>
      <c r="F1680" s="550"/>
      <c r="G1680" s="550"/>
      <c r="H1680" s="551"/>
      <c r="I1680" s="550"/>
    </row>
    <row r="1681" spans="1:9" x14ac:dyDescent="0.2">
      <c r="A1681" s="549"/>
      <c r="C1681" s="548"/>
      <c r="D1681" s="550"/>
      <c r="E1681" s="550"/>
      <c r="F1681" s="550"/>
      <c r="G1681" s="550"/>
      <c r="H1681" s="551"/>
      <c r="I1681" s="550"/>
    </row>
    <row r="1682" spans="1:9" x14ac:dyDescent="0.2">
      <c r="A1682" s="549"/>
      <c r="C1682" s="548"/>
      <c r="D1682" s="550"/>
      <c r="E1682" s="550"/>
      <c r="F1682" s="550"/>
      <c r="G1682" s="550"/>
      <c r="H1682" s="551"/>
      <c r="I1682" s="550"/>
    </row>
    <row r="1683" spans="1:9" x14ac:dyDescent="0.2">
      <c r="A1683" s="549"/>
      <c r="C1683" s="548"/>
      <c r="D1683" s="550"/>
      <c r="E1683" s="550"/>
      <c r="F1683" s="550"/>
      <c r="G1683" s="550"/>
      <c r="H1683" s="551"/>
      <c r="I1683" s="550"/>
    </row>
    <row r="1684" spans="1:9" x14ac:dyDescent="0.2">
      <c r="A1684" s="549"/>
      <c r="C1684" s="548"/>
      <c r="D1684" s="550"/>
      <c r="E1684" s="550"/>
      <c r="F1684" s="550"/>
      <c r="G1684" s="550"/>
      <c r="H1684" s="551"/>
      <c r="I1684" s="550"/>
    </row>
    <row r="1685" spans="1:9" x14ac:dyDescent="0.2">
      <c r="A1685" s="549"/>
      <c r="C1685" s="548"/>
      <c r="D1685" s="550"/>
      <c r="E1685" s="550"/>
      <c r="F1685" s="550"/>
      <c r="G1685" s="550"/>
      <c r="H1685" s="551"/>
      <c r="I1685" s="550"/>
    </row>
    <row r="1686" spans="1:9" x14ac:dyDescent="0.2">
      <c r="A1686" s="549"/>
      <c r="C1686" s="548"/>
      <c r="D1686" s="550"/>
      <c r="E1686" s="550"/>
      <c r="F1686" s="550"/>
      <c r="G1686" s="550"/>
      <c r="H1686" s="551"/>
      <c r="I1686" s="550"/>
    </row>
    <row r="1687" spans="1:9" x14ac:dyDescent="0.2">
      <c r="A1687" s="549"/>
      <c r="C1687" s="548"/>
      <c r="D1687" s="550"/>
      <c r="E1687" s="550"/>
      <c r="F1687" s="550"/>
      <c r="G1687" s="550"/>
      <c r="H1687" s="551"/>
      <c r="I1687" s="550"/>
    </row>
    <row r="1688" spans="1:9" x14ac:dyDescent="0.2">
      <c r="A1688" s="549"/>
      <c r="C1688" s="548"/>
      <c r="D1688" s="550"/>
      <c r="E1688" s="550"/>
      <c r="F1688" s="550"/>
      <c r="G1688" s="550"/>
      <c r="H1688" s="551"/>
      <c r="I1688" s="550"/>
    </row>
    <row r="1689" spans="1:9" x14ac:dyDescent="0.2">
      <c r="A1689" s="549"/>
      <c r="C1689" s="548"/>
      <c r="D1689" s="550"/>
      <c r="E1689" s="550"/>
      <c r="F1689" s="550"/>
      <c r="G1689" s="550"/>
      <c r="H1689" s="551"/>
      <c r="I1689" s="550"/>
    </row>
    <row r="1690" spans="1:9" x14ac:dyDescent="0.2">
      <c r="A1690" s="549"/>
      <c r="C1690" s="548"/>
      <c r="D1690" s="550"/>
      <c r="E1690" s="550"/>
      <c r="F1690" s="550"/>
      <c r="G1690" s="550"/>
      <c r="H1690" s="551"/>
      <c r="I1690" s="550"/>
    </row>
    <row r="1691" spans="1:9" x14ac:dyDescent="0.2">
      <c r="A1691" s="549"/>
      <c r="C1691" s="548"/>
      <c r="D1691" s="550"/>
      <c r="E1691" s="550"/>
      <c r="F1691" s="550"/>
      <c r="G1691" s="550"/>
      <c r="H1691" s="551"/>
      <c r="I1691" s="550"/>
    </row>
    <row r="1692" spans="1:9" x14ac:dyDescent="0.2">
      <c r="A1692" s="549"/>
      <c r="C1692" s="548"/>
      <c r="D1692" s="550"/>
      <c r="E1692" s="550"/>
      <c r="F1692" s="550"/>
      <c r="G1692" s="550"/>
      <c r="H1692" s="551"/>
      <c r="I1692" s="550"/>
    </row>
    <row r="1693" spans="1:9" x14ac:dyDescent="0.2">
      <c r="A1693" s="549"/>
      <c r="C1693" s="548"/>
      <c r="D1693" s="550"/>
      <c r="E1693" s="550"/>
      <c r="F1693" s="550"/>
      <c r="G1693" s="550"/>
      <c r="H1693" s="551"/>
      <c r="I1693" s="550"/>
    </row>
    <row r="1694" spans="1:9" x14ac:dyDescent="0.2">
      <c r="A1694" s="549"/>
      <c r="C1694" s="548"/>
      <c r="D1694" s="550"/>
      <c r="E1694" s="550"/>
      <c r="F1694" s="550"/>
      <c r="G1694" s="550"/>
      <c r="H1694" s="551"/>
      <c r="I1694" s="550"/>
    </row>
    <row r="1695" spans="1:9" x14ac:dyDescent="0.2">
      <c r="A1695" s="549"/>
      <c r="C1695" s="548"/>
      <c r="D1695" s="550"/>
      <c r="E1695" s="550"/>
      <c r="F1695" s="550"/>
      <c r="G1695" s="550"/>
      <c r="H1695" s="551"/>
      <c r="I1695" s="550"/>
    </row>
    <row r="1696" spans="1:9" x14ac:dyDescent="0.2">
      <c r="A1696" s="549"/>
      <c r="C1696" s="548"/>
      <c r="D1696" s="550"/>
      <c r="E1696" s="550"/>
      <c r="F1696" s="550"/>
      <c r="G1696" s="550"/>
      <c r="H1696" s="551"/>
      <c r="I1696" s="550"/>
    </row>
    <row r="1697" spans="1:9" x14ac:dyDescent="0.2">
      <c r="A1697" s="549"/>
      <c r="C1697" s="548"/>
      <c r="D1697" s="550"/>
      <c r="E1697" s="550"/>
      <c r="F1697" s="550"/>
      <c r="G1697" s="550"/>
      <c r="H1697" s="551"/>
      <c r="I1697" s="550"/>
    </row>
    <row r="1698" spans="1:9" x14ac:dyDescent="0.2">
      <c r="A1698" s="549"/>
      <c r="C1698" s="548"/>
      <c r="D1698" s="550"/>
      <c r="E1698" s="550"/>
      <c r="F1698" s="550"/>
      <c r="G1698" s="550"/>
      <c r="H1698" s="551"/>
      <c r="I1698" s="550"/>
    </row>
    <row r="1699" spans="1:9" x14ac:dyDescent="0.2">
      <c r="A1699" s="549"/>
      <c r="C1699" s="548"/>
      <c r="D1699" s="550"/>
      <c r="E1699" s="550"/>
      <c r="F1699" s="550"/>
      <c r="G1699" s="550"/>
      <c r="H1699" s="551"/>
      <c r="I1699" s="550"/>
    </row>
    <row r="1700" spans="1:9" x14ac:dyDescent="0.2">
      <c r="A1700" s="549"/>
      <c r="C1700" s="548"/>
      <c r="D1700" s="550"/>
      <c r="E1700" s="550"/>
      <c r="F1700" s="550"/>
      <c r="G1700" s="550"/>
      <c r="H1700" s="551"/>
      <c r="I1700" s="550"/>
    </row>
    <row r="1701" spans="1:9" x14ac:dyDescent="0.2">
      <c r="A1701" s="549"/>
      <c r="C1701" s="548"/>
      <c r="D1701" s="550"/>
      <c r="E1701" s="550"/>
      <c r="F1701" s="550"/>
      <c r="G1701" s="550"/>
      <c r="H1701" s="551"/>
      <c r="I1701" s="550"/>
    </row>
    <row r="1702" spans="1:9" x14ac:dyDescent="0.2">
      <c r="A1702" s="549"/>
      <c r="C1702" s="548"/>
      <c r="D1702" s="550"/>
      <c r="E1702" s="550"/>
      <c r="F1702" s="550"/>
      <c r="G1702" s="550"/>
      <c r="H1702" s="551"/>
      <c r="I1702" s="550"/>
    </row>
    <row r="1703" spans="1:9" x14ac:dyDescent="0.2">
      <c r="A1703" s="549"/>
      <c r="C1703" s="548"/>
      <c r="D1703" s="550"/>
      <c r="E1703" s="550"/>
      <c r="F1703" s="550"/>
      <c r="G1703" s="550"/>
      <c r="H1703" s="551"/>
      <c r="I1703" s="550"/>
    </row>
    <row r="1704" spans="1:9" x14ac:dyDescent="0.2">
      <c r="A1704" s="549"/>
      <c r="C1704" s="548"/>
      <c r="D1704" s="550"/>
      <c r="E1704" s="550"/>
      <c r="F1704" s="550"/>
      <c r="G1704" s="550"/>
      <c r="H1704" s="551"/>
      <c r="I1704" s="550"/>
    </row>
    <row r="1705" spans="1:9" x14ac:dyDescent="0.2">
      <c r="A1705" s="549"/>
      <c r="C1705" s="548"/>
      <c r="D1705" s="550"/>
      <c r="E1705" s="550"/>
      <c r="F1705" s="550"/>
      <c r="G1705" s="550"/>
      <c r="H1705" s="551"/>
      <c r="I1705" s="550"/>
    </row>
    <row r="1706" spans="1:9" x14ac:dyDescent="0.2">
      <c r="A1706" s="549"/>
      <c r="C1706" s="548"/>
      <c r="D1706" s="550"/>
      <c r="E1706" s="550"/>
      <c r="F1706" s="550"/>
      <c r="G1706" s="550"/>
      <c r="H1706" s="551"/>
      <c r="I1706" s="550"/>
    </row>
    <row r="1707" spans="1:9" x14ac:dyDescent="0.2">
      <c r="A1707" s="549"/>
      <c r="C1707" s="548"/>
      <c r="D1707" s="550"/>
      <c r="E1707" s="550"/>
      <c r="F1707" s="550"/>
      <c r="G1707" s="550"/>
      <c r="H1707" s="551"/>
      <c r="I1707" s="550"/>
    </row>
    <row r="1708" spans="1:9" x14ac:dyDescent="0.2">
      <c r="A1708" s="549"/>
      <c r="C1708" s="548"/>
      <c r="D1708" s="550"/>
      <c r="E1708" s="550"/>
      <c r="F1708" s="550"/>
      <c r="G1708" s="550"/>
      <c r="H1708" s="551"/>
      <c r="I1708" s="550"/>
    </row>
    <row r="1709" spans="1:9" x14ac:dyDescent="0.2">
      <c r="A1709" s="549"/>
      <c r="C1709" s="548"/>
      <c r="D1709" s="550"/>
      <c r="E1709" s="550"/>
      <c r="F1709" s="550"/>
      <c r="G1709" s="550"/>
      <c r="H1709" s="551"/>
      <c r="I1709" s="550"/>
    </row>
    <row r="1710" spans="1:9" x14ac:dyDescent="0.2">
      <c r="A1710" s="549"/>
      <c r="C1710" s="548"/>
      <c r="D1710" s="550"/>
      <c r="E1710" s="550"/>
      <c r="F1710" s="550"/>
      <c r="G1710" s="550"/>
      <c r="H1710" s="551"/>
      <c r="I1710" s="550"/>
    </row>
    <row r="1711" spans="1:9" x14ac:dyDescent="0.2">
      <c r="A1711" s="549"/>
      <c r="C1711" s="548"/>
      <c r="D1711" s="550"/>
      <c r="E1711" s="550"/>
      <c r="F1711" s="550"/>
      <c r="G1711" s="550"/>
      <c r="H1711" s="551"/>
      <c r="I1711" s="550"/>
    </row>
    <row r="1712" spans="1:9" x14ac:dyDescent="0.2">
      <c r="A1712" s="549"/>
      <c r="C1712" s="548"/>
      <c r="D1712" s="550"/>
      <c r="E1712" s="550"/>
      <c r="F1712" s="550"/>
      <c r="G1712" s="550"/>
      <c r="H1712" s="551"/>
      <c r="I1712" s="550"/>
    </row>
    <row r="1713" spans="1:9" x14ac:dyDescent="0.2">
      <c r="A1713" s="549"/>
      <c r="C1713" s="548"/>
      <c r="D1713" s="550"/>
      <c r="E1713" s="550"/>
      <c r="F1713" s="550"/>
      <c r="G1713" s="550"/>
      <c r="H1713" s="551"/>
      <c r="I1713" s="550"/>
    </row>
    <row r="1714" spans="1:9" x14ac:dyDescent="0.2">
      <c r="A1714" s="549"/>
      <c r="C1714" s="548"/>
      <c r="D1714" s="550"/>
      <c r="E1714" s="550"/>
      <c r="F1714" s="550"/>
      <c r="G1714" s="550"/>
      <c r="H1714" s="551"/>
      <c r="I1714" s="550"/>
    </row>
    <row r="1715" spans="1:9" x14ac:dyDescent="0.2">
      <c r="A1715" s="549"/>
      <c r="C1715" s="548"/>
      <c r="D1715" s="550"/>
      <c r="E1715" s="550"/>
      <c r="F1715" s="550"/>
      <c r="G1715" s="550"/>
      <c r="H1715" s="551"/>
      <c r="I1715" s="550"/>
    </row>
    <row r="1716" spans="1:9" x14ac:dyDescent="0.2">
      <c r="A1716" s="549"/>
      <c r="C1716" s="548"/>
      <c r="D1716" s="550"/>
      <c r="E1716" s="550"/>
      <c r="F1716" s="550"/>
      <c r="G1716" s="550"/>
      <c r="H1716" s="551"/>
      <c r="I1716" s="550"/>
    </row>
    <row r="1717" spans="1:9" x14ac:dyDescent="0.2">
      <c r="A1717" s="549"/>
      <c r="C1717" s="548"/>
      <c r="D1717" s="550"/>
      <c r="E1717" s="550"/>
      <c r="F1717" s="550"/>
      <c r="G1717" s="550"/>
      <c r="H1717" s="551"/>
      <c r="I1717" s="550"/>
    </row>
    <row r="1718" spans="1:9" x14ac:dyDescent="0.2">
      <c r="A1718" s="549"/>
      <c r="C1718" s="548"/>
      <c r="D1718" s="550"/>
      <c r="E1718" s="550"/>
      <c r="F1718" s="550"/>
      <c r="G1718" s="550"/>
      <c r="H1718" s="551"/>
      <c r="I1718" s="550"/>
    </row>
    <row r="1719" spans="1:9" x14ac:dyDescent="0.2">
      <c r="A1719" s="549"/>
      <c r="C1719" s="548"/>
      <c r="D1719" s="550"/>
      <c r="E1719" s="550"/>
      <c r="F1719" s="550"/>
      <c r="G1719" s="550"/>
      <c r="H1719" s="551"/>
      <c r="I1719" s="550"/>
    </row>
    <row r="1720" spans="1:9" x14ac:dyDescent="0.2">
      <c r="A1720" s="549"/>
      <c r="C1720" s="548"/>
      <c r="D1720" s="550"/>
      <c r="E1720" s="550"/>
      <c r="F1720" s="550"/>
      <c r="G1720" s="550"/>
      <c r="H1720" s="551"/>
      <c r="I1720" s="550"/>
    </row>
    <row r="1721" spans="1:9" x14ac:dyDescent="0.2">
      <c r="A1721" s="549"/>
      <c r="C1721" s="548"/>
      <c r="D1721" s="550"/>
      <c r="E1721" s="550"/>
      <c r="F1721" s="550"/>
      <c r="G1721" s="550"/>
      <c r="H1721" s="551"/>
      <c r="I1721" s="550"/>
    </row>
    <row r="1722" spans="1:9" x14ac:dyDescent="0.2">
      <c r="A1722" s="549"/>
      <c r="C1722" s="548"/>
      <c r="D1722" s="550"/>
      <c r="E1722" s="550"/>
      <c r="F1722" s="550"/>
      <c r="G1722" s="550"/>
      <c r="H1722" s="551"/>
      <c r="I1722" s="550"/>
    </row>
    <row r="1723" spans="1:9" x14ac:dyDescent="0.2">
      <c r="A1723" s="549"/>
      <c r="C1723" s="548"/>
      <c r="D1723" s="550"/>
      <c r="E1723" s="550"/>
      <c r="F1723" s="550"/>
      <c r="G1723" s="550"/>
      <c r="H1723" s="551"/>
      <c r="I1723" s="550"/>
    </row>
    <row r="1724" spans="1:9" x14ac:dyDescent="0.2">
      <c r="A1724" s="549"/>
      <c r="C1724" s="548"/>
      <c r="D1724" s="550"/>
      <c r="E1724" s="550"/>
      <c r="F1724" s="550"/>
      <c r="G1724" s="550"/>
      <c r="H1724" s="551"/>
      <c r="I1724" s="550"/>
    </row>
    <row r="1725" spans="1:9" x14ac:dyDescent="0.2">
      <c r="A1725" s="549"/>
      <c r="C1725" s="548"/>
      <c r="D1725" s="550"/>
      <c r="E1725" s="550"/>
      <c r="F1725" s="550"/>
      <c r="G1725" s="550"/>
      <c r="H1725" s="551"/>
      <c r="I1725" s="550"/>
    </row>
    <row r="1726" spans="1:9" x14ac:dyDescent="0.2">
      <c r="A1726" s="549"/>
      <c r="C1726" s="548"/>
      <c r="D1726" s="550"/>
      <c r="E1726" s="550"/>
      <c r="F1726" s="550"/>
      <c r="G1726" s="550"/>
      <c r="H1726" s="551"/>
      <c r="I1726" s="550"/>
    </row>
    <row r="1727" spans="1:9" x14ac:dyDescent="0.2">
      <c r="A1727" s="549"/>
      <c r="C1727" s="548"/>
      <c r="D1727" s="550"/>
      <c r="E1727" s="550"/>
      <c r="F1727" s="550"/>
      <c r="G1727" s="550"/>
      <c r="H1727" s="551"/>
      <c r="I1727" s="550"/>
    </row>
    <row r="1728" spans="1:9" x14ac:dyDescent="0.2">
      <c r="A1728" s="549"/>
      <c r="C1728" s="548"/>
      <c r="D1728" s="550"/>
      <c r="E1728" s="550"/>
      <c r="F1728" s="550"/>
      <c r="G1728" s="550"/>
      <c r="H1728" s="551"/>
      <c r="I1728" s="550"/>
    </row>
    <row r="1729" spans="1:9" x14ac:dyDescent="0.2">
      <c r="A1729" s="549"/>
      <c r="C1729" s="548"/>
      <c r="D1729" s="550"/>
      <c r="E1729" s="550"/>
      <c r="F1729" s="550"/>
      <c r="G1729" s="550"/>
      <c r="H1729" s="551"/>
      <c r="I1729" s="550"/>
    </row>
    <row r="1730" spans="1:9" x14ac:dyDescent="0.2">
      <c r="A1730" s="549"/>
      <c r="C1730" s="548"/>
      <c r="D1730" s="550"/>
      <c r="E1730" s="550"/>
      <c r="F1730" s="550"/>
      <c r="G1730" s="550"/>
      <c r="H1730" s="551"/>
      <c r="I1730" s="550"/>
    </row>
    <row r="1731" spans="1:9" x14ac:dyDescent="0.2">
      <c r="A1731" s="549"/>
      <c r="C1731" s="548"/>
      <c r="D1731" s="550"/>
      <c r="E1731" s="550"/>
      <c r="F1731" s="550"/>
      <c r="G1731" s="550"/>
      <c r="H1731" s="551"/>
      <c r="I1731" s="550"/>
    </row>
    <row r="1732" spans="1:9" x14ac:dyDescent="0.2">
      <c r="A1732" s="549"/>
      <c r="C1732" s="548"/>
      <c r="D1732" s="550"/>
      <c r="E1732" s="550"/>
      <c r="F1732" s="550"/>
      <c r="G1732" s="550"/>
      <c r="H1732" s="551"/>
      <c r="I1732" s="550"/>
    </row>
    <row r="1733" spans="1:9" x14ac:dyDescent="0.2">
      <c r="A1733" s="549"/>
      <c r="C1733" s="548"/>
      <c r="D1733" s="550"/>
      <c r="E1733" s="550"/>
      <c r="F1733" s="550"/>
      <c r="G1733" s="550"/>
      <c r="H1733" s="551"/>
      <c r="I1733" s="550"/>
    </row>
    <row r="1734" spans="1:9" x14ac:dyDescent="0.2">
      <c r="A1734" s="549"/>
      <c r="C1734" s="548"/>
      <c r="D1734" s="550"/>
      <c r="E1734" s="550"/>
      <c r="F1734" s="550"/>
      <c r="G1734" s="550"/>
      <c r="H1734" s="551"/>
      <c r="I1734" s="550"/>
    </row>
    <row r="1735" spans="1:9" x14ac:dyDescent="0.2">
      <c r="A1735" s="549"/>
      <c r="C1735" s="548"/>
      <c r="D1735" s="550"/>
      <c r="E1735" s="550"/>
      <c r="F1735" s="550"/>
      <c r="G1735" s="550"/>
      <c r="H1735" s="551"/>
      <c r="I1735" s="550"/>
    </row>
    <row r="1736" spans="1:9" x14ac:dyDescent="0.2">
      <c r="A1736" s="549"/>
      <c r="C1736" s="548"/>
      <c r="D1736" s="550"/>
      <c r="E1736" s="550"/>
      <c r="F1736" s="550"/>
      <c r="G1736" s="550"/>
      <c r="H1736" s="551"/>
      <c r="I1736" s="550"/>
    </row>
    <row r="1737" spans="1:9" x14ac:dyDescent="0.2">
      <c r="A1737" s="549"/>
      <c r="C1737" s="548"/>
      <c r="D1737" s="550"/>
      <c r="E1737" s="550"/>
      <c r="F1737" s="550"/>
      <c r="G1737" s="550"/>
      <c r="H1737" s="551"/>
      <c r="I1737" s="550"/>
    </row>
    <row r="1738" spans="1:9" x14ac:dyDescent="0.2">
      <c r="A1738" s="549"/>
      <c r="C1738" s="548"/>
      <c r="D1738" s="550"/>
      <c r="E1738" s="550"/>
      <c r="F1738" s="550"/>
      <c r="G1738" s="550"/>
      <c r="H1738" s="551"/>
      <c r="I1738" s="550"/>
    </row>
    <row r="1739" spans="1:9" x14ac:dyDescent="0.2">
      <c r="A1739" s="549"/>
      <c r="C1739" s="548"/>
      <c r="D1739" s="550"/>
      <c r="E1739" s="550"/>
      <c r="F1739" s="550"/>
      <c r="G1739" s="550"/>
      <c r="H1739" s="551"/>
      <c r="I1739" s="550"/>
    </row>
    <row r="1740" spans="1:9" x14ac:dyDescent="0.2">
      <c r="A1740" s="549"/>
      <c r="C1740" s="548"/>
      <c r="D1740" s="550"/>
      <c r="E1740" s="550"/>
      <c r="F1740" s="550"/>
      <c r="G1740" s="550"/>
      <c r="H1740" s="551"/>
      <c r="I1740" s="550"/>
    </row>
    <row r="1741" spans="1:9" x14ac:dyDescent="0.2">
      <c r="A1741" s="549"/>
      <c r="C1741" s="548"/>
      <c r="D1741" s="550"/>
      <c r="E1741" s="550"/>
      <c r="F1741" s="550"/>
      <c r="G1741" s="550"/>
      <c r="H1741" s="551"/>
      <c r="I1741" s="550"/>
    </row>
    <row r="1742" spans="1:9" x14ac:dyDescent="0.2">
      <c r="A1742" s="549"/>
      <c r="C1742" s="548"/>
      <c r="D1742" s="550"/>
      <c r="E1742" s="550"/>
      <c r="F1742" s="550"/>
      <c r="G1742" s="550"/>
      <c r="H1742" s="551"/>
      <c r="I1742" s="550"/>
    </row>
    <row r="1743" spans="1:9" x14ac:dyDescent="0.2">
      <c r="A1743" s="549"/>
      <c r="C1743" s="548"/>
      <c r="D1743" s="550"/>
      <c r="E1743" s="550"/>
      <c r="F1743" s="550"/>
      <c r="G1743" s="550"/>
      <c r="H1743" s="551"/>
      <c r="I1743" s="550"/>
    </row>
    <row r="1744" spans="1:9" x14ac:dyDescent="0.2">
      <c r="A1744" s="549"/>
      <c r="C1744" s="548"/>
      <c r="D1744" s="550"/>
      <c r="E1744" s="550"/>
      <c r="F1744" s="550"/>
      <c r="G1744" s="550"/>
      <c r="H1744" s="551"/>
      <c r="I1744" s="550"/>
    </row>
    <row r="1745" spans="1:9" x14ac:dyDescent="0.2">
      <c r="A1745" s="549"/>
      <c r="C1745" s="548"/>
      <c r="D1745" s="550"/>
      <c r="E1745" s="550"/>
      <c r="F1745" s="550"/>
      <c r="G1745" s="550"/>
      <c r="H1745" s="551"/>
      <c r="I1745" s="550"/>
    </row>
    <row r="1746" spans="1:9" x14ac:dyDescent="0.2">
      <c r="A1746" s="549"/>
      <c r="C1746" s="548"/>
      <c r="D1746" s="550"/>
      <c r="E1746" s="550"/>
      <c r="F1746" s="550"/>
      <c r="G1746" s="550"/>
      <c r="H1746" s="551"/>
      <c r="I1746" s="550"/>
    </row>
    <row r="1747" spans="1:9" x14ac:dyDescent="0.2">
      <c r="A1747" s="549"/>
      <c r="C1747" s="548"/>
      <c r="D1747" s="550"/>
      <c r="E1747" s="550"/>
      <c r="F1747" s="550"/>
      <c r="G1747" s="550"/>
      <c r="H1747" s="551"/>
      <c r="I1747" s="550"/>
    </row>
    <row r="1748" spans="1:9" x14ac:dyDescent="0.2">
      <c r="A1748" s="549"/>
      <c r="C1748" s="548"/>
      <c r="D1748" s="550"/>
      <c r="E1748" s="550"/>
      <c r="F1748" s="550"/>
      <c r="G1748" s="550"/>
      <c r="H1748" s="551"/>
      <c r="I1748" s="550"/>
    </row>
    <row r="1749" spans="1:9" x14ac:dyDescent="0.2">
      <c r="A1749" s="549"/>
      <c r="C1749" s="548"/>
      <c r="D1749" s="550"/>
      <c r="E1749" s="550"/>
      <c r="F1749" s="550"/>
      <c r="G1749" s="550"/>
      <c r="H1749" s="551"/>
      <c r="I1749" s="550"/>
    </row>
    <row r="1750" spans="1:9" x14ac:dyDescent="0.2">
      <c r="A1750" s="549"/>
      <c r="C1750" s="548"/>
      <c r="D1750" s="550"/>
      <c r="E1750" s="550"/>
      <c r="F1750" s="550"/>
      <c r="G1750" s="550"/>
      <c r="H1750" s="551"/>
      <c r="I1750" s="550"/>
    </row>
    <row r="1751" spans="1:9" x14ac:dyDescent="0.2">
      <c r="A1751" s="549"/>
      <c r="C1751" s="548"/>
      <c r="D1751" s="550"/>
      <c r="E1751" s="550"/>
      <c r="F1751" s="550"/>
      <c r="G1751" s="550"/>
      <c r="H1751" s="551"/>
      <c r="I1751" s="550"/>
    </row>
    <row r="1752" spans="1:9" x14ac:dyDescent="0.2">
      <c r="A1752" s="549"/>
      <c r="C1752" s="548"/>
      <c r="D1752" s="550"/>
      <c r="E1752" s="550"/>
      <c r="F1752" s="550"/>
      <c r="G1752" s="550"/>
      <c r="H1752" s="551"/>
      <c r="I1752" s="550"/>
    </row>
    <row r="1753" spans="1:9" x14ac:dyDescent="0.2">
      <c r="A1753" s="549"/>
      <c r="C1753" s="548"/>
      <c r="D1753" s="550"/>
      <c r="E1753" s="550"/>
      <c r="F1753" s="550"/>
      <c r="G1753" s="550"/>
      <c r="H1753" s="551"/>
      <c r="I1753" s="550"/>
    </row>
    <row r="1754" spans="1:9" x14ac:dyDescent="0.2">
      <c r="A1754" s="549"/>
      <c r="C1754" s="548"/>
      <c r="D1754" s="550"/>
      <c r="E1754" s="550"/>
      <c r="F1754" s="550"/>
      <c r="G1754" s="550"/>
      <c r="H1754" s="551"/>
      <c r="I1754" s="550"/>
    </row>
    <row r="1755" spans="1:9" x14ac:dyDescent="0.2">
      <c r="A1755" s="549"/>
      <c r="C1755" s="548"/>
      <c r="D1755" s="550"/>
      <c r="E1755" s="550"/>
      <c r="F1755" s="550"/>
      <c r="G1755" s="550"/>
      <c r="H1755" s="551"/>
      <c r="I1755" s="550"/>
    </row>
    <row r="1756" spans="1:9" x14ac:dyDescent="0.2">
      <c r="A1756" s="549"/>
      <c r="C1756" s="548"/>
      <c r="D1756" s="550"/>
      <c r="E1756" s="550"/>
      <c r="F1756" s="550"/>
      <c r="G1756" s="550"/>
      <c r="H1756" s="551"/>
      <c r="I1756" s="550"/>
    </row>
    <row r="1757" spans="1:9" x14ac:dyDescent="0.2">
      <c r="A1757" s="549"/>
      <c r="C1757" s="548"/>
      <c r="D1757" s="550"/>
      <c r="E1757" s="550"/>
      <c r="F1757" s="550"/>
      <c r="G1757" s="550"/>
      <c r="H1757" s="551"/>
      <c r="I1757" s="550"/>
    </row>
    <row r="1758" spans="1:9" x14ac:dyDescent="0.2">
      <c r="A1758" s="549"/>
      <c r="C1758" s="548"/>
      <c r="D1758" s="550"/>
      <c r="E1758" s="550"/>
      <c r="F1758" s="550"/>
      <c r="G1758" s="550"/>
      <c r="H1758" s="551"/>
      <c r="I1758" s="550"/>
    </row>
    <row r="1759" spans="1:9" x14ac:dyDescent="0.2">
      <c r="A1759" s="549"/>
      <c r="C1759" s="548"/>
      <c r="D1759" s="550"/>
      <c r="E1759" s="550"/>
      <c r="F1759" s="550"/>
      <c r="G1759" s="550"/>
      <c r="H1759" s="551"/>
      <c r="I1759" s="550"/>
    </row>
    <row r="1760" spans="1:9" x14ac:dyDescent="0.2">
      <c r="A1760" s="549"/>
      <c r="C1760" s="548"/>
      <c r="D1760" s="550"/>
      <c r="E1760" s="550"/>
      <c r="F1760" s="550"/>
      <c r="G1760" s="550"/>
      <c r="H1760" s="551"/>
      <c r="I1760" s="550"/>
    </row>
    <row r="1761" spans="1:9" x14ac:dyDescent="0.2">
      <c r="A1761" s="549"/>
      <c r="C1761" s="548"/>
      <c r="D1761" s="550"/>
      <c r="E1761" s="550"/>
      <c r="F1761" s="550"/>
      <c r="G1761" s="550"/>
      <c r="H1761" s="551"/>
      <c r="I1761" s="550"/>
    </row>
    <row r="1762" spans="1:9" x14ac:dyDescent="0.2">
      <c r="A1762" s="549"/>
      <c r="C1762" s="548"/>
      <c r="D1762" s="550"/>
      <c r="E1762" s="550"/>
      <c r="F1762" s="550"/>
      <c r="G1762" s="550"/>
      <c r="H1762" s="551"/>
      <c r="I1762" s="550"/>
    </row>
    <row r="1763" spans="1:9" x14ac:dyDescent="0.2">
      <c r="A1763" s="549"/>
      <c r="C1763" s="548"/>
      <c r="D1763" s="550"/>
      <c r="E1763" s="550"/>
      <c r="F1763" s="550"/>
      <c r="G1763" s="550"/>
      <c r="H1763" s="551"/>
      <c r="I1763" s="550"/>
    </row>
    <row r="1764" spans="1:9" x14ac:dyDescent="0.2">
      <c r="A1764" s="549"/>
      <c r="C1764" s="548"/>
      <c r="D1764" s="550"/>
      <c r="E1764" s="550"/>
      <c r="F1764" s="550"/>
      <c r="G1764" s="550"/>
      <c r="H1764" s="551"/>
      <c r="I1764" s="550"/>
    </row>
    <row r="1765" spans="1:9" x14ac:dyDescent="0.2">
      <c r="A1765" s="549"/>
      <c r="C1765" s="548"/>
      <c r="D1765" s="550"/>
      <c r="E1765" s="550"/>
      <c r="F1765" s="550"/>
      <c r="G1765" s="550"/>
      <c r="H1765" s="551"/>
      <c r="I1765" s="550"/>
    </row>
    <row r="1766" spans="1:9" x14ac:dyDescent="0.2">
      <c r="A1766" s="549"/>
      <c r="C1766" s="548"/>
      <c r="D1766" s="550"/>
      <c r="E1766" s="550"/>
      <c r="F1766" s="550"/>
      <c r="G1766" s="550"/>
      <c r="H1766" s="551"/>
      <c r="I1766" s="550"/>
    </row>
    <row r="1767" spans="1:9" x14ac:dyDescent="0.2">
      <c r="A1767" s="549"/>
      <c r="C1767" s="548"/>
      <c r="D1767" s="550"/>
      <c r="E1767" s="550"/>
      <c r="F1767" s="550"/>
      <c r="G1767" s="550"/>
      <c r="H1767" s="551"/>
      <c r="I1767" s="550"/>
    </row>
    <row r="1768" spans="1:9" x14ac:dyDescent="0.2">
      <c r="A1768" s="549"/>
      <c r="C1768" s="548"/>
      <c r="D1768" s="550"/>
      <c r="E1768" s="550"/>
      <c r="F1768" s="550"/>
      <c r="G1768" s="550"/>
      <c r="H1768" s="551"/>
      <c r="I1768" s="550"/>
    </row>
    <row r="1769" spans="1:9" x14ac:dyDescent="0.2">
      <c r="A1769" s="549"/>
      <c r="C1769" s="548"/>
      <c r="D1769" s="550"/>
      <c r="E1769" s="550"/>
      <c r="F1769" s="550"/>
      <c r="G1769" s="550"/>
      <c r="H1769" s="551"/>
      <c r="I1769" s="550"/>
    </row>
    <row r="1770" spans="1:9" x14ac:dyDescent="0.2">
      <c r="A1770" s="549"/>
      <c r="C1770" s="548"/>
      <c r="D1770" s="550"/>
      <c r="E1770" s="550"/>
      <c r="F1770" s="550"/>
      <c r="G1770" s="550"/>
      <c r="H1770" s="551"/>
      <c r="I1770" s="550"/>
    </row>
    <row r="1771" spans="1:9" x14ac:dyDescent="0.2">
      <c r="A1771" s="549"/>
      <c r="C1771" s="548"/>
      <c r="D1771" s="550"/>
      <c r="E1771" s="550"/>
      <c r="F1771" s="550"/>
      <c r="G1771" s="550"/>
      <c r="H1771" s="551"/>
      <c r="I1771" s="550"/>
    </row>
    <row r="1772" spans="1:9" x14ac:dyDescent="0.2">
      <c r="A1772" s="549"/>
      <c r="C1772" s="548"/>
      <c r="D1772" s="550"/>
      <c r="E1772" s="550"/>
      <c r="F1772" s="550"/>
      <c r="G1772" s="550"/>
      <c r="H1772" s="551"/>
      <c r="I1772" s="550"/>
    </row>
    <row r="1773" spans="1:9" x14ac:dyDescent="0.2">
      <c r="A1773" s="549"/>
      <c r="C1773" s="548"/>
      <c r="D1773" s="550"/>
      <c r="E1773" s="550"/>
      <c r="F1773" s="550"/>
      <c r="G1773" s="550"/>
      <c r="H1773" s="551"/>
      <c r="I1773" s="550"/>
    </row>
    <row r="1774" spans="1:9" x14ac:dyDescent="0.2">
      <c r="A1774" s="549"/>
      <c r="C1774" s="548"/>
      <c r="D1774" s="550"/>
      <c r="E1774" s="550"/>
      <c r="F1774" s="550"/>
      <c r="G1774" s="550"/>
      <c r="H1774" s="551"/>
      <c r="I1774" s="550"/>
    </row>
    <row r="1775" spans="1:9" x14ac:dyDescent="0.2">
      <c r="A1775" s="549"/>
      <c r="C1775" s="548"/>
      <c r="D1775" s="550"/>
      <c r="E1775" s="550"/>
      <c r="F1775" s="550"/>
      <c r="G1775" s="550"/>
      <c r="H1775" s="551"/>
      <c r="I1775" s="550"/>
    </row>
    <row r="1776" spans="1:9" x14ac:dyDescent="0.2">
      <c r="A1776" s="549"/>
      <c r="C1776" s="548"/>
      <c r="D1776" s="550"/>
      <c r="E1776" s="550"/>
      <c r="F1776" s="550"/>
      <c r="G1776" s="550"/>
      <c r="H1776" s="551"/>
      <c r="I1776" s="550"/>
    </row>
    <row r="1777" spans="1:9" x14ac:dyDescent="0.2">
      <c r="A1777" s="549"/>
      <c r="C1777" s="548"/>
      <c r="D1777" s="550"/>
      <c r="E1777" s="550"/>
      <c r="F1777" s="550"/>
      <c r="G1777" s="550"/>
      <c r="H1777" s="551"/>
      <c r="I1777" s="550"/>
    </row>
    <row r="1778" spans="1:9" x14ac:dyDescent="0.2">
      <c r="A1778" s="549"/>
      <c r="C1778" s="548"/>
      <c r="D1778" s="550"/>
      <c r="E1778" s="550"/>
      <c r="F1778" s="550"/>
      <c r="G1778" s="550"/>
      <c r="H1778" s="551"/>
      <c r="I1778" s="550"/>
    </row>
    <row r="1779" spans="1:9" x14ac:dyDescent="0.2">
      <c r="A1779" s="549"/>
      <c r="C1779" s="548"/>
      <c r="D1779" s="550"/>
      <c r="E1779" s="550"/>
      <c r="F1779" s="550"/>
      <c r="G1779" s="550"/>
      <c r="H1779" s="551"/>
      <c r="I1779" s="550"/>
    </row>
    <row r="1780" spans="1:9" x14ac:dyDescent="0.2">
      <c r="A1780" s="549"/>
      <c r="C1780" s="548"/>
      <c r="D1780" s="550"/>
      <c r="E1780" s="550"/>
      <c r="F1780" s="550"/>
      <c r="G1780" s="550"/>
      <c r="H1780" s="551"/>
      <c r="I1780" s="550"/>
    </row>
    <row r="1781" spans="1:9" x14ac:dyDescent="0.2">
      <c r="A1781" s="549"/>
      <c r="C1781" s="548"/>
      <c r="D1781" s="550"/>
      <c r="E1781" s="550"/>
      <c r="F1781" s="550"/>
      <c r="G1781" s="550"/>
      <c r="H1781" s="551"/>
      <c r="I1781" s="550"/>
    </row>
    <row r="1782" spans="1:9" x14ac:dyDescent="0.2">
      <c r="A1782" s="549"/>
      <c r="C1782" s="548"/>
      <c r="D1782" s="550"/>
      <c r="E1782" s="550"/>
      <c r="F1782" s="550"/>
      <c r="G1782" s="550"/>
      <c r="H1782" s="551"/>
      <c r="I1782" s="550"/>
    </row>
    <row r="1783" spans="1:9" x14ac:dyDescent="0.2">
      <c r="A1783" s="549"/>
      <c r="C1783" s="548"/>
      <c r="D1783" s="550"/>
      <c r="E1783" s="550"/>
      <c r="F1783" s="550"/>
      <c r="G1783" s="550"/>
      <c r="H1783" s="551"/>
      <c r="I1783" s="550"/>
    </row>
    <row r="1784" spans="1:9" x14ac:dyDescent="0.2">
      <c r="A1784" s="549"/>
      <c r="C1784" s="548"/>
      <c r="D1784" s="550"/>
      <c r="E1784" s="550"/>
      <c r="F1784" s="550"/>
      <c r="G1784" s="550"/>
      <c r="H1784" s="551"/>
      <c r="I1784" s="550"/>
    </row>
    <row r="1785" spans="1:9" x14ac:dyDescent="0.2">
      <c r="A1785" s="549"/>
      <c r="C1785" s="548"/>
      <c r="D1785" s="550"/>
      <c r="E1785" s="550"/>
      <c r="F1785" s="550"/>
      <c r="G1785" s="550"/>
      <c r="H1785" s="551"/>
      <c r="I1785" s="550"/>
    </row>
    <row r="1786" spans="1:9" x14ac:dyDescent="0.2">
      <c r="A1786" s="549"/>
      <c r="C1786" s="548"/>
      <c r="D1786" s="550"/>
      <c r="E1786" s="550"/>
      <c r="F1786" s="550"/>
      <c r="G1786" s="550"/>
      <c r="H1786" s="551"/>
      <c r="I1786" s="550"/>
    </row>
    <row r="1787" spans="1:9" x14ac:dyDescent="0.2">
      <c r="A1787" s="549"/>
      <c r="C1787" s="548"/>
      <c r="D1787" s="550"/>
      <c r="E1787" s="550"/>
      <c r="F1787" s="550"/>
      <c r="G1787" s="550"/>
      <c r="H1787" s="551"/>
      <c r="I1787" s="550"/>
    </row>
    <row r="1788" spans="1:9" x14ac:dyDescent="0.2">
      <c r="A1788" s="549"/>
      <c r="C1788" s="548"/>
      <c r="D1788" s="550"/>
      <c r="E1788" s="550"/>
      <c r="F1788" s="550"/>
      <c r="G1788" s="550"/>
      <c r="H1788" s="551"/>
      <c r="I1788" s="550"/>
    </row>
    <row r="1789" spans="1:9" x14ac:dyDescent="0.2">
      <c r="A1789" s="549"/>
      <c r="C1789" s="548"/>
      <c r="D1789" s="550"/>
      <c r="E1789" s="550"/>
      <c r="F1789" s="550"/>
      <c r="G1789" s="550"/>
      <c r="H1789" s="551"/>
      <c r="I1789" s="550"/>
    </row>
    <row r="1790" spans="1:9" x14ac:dyDescent="0.2">
      <c r="A1790" s="549"/>
      <c r="C1790" s="548"/>
      <c r="D1790" s="550"/>
      <c r="E1790" s="550"/>
      <c r="F1790" s="550"/>
      <c r="G1790" s="550"/>
      <c r="H1790" s="551"/>
      <c r="I1790" s="550"/>
    </row>
    <row r="1791" spans="1:9" x14ac:dyDescent="0.2">
      <c r="A1791" s="549"/>
      <c r="C1791" s="548"/>
      <c r="D1791" s="550"/>
      <c r="E1791" s="550"/>
      <c r="F1791" s="550"/>
      <c r="G1791" s="550"/>
      <c r="H1791" s="551"/>
      <c r="I1791" s="550"/>
    </row>
    <row r="1792" spans="1:9" x14ac:dyDescent="0.2">
      <c r="A1792" s="549"/>
      <c r="C1792" s="548"/>
      <c r="D1792" s="550"/>
      <c r="E1792" s="550"/>
      <c r="F1792" s="550"/>
      <c r="G1792" s="550"/>
      <c r="H1792" s="551"/>
      <c r="I1792" s="550"/>
    </row>
    <row r="1793" spans="1:9" x14ac:dyDescent="0.2">
      <c r="A1793" s="549"/>
      <c r="C1793" s="548"/>
      <c r="D1793" s="550"/>
      <c r="E1793" s="550"/>
      <c r="F1793" s="550"/>
      <c r="G1793" s="550"/>
      <c r="H1793" s="551"/>
      <c r="I1793" s="550"/>
    </row>
    <row r="1794" spans="1:9" x14ac:dyDescent="0.2">
      <c r="A1794" s="549"/>
      <c r="C1794" s="548"/>
      <c r="D1794" s="550"/>
      <c r="E1794" s="550"/>
      <c r="F1794" s="550"/>
      <c r="G1794" s="550"/>
      <c r="H1794" s="551"/>
      <c r="I1794" s="550"/>
    </row>
    <row r="1795" spans="1:9" x14ac:dyDescent="0.2">
      <c r="A1795" s="549"/>
      <c r="C1795" s="548"/>
      <c r="D1795" s="550"/>
      <c r="E1795" s="550"/>
      <c r="F1795" s="550"/>
      <c r="G1795" s="550"/>
      <c r="H1795" s="551"/>
      <c r="I1795" s="550"/>
    </row>
    <row r="1796" spans="1:9" x14ac:dyDescent="0.2">
      <c r="A1796" s="549"/>
      <c r="C1796" s="548"/>
      <c r="D1796" s="550"/>
      <c r="E1796" s="550"/>
      <c r="F1796" s="550"/>
      <c r="G1796" s="550"/>
      <c r="H1796" s="551"/>
      <c r="I1796" s="550"/>
    </row>
    <row r="1797" spans="1:9" x14ac:dyDescent="0.2">
      <c r="A1797" s="549"/>
      <c r="C1797" s="548"/>
      <c r="D1797" s="550"/>
      <c r="E1797" s="550"/>
      <c r="F1797" s="550"/>
      <c r="G1797" s="550"/>
      <c r="H1797" s="551"/>
      <c r="I1797" s="550"/>
    </row>
    <row r="1798" spans="1:9" x14ac:dyDescent="0.2">
      <c r="A1798" s="549"/>
      <c r="C1798" s="548"/>
      <c r="D1798" s="550"/>
      <c r="E1798" s="550"/>
      <c r="F1798" s="550"/>
      <c r="G1798" s="550"/>
      <c r="H1798" s="551"/>
      <c r="I1798" s="550"/>
    </row>
    <row r="1799" spans="1:9" x14ac:dyDescent="0.2">
      <c r="A1799" s="549"/>
      <c r="C1799" s="548"/>
      <c r="D1799" s="550"/>
      <c r="E1799" s="550"/>
      <c r="F1799" s="550"/>
      <c r="G1799" s="550"/>
      <c r="H1799" s="551"/>
      <c r="I1799" s="550"/>
    </row>
    <row r="1800" spans="1:9" x14ac:dyDescent="0.2">
      <c r="A1800" s="549"/>
      <c r="C1800" s="548"/>
      <c r="D1800" s="550"/>
      <c r="E1800" s="550"/>
      <c r="F1800" s="550"/>
      <c r="G1800" s="550"/>
      <c r="H1800" s="551"/>
      <c r="I1800" s="550"/>
    </row>
    <row r="1801" spans="1:9" x14ac:dyDescent="0.2">
      <c r="A1801" s="549"/>
      <c r="C1801" s="548"/>
      <c r="D1801" s="550"/>
      <c r="E1801" s="550"/>
      <c r="F1801" s="550"/>
      <c r="G1801" s="550"/>
      <c r="H1801" s="551"/>
      <c r="I1801" s="550"/>
    </row>
    <row r="1802" spans="1:9" x14ac:dyDescent="0.2">
      <c r="A1802" s="549"/>
      <c r="C1802" s="548"/>
      <c r="D1802" s="550"/>
      <c r="E1802" s="550"/>
      <c r="F1802" s="550"/>
      <c r="G1802" s="550"/>
      <c r="H1802" s="551"/>
      <c r="I1802" s="550"/>
    </row>
    <row r="1803" spans="1:9" x14ac:dyDescent="0.2">
      <c r="A1803" s="549"/>
      <c r="C1803" s="548"/>
      <c r="D1803" s="550"/>
      <c r="E1803" s="550"/>
      <c r="F1803" s="550"/>
      <c r="G1803" s="550"/>
      <c r="H1803" s="551"/>
      <c r="I1803" s="550"/>
    </row>
    <row r="1804" spans="1:9" x14ac:dyDescent="0.2">
      <c r="A1804" s="549"/>
      <c r="C1804" s="548"/>
      <c r="D1804" s="550"/>
      <c r="E1804" s="550"/>
      <c r="F1804" s="550"/>
      <c r="G1804" s="550"/>
      <c r="H1804" s="551"/>
      <c r="I1804" s="550"/>
    </row>
    <row r="1805" spans="1:9" x14ac:dyDescent="0.2">
      <c r="A1805" s="549"/>
      <c r="C1805" s="548"/>
      <c r="D1805" s="550"/>
      <c r="E1805" s="550"/>
      <c r="F1805" s="550"/>
      <c r="G1805" s="550"/>
      <c r="H1805" s="551"/>
      <c r="I1805" s="550"/>
    </row>
    <row r="1806" spans="1:9" x14ac:dyDescent="0.2">
      <c r="A1806" s="549"/>
      <c r="C1806" s="548"/>
      <c r="D1806" s="550"/>
      <c r="E1806" s="550"/>
      <c r="F1806" s="550"/>
      <c r="G1806" s="550"/>
      <c r="H1806" s="551"/>
      <c r="I1806" s="550"/>
    </row>
    <row r="1807" spans="1:9" x14ac:dyDescent="0.2">
      <c r="A1807" s="549"/>
      <c r="C1807" s="548"/>
      <c r="D1807" s="550"/>
      <c r="E1807" s="550"/>
      <c r="F1807" s="550"/>
      <c r="G1807" s="550"/>
      <c r="H1807" s="551"/>
      <c r="I1807" s="550"/>
    </row>
    <row r="1808" spans="1:9" x14ac:dyDescent="0.2">
      <c r="A1808" s="549"/>
      <c r="C1808" s="548"/>
      <c r="D1808" s="550"/>
      <c r="E1808" s="550"/>
      <c r="F1808" s="550"/>
      <c r="G1808" s="550"/>
      <c r="H1808" s="551"/>
      <c r="I1808" s="550"/>
    </row>
    <row r="1809" spans="1:9" x14ac:dyDescent="0.2">
      <c r="A1809" s="549"/>
      <c r="C1809" s="548"/>
      <c r="D1809" s="550"/>
      <c r="E1809" s="550"/>
      <c r="F1809" s="550"/>
      <c r="G1809" s="550"/>
      <c r="H1809" s="551"/>
      <c r="I1809" s="550"/>
    </row>
    <row r="1810" spans="1:9" x14ac:dyDescent="0.2">
      <c r="A1810" s="549"/>
      <c r="C1810" s="548"/>
      <c r="D1810" s="550"/>
      <c r="E1810" s="550"/>
      <c r="F1810" s="550"/>
      <c r="G1810" s="550"/>
      <c r="H1810" s="551"/>
      <c r="I1810" s="550"/>
    </row>
    <row r="1811" spans="1:9" x14ac:dyDescent="0.2">
      <c r="A1811" s="549"/>
      <c r="C1811" s="548"/>
      <c r="D1811" s="550"/>
      <c r="E1811" s="550"/>
      <c r="F1811" s="550"/>
      <c r="G1811" s="550"/>
      <c r="H1811" s="551"/>
      <c r="I1811" s="550"/>
    </row>
    <row r="1812" spans="1:9" x14ac:dyDescent="0.2">
      <c r="A1812" s="549"/>
      <c r="C1812" s="548"/>
      <c r="D1812" s="550"/>
      <c r="E1812" s="550"/>
      <c r="F1812" s="550"/>
      <c r="G1812" s="550"/>
      <c r="H1812" s="551"/>
      <c r="I1812" s="550"/>
    </row>
    <row r="1813" spans="1:9" x14ac:dyDescent="0.2">
      <c r="A1813" s="549"/>
      <c r="C1813" s="548"/>
      <c r="D1813" s="550"/>
      <c r="E1813" s="550"/>
      <c r="F1813" s="550"/>
      <c r="G1813" s="550"/>
      <c r="H1813" s="551"/>
      <c r="I1813" s="550"/>
    </row>
    <row r="1814" spans="1:9" x14ac:dyDescent="0.2">
      <c r="A1814" s="549"/>
      <c r="C1814" s="548"/>
      <c r="D1814" s="550"/>
      <c r="E1814" s="550"/>
      <c r="F1814" s="550"/>
      <c r="G1814" s="550"/>
      <c r="H1814" s="551"/>
      <c r="I1814" s="550"/>
    </row>
    <row r="1815" spans="1:9" x14ac:dyDescent="0.2">
      <c r="A1815" s="549"/>
      <c r="C1815" s="548"/>
      <c r="D1815" s="550"/>
      <c r="E1815" s="550"/>
      <c r="F1815" s="550"/>
      <c r="G1815" s="550"/>
      <c r="H1815" s="551"/>
      <c r="I1815" s="550"/>
    </row>
    <row r="1816" spans="1:9" x14ac:dyDescent="0.2">
      <c r="A1816" s="549"/>
      <c r="C1816" s="548"/>
      <c r="D1816" s="550"/>
      <c r="E1816" s="550"/>
      <c r="F1816" s="550"/>
      <c r="G1816" s="550"/>
      <c r="H1816" s="551"/>
      <c r="I1816" s="550"/>
    </row>
    <row r="1817" spans="1:9" x14ac:dyDescent="0.2">
      <c r="A1817" s="549"/>
      <c r="C1817" s="548"/>
      <c r="D1817" s="550"/>
      <c r="E1817" s="550"/>
      <c r="F1817" s="550"/>
      <c r="G1817" s="550"/>
      <c r="H1817" s="551"/>
      <c r="I1817" s="550"/>
    </row>
    <row r="1818" spans="1:9" x14ac:dyDescent="0.2">
      <c r="A1818" s="549"/>
      <c r="C1818" s="548"/>
      <c r="D1818" s="550"/>
      <c r="E1818" s="550"/>
      <c r="F1818" s="550"/>
      <c r="G1818" s="550"/>
      <c r="H1818" s="551"/>
      <c r="I1818" s="550"/>
    </row>
    <row r="1819" spans="1:9" x14ac:dyDescent="0.2">
      <c r="A1819" s="549"/>
      <c r="C1819" s="548"/>
      <c r="D1819" s="550"/>
      <c r="E1819" s="550"/>
      <c r="F1819" s="550"/>
      <c r="G1819" s="550"/>
      <c r="H1819" s="551"/>
      <c r="I1819" s="550"/>
    </row>
    <row r="1820" spans="1:9" x14ac:dyDescent="0.2">
      <c r="A1820" s="549"/>
      <c r="C1820" s="548"/>
      <c r="D1820" s="550"/>
      <c r="E1820" s="550"/>
      <c r="F1820" s="550"/>
      <c r="G1820" s="550"/>
      <c r="H1820" s="551"/>
      <c r="I1820" s="550"/>
    </row>
    <row r="1821" spans="1:9" x14ac:dyDescent="0.2">
      <c r="A1821" s="549"/>
      <c r="C1821" s="548"/>
      <c r="D1821" s="550"/>
      <c r="E1821" s="550"/>
      <c r="F1821" s="550"/>
      <c r="G1821" s="550"/>
      <c r="H1821" s="551"/>
      <c r="I1821" s="550"/>
    </row>
    <row r="1822" spans="1:9" x14ac:dyDescent="0.2">
      <c r="A1822" s="549"/>
      <c r="C1822" s="548"/>
      <c r="D1822" s="550"/>
      <c r="E1822" s="550"/>
      <c r="F1822" s="550"/>
      <c r="G1822" s="550"/>
      <c r="H1822" s="551"/>
      <c r="I1822" s="550"/>
    </row>
    <row r="1823" spans="1:9" x14ac:dyDescent="0.2">
      <c r="A1823" s="549"/>
      <c r="C1823" s="548"/>
      <c r="D1823" s="550"/>
      <c r="E1823" s="550"/>
      <c r="F1823" s="550"/>
      <c r="G1823" s="550"/>
      <c r="H1823" s="551"/>
      <c r="I1823" s="550"/>
    </row>
    <row r="1824" spans="1:9" x14ac:dyDescent="0.2">
      <c r="A1824" s="549"/>
      <c r="C1824" s="548"/>
      <c r="D1824" s="550"/>
      <c r="E1824" s="550"/>
      <c r="F1824" s="550"/>
      <c r="G1824" s="550"/>
      <c r="H1824" s="551"/>
      <c r="I1824" s="550"/>
    </row>
    <row r="1825" spans="1:9" x14ac:dyDescent="0.2">
      <c r="A1825" s="549"/>
      <c r="C1825" s="548"/>
      <c r="D1825" s="550"/>
      <c r="E1825" s="550"/>
      <c r="F1825" s="550"/>
      <c r="G1825" s="550"/>
      <c r="H1825" s="551"/>
      <c r="I1825" s="550"/>
    </row>
    <row r="1826" spans="1:9" x14ac:dyDescent="0.2">
      <c r="A1826" s="549"/>
      <c r="C1826" s="548"/>
      <c r="D1826" s="550"/>
      <c r="E1826" s="550"/>
      <c r="F1826" s="550"/>
      <c r="G1826" s="550"/>
      <c r="H1826" s="551"/>
      <c r="I1826" s="550"/>
    </row>
    <row r="1827" spans="1:9" x14ac:dyDescent="0.2">
      <c r="A1827" s="549"/>
      <c r="C1827" s="548"/>
      <c r="D1827" s="550"/>
      <c r="E1827" s="550"/>
      <c r="F1827" s="550"/>
      <c r="G1827" s="550"/>
      <c r="H1827" s="551"/>
      <c r="I1827" s="550"/>
    </row>
    <row r="1828" spans="1:9" x14ac:dyDescent="0.2">
      <c r="A1828" s="549"/>
      <c r="C1828" s="548"/>
      <c r="D1828" s="550"/>
      <c r="E1828" s="550"/>
      <c r="F1828" s="550"/>
      <c r="G1828" s="550"/>
      <c r="H1828" s="551"/>
      <c r="I1828" s="550"/>
    </row>
    <row r="1829" spans="1:9" x14ac:dyDescent="0.2">
      <c r="A1829" s="549"/>
      <c r="C1829" s="548"/>
      <c r="D1829" s="550"/>
      <c r="E1829" s="550"/>
      <c r="F1829" s="550"/>
      <c r="G1829" s="550"/>
      <c r="H1829" s="551"/>
      <c r="I1829" s="550"/>
    </row>
    <row r="1830" spans="1:9" x14ac:dyDescent="0.2">
      <c r="A1830" s="549"/>
      <c r="C1830" s="548"/>
      <c r="D1830" s="550"/>
      <c r="E1830" s="550"/>
      <c r="F1830" s="550"/>
      <c r="G1830" s="550"/>
      <c r="H1830" s="551"/>
      <c r="I1830" s="550"/>
    </row>
    <row r="1831" spans="1:9" x14ac:dyDescent="0.2">
      <c r="A1831" s="549"/>
      <c r="C1831" s="548"/>
      <c r="D1831" s="550"/>
      <c r="E1831" s="550"/>
      <c r="F1831" s="550"/>
      <c r="G1831" s="550"/>
      <c r="H1831" s="551"/>
      <c r="I1831" s="550"/>
    </row>
    <row r="1832" spans="1:9" x14ac:dyDescent="0.2">
      <c r="A1832" s="549"/>
      <c r="C1832" s="548"/>
      <c r="D1832" s="550"/>
      <c r="E1832" s="550"/>
      <c r="F1832" s="550"/>
      <c r="G1832" s="550"/>
      <c r="H1832" s="551"/>
      <c r="I1832" s="550"/>
    </row>
    <row r="1833" spans="1:9" x14ac:dyDescent="0.2">
      <c r="A1833" s="549"/>
      <c r="C1833" s="548"/>
      <c r="D1833" s="550"/>
      <c r="E1833" s="550"/>
      <c r="F1833" s="550"/>
      <c r="G1833" s="550"/>
      <c r="H1833" s="551"/>
      <c r="I1833" s="550"/>
    </row>
    <row r="1834" spans="1:9" x14ac:dyDescent="0.2">
      <c r="A1834" s="549"/>
      <c r="C1834" s="548"/>
      <c r="D1834" s="550"/>
      <c r="E1834" s="550"/>
      <c r="F1834" s="550"/>
      <c r="G1834" s="550"/>
      <c r="H1834" s="551"/>
      <c r="I1834" s="550"/>
    </row>
    <row r="1835" spans="1:9" x14ac:dyDescent="0.2">
      <c r="A1835" s="549"/>
      <c r="C1835" s="548"/>
      <c r="D1835" s="550"/>
      <c r="E1835" s="550"/>
      <c r="F1835" s="550"/>
      <c r="G1835" s="550"/>
      <c r="H1835" s="551"/>
      <c r="I1835" s="550"/>
    </row>
    <row r="1836" spans="1:9" x14ac:dyDescent="0.2">
      <c r="A1836" s="549"/>
      <c r="C1836" s="548"/>
      <c r="D1836" s="550"/>
      <c r="E1836" s="550"/>
      <c r="F1836" s="550"/>
      <c r="G1836" s="550"/>
      <c r="H1836" s="551"/>
      <c r="I1836" s="550"/>
    </row>
    <row r="1837" spans="1:9" x14ac:dyDescent="0.2">
      <c r="A1837" s="549"/>
      <c r="C1837" s="548"/>
      <c r="D1837" s="550"/>
      <c r="E1837" s="550"/>
      <c r="F1837" s="550"/>
      <c r="G1837" s="550"/>
      <c r="H1837" s="551"/>
      <c r="I1837" s="550"/>
    </row>
    <row r="1838" spans="1:9" x14ac:dyDescent="0.2">
      <c r="A1838" s="549"/>
      <c r="C1838" s="548"/>
      <c r="D1838" s="550"/>
      <c r="E1838" s="550"/>
      <c r="F1838" s="550"/>
      <c r="G1838" s="550"/>
      <c r="H1838" s="551"/>
      <c r="I1838" s="550"/>
    </row>
    <row r="1839" spans="1:9" x14ac:dyDescent="0.2">
      <c r="A1839" s="549"/>
      <c r="C1839" s="548"/>
      <c r="D1839" s="550"/>
      <c r="E1839" s="550"/>
      <c r="F1839" s="550"/>
      <c r="G1839" s="550"/>
      <c r="H1839" s="551"/>
      <c r="I1839" s="550"/>
    </row>
    <row r="1840" spans="1:9" x14ac:dyDescent="0.2">
      <c r="A1840" s="549"/>
      <c r="C1840" s="548"/>
      <c r="D1840" s="550"/>
      <c r="E1840" s="550"/>
      <c r="F1840" s="550"/>
      <c r="G1840" s="550"/>
      <c r="H1840" s="551"/>
      <c r="I1840" s="550"/>
    </row>
    <row r="1841" spans="1:9" x14ac:dyDescent="0.2">
      <c r="A1841" s="549"/>
      <c r="C1841" s="548"/>
      <c r="D1841" s="550"/>
      <c r="E1841" s="550"/>
      <c r="F1841" s="550"/>
      <c r="G1841" s="550"/>
      <c r="H1841" s="551"/>
      <c r="I1841" s="550"/>
    </row>
    <row r="1842" spans="1:9" x14ac:dyDescent="0.2">
      <c r="A1842" s="549"/>
      <c r="C1842" s="548"/>
      <c r="D1842" s="550"/>
      <c r="E1842" s="550"/>
      <c r="F1842" s="550"/>
      <c r="G1842" s="550"/>
      <c r="H1842" s="551"/>
      <c r="I1842" s="550"/>
    </row>
    <row r="1843" spans="1:9" x14ac:dyDescent="0.2">
      <c r="A1843" s="549"/>
      <c r="C1843" s="548"/>
      <c r="D1843" s="550"/>
      <c r="E1843" s="550"/>
      <c r="F1843" s="550"/>
      <c r="G1843" s="550"/>
      <c r="H1843" s="551"/>
      <c r="I1843" s="550"/>
    </row>
    <row r="1844" spans="1:9" x14ac:dyDescent="0.2">
      <c r="A1844" s="549"/>
      <c r="C1844" s="548"/>
      <c r="D1844" s="550"/>
      <c r="E1844" s="550"/>
      <c r="F1844" s="550"/>
      <c r="G1844" s="550"/>
      <c r="H1844" s="551"/>
      <c r="I1844" s="550"/>
    </row>
    <row r="1845" spans="1:9" x14ac:dyDescent="0.2">
      <c r="A1845" s="549"/>
      <c r="C1845" s="548"/>
      <c r="D1845" s="550"/>
      <c r="E1845" s="550"/>
      <c r="F1845" s="550"/>
      <c r="G1845" s="550"/>
      <c r="H1845" s="551"/>
      <c r="I1845" s="550"/>
    </row>
    <row r="1846" spans="1:9" x14ac:dyDescent="0.2">
      <c r="A1846" s="549"/>
      <c r="C1846" s="548"/>
      <c r="D1846" s="550"/>
      <c r="E1846" s="550"/>
      <c r="F1846" s="550"/>
      <c r="G1846" s="550"/>
      <c r="H1846" s="551"/>
      <c r="I1846" s="550"/>
    </row>
    <row r="1847" spans="1:9" x14ac:dyDescent="0.2">
      <c r="A1847" s="549"/>
      <c r="C1847" s="548"/>
      <c r="D1847" s="550"/>
      <c r="E1847" s="550"/>
      <c r="F1847" s="550"/>
      <c r="G1847" s="550"/>
      <c r="H1847" s="551"/>
      <c r="I1847" s="550"/>
    </row>
    <row r="1848" spans="1:9" x14ac:dyDescent="0.2">
      <c r="A1848" s="549"/>
      <c r="C1848" s="548"/>
      <c r="D1848" s="550"/>
      <c r="E1848" s="550"/>
      <c r="F1848" s="550"/>
      <c r="G1848" s="550"/>
      <c r="H1848" s="551"/>
      <c r="I1848" s="550"/>
    </row>
    <row r="1849" spans="1:9" x14ac:dyDescent="0.2">
      <c r="A1849" s="549"/>
      <c r="C1849" s="548"/>
      <c r="D1849" s="550"/>
      <c r="E1849" s="550"/>
      <c r="F1849" s="550"/>
      <c r="G1849" s="550"/>
      <c r="H1849" s="551"/>
      <c r="I1849" s="550"/>
    </row>
    <row r="1850" spans="1:9" x14ac:dyDescent="0.2">
      <c r="A1850" s="549"/>
      <c r="C1850" s="548"/>
      <c r="D1850" s="550"/>
      <c r="E1850" s="550"/>
      <c r="F1850" s="550"/>
      <c r="G1850" s="550"/>
      <c r="H1850" s="551"/>
      <c r="I1850" s="550"/>
    </row>
    <row r="1851" spans="1:9" x14ac:dyDescent="0.2">
      <c r="A1851" s="549"/>
      <c r="C1851" s="548"/>
      <c r="D1851" s="550"/>
      <c r="E1851" s="550"/>
      <c r="F1851" s="550"/>
      <c r="G1851" s="550"/>
      <c r="H1851" s="551"/>
      <c r="I1851" s="550"/>
    </row>
    <row r="1852" spans="1:9" x14ac:dyDescent="0.2">
      <c r="A1852" s="549"/>
      <c r="C1852" s="548"/>
      <c r="D1852" s="550"/>
      <c r="E1852" s="550"/>
      <c r="F1852" s="550"/>
      <c r="G1852" s="550"/>
      <c r="H1852" s="551"/>
      <c r="I1852" s="550"/>
    </row>
    <row r="1853" spans="1:9" x14ac:dyDescent="0.2">
      <c r="A1853" s="549"/>
      <c r="C1853" s="548"/>
      <c r="D1853" s="550"/>
      <c r="E1853" s="550"/>
      <c r="F1853" s="550"/>
      <c r="G1853" s="550"/>
      <c r="H1853" s="551"/>
      <c r="I1853" s="550"/>
    </row>
    <row r="1854" spans="1:9" x14ac:dyDescent="0.2">
      <c r="A1854" s="549"/>
      <c r="C1854" s="548"/>
      <c r="D1854" s="550"/>
      <c r="E1854" s="550"/>
      <c r="F1854" s="550"/>
      <c r="G1854" s="550"/>
      <c r="H1854" s="551"/>
      <c r="I1854" s="550"/>
    </row>
    <row r="1855" spans="1:9" x14ac:dyDescent="0.2">
      <c r="A1855" s="549"/>
      <c r="C1855" s="548"/>
      <c r="D1855" s="550"/>
      <c r="E1855" s="550"/>
      <c r="F1855" s="550"/>
      <c r="G1855" s="550"/>
      <c r="H1855" s="551"/>
      <c r="I1855" s="550"/>
    </row>
    <row r="1856" spans="1:9" x14ac:dyDescent="0.2">
      <c r="A1856" s="549"/>
      <c r="C1856" s="548"/>
      <c r="D1856" s="550"/>
      <c r="E1856" s="550"/>
      <c r="F1856" s="550"/>
      <c r="G1856" s="550"/>
      <c r="H1856" s="551"/>
      <c r="I1856" s="550"/>
    </row>
    <row r="1857" spans="1:9" x14ac:dyDescent="0.2">
      <c r="A1857" s="549"/>
      <c r="C1857" s="548"/>
      <c r="D1857" s="550"/>
      <c r="E1857" s="550"/>
      <c r="F1857" s="550"/>
      <c r="G1857" s="550"/>
      <c r="H1857" s="551"/>
      <c r="I1857" s="550"/>
    </row>
    <row r="1858" spans="1:9" x14ac:dyDescent="0.2">
      <c r="A1858" s="549"/>
      <c r="C1858" s="548"/>
      <c r="D1858" s="550"/>
      <c r="E1858" s="550"/>
      <c r="F1858" s="550"/>
      <c r="G1858" s="550"/>
      <c r="H1858" s="551"/>
      <c r="I1858" s="550"/>
    </row>
    <row r="1859" spans="1:9" x14ac:dyDescent="0.2">
      <c r="A1859" s="549"/>
      <c r="C1859" s="548"/>
      <c r="D1859" s="550"/>
      <c r="E1859" s="550"/>
      <c r="F1859" s="550"/>
      <c r="G1859" s="550"/>
      <c r="H1859" s="551"/>
      <c r="I1859" s="550"/>
    </row>
    <row r="1860" spans="1:9" x14ac:dyDescent="0.2">
      <c r="A1860" s="549"/>
      <c r="C1860" s="548"/>
      <c r="D1860" s="550"/>
      <c r="E1860" s="550"/>
      <c r="F1860" s="550"/>
      <c r="G1860" s="550"/>
      <c r="H1860" s="551"/>
      <c r="I1860" s="550"/>
    </row>
    <row r="1861" spans="1:9" x14ac:dyDescent="0.2">
      <c r="A1861" s="549"/>
      <c r="C1861" s="548"/>
      <c r="D1861" s="550"/>
      <c r="E1861" s="550"/>
      <c r="F1861" s="550"/>
      <c r="G1861" s="550"/>
      <c r="H1861" s="551"/>
      <c r="I1861" s="550"/>
    </row>
    <row r="1862" spans="1:9" x14ac:dyDescent="0.2">
      <c r="A1862" s="549"/>
      <c r="C1862" s="548"/>
      <c r="D1862" s="550"/>
      <c r="E1862" s="550"/>
      <c r="F1862" s="550"/>
      <c r="G1862" s="550"/>
      <c r="H1862" s="551"/>
      <c r="I1862" s="550"/>
    </row>
    <row r="1863" spans="1:9" x14ac:dyDescent="0.2">
      <c r="A1863" s="549"/>
      <c r="C1863" s="548"/>
      <c r="D1863" s="550"/>
      <c r="E1863" s="550"/>
      <c r="F1863" s="550"/>
      <c r="G1863" s="550"/>
      <c r="H1863" s="551"/>
      <c r="I1863" s="550"/>
    </row>
    <row r="1864" spans="1:9" x14ac:dyDescent="0.2">
      <c r="A1864" s="549"/>
      <c r="C1864" s="548"/>
      <c r="D1864" s="550"/>
      <c r="E1864" s="550"/>
      <c r="F1864" s="550"/>
      <c r="G1864" s="550"/>
      <c r="H1864" s="551"/>
      <c r="I1864" s="550"/>
    </row>
    <row r="1865" spans="1:9" x14ac:dyDescent="0.2">
      <c r="A1865" s="549"/>
      <c r="C1865" s="548"/>
      <c r="D1865" s="550"/>
      <c r="E1865" s="550"/>
      <c r="F1865" s="550"/>
      <c r="G1865" s="550"/>
      <c r="H1865" s="551"/>
      <c r="I1865" s="550"/>
    </row>
    <row r="1866" spans="1:9" x14ac:dyDescent="0.2">
      <c r="A1866" s="549"/>
      <c r="C1866" s="548"/>
      <c r="D1866" s="550"/>
      <c r="E1866" s="550"/>
      <c r="F1866" s="550"/>
      <c r="G1866" s="550"/>
      <c r="H1866" s="551"/>
      <c r="I1866" s="550"/>
    </row>
    <row r="1867" spans="1:9" x14ac:dyDescent="0.2">
      <c r="A1867" s="549"/>
      <c r="C1867" s="548"/>
      <c r="D1867" s="550"/>
      <c r="E1867" s="550"/>
      <c r="F1867" s="550"/>
      <c r="G1867" s="550"/>
      <c r="H1867" s="551"/>
      <c r="I1867" s="550"/>
    </row>
    <row r="1868" spans="1:9" x14ac:dyDescent="0.2">
      <c r="A1868" s="549"/>
      <c r="C1868" s="548"/>
      <c r="D1868" s="550"/>
      <c r="E1868" s="550"/>
      <c r="F1868" s="550"/>
      <c r="G1868" s="550"/>
      <c r="H1868" s="551"/>
      <c r="I1868" s="550"/>
    </row>
    <row r="1869" spans="1:9" x14ac:dyDescent="0.2">
      <c r="A1869" s="549"/>
      <c r="C1869" s="548"/>
      <c r="D1869" s="550"/>
      <c r="E1869" s="550"/>
      <c r="F1869" s="550"/>
      <c r="G1869" s="550"/>
      <c r="H1869" s="551"/>
      <c r="I1869" s="550"/>
    </row>
    <row r="1870" spans="1:9" x14ac:dyDescent="0.2">
      <c r="A1870" s="549"/>
      <c r="C1870" s="548"/>
      <c r="D1870" s="550"/>
      <c r="E1870" s="550"/>
      <c r="F1870" s="550"/>
      <c r="G1870" s="550"/>
      <c r="H1870" s="551"/>
      <c r="I1870" s="550"/>
    </row>
    <row r="1871" spans="1:9" x14ac:dyDescent="0.2">
      <c r="A1871" s="549"/>
      <c r="C1871" s="548"/>
      <c r="D1871" s="550"/>
      <c r="E1871" s="550"/>
      <c r="F1871" s="550"/>
      <c r="G1871" s="550"/>
      <c r="H1871" s="551"/>
      <c r="I1871" s="550"/>
    </row>
    <row r="1872" spans="1:9" x14ac:dyDescent="0.2">
      <c r="A1872" s="549"/>
      <c r="C1872" s="548"/>
      <c r="D1872" s="550"/>
      <c r="E1872" s="550"/>
      <c r="F1872" s="550"/>
      <c r="G1872" s="550"/>
      <c r="H1872" s="551"/>
      <c r="I1872" s="550"/>
    </row>
    <row r="1873" spans="1:9" x14ac:dyDescent="0.2">
      <c r="A1873" s="549"/>
      <c r="C1873" s="548"/>
      <c r="D1873" s="550"/>
      <c r="E1873" s="550"/>
      <c r="F1873" s="550"/>
      <c r="G1873" s="550"/>
      <c r="H1873" s="551"/>
      <c r="I1873" s="550"/>
    </row>
    <row r="1874" spans="1:9" x14ac:dyDescent="0.2">
      <c r="A1874" s="549"/>
      <c r="C1874" s="548"/>
      <c r="D1874" s="550"/>
      <c r="E1874" s="550"/>
      <c r="F1874" s="550"/>
      <c r="G1874" s="550"/>
      <c r="H1874" s="551"/>
      <c r="I1874" s="550"/>
    </row>
    <row r="1875" spans="1:9" x14ac:dyDescent="0.2">
      <c r="A1875" s="549"/>
      <c r="C1875" s="548"/>
      <c r="D1875" s="550"/>
      <c r="E1875" s="550"/>
      <c r="F1875" s="550"/>
      <c r="G1875" s="550"/>
      <c r="H1875" s="551"/>
      <c r="I1875" s="550"/>
    </row>
    <row r="1876" spans="1:9" x14ac:dyDescent="0.2">
      <c r="A1876" s="549"/>
      <c r="C1876" s="548"/>
      <c r="D1876" s="550"/>
      <c r="E1876" s="550"/>
      <c r="F1876" s="550"/>
      <c r="G1876" s="550"/>
      <c r="H1876" s="551"/>
      <c r="I1876" s="550"/>
    </row>
    <row r="1877" spans="1:9" x14ac:dyDescent="0.2">
      <c r="A1877" s="549"/>
      <c r="C1877" s="548"/>
      <c r="D1877" s="550"/>
      <c r="E1877" s="550"/>
      <c r="F1877" s="550"/>
      <c r="G1877" s="550"/>
      <c r="H1877" s="551"/>
      <c r="I1877" s="550"/>
    </row>
    <row r="1878" spans="1:9" x14ac:dyDescent="0.2">
      <c r="A1878" s="549"/>
      <c r="C1878" s="548"/>
      <c r="D1878" s="550"/>
      <c r="E1878" s="550"/>
      <c r="F1878" s="550"/>
      <c r="G1878" s="550"/>
      <c r="H1878" s="551"/>
      <c r="I1878" s="550"/>
    </row>
    <row r="1879" spans="1:9" x14ac:dyDescent="0.2">
      <c r="A1879" s="549"/>
      <c r="C1879" s="548"/>
      <c r="D1879" s="550"/>
      <c r="E1879" s="550"/>
      <c r="F1879" s="550"/>
      <c r="G1879" s="550"/>
      <c r="H1879" s="551"/>
      <c r="I1879" s="550"/>
    </row>
    <row r="1880" spans="1:9" x14ac:dyDescent="0.2">
      <c r="A1880" s="549"/>
      <c r="C1880" s="548"/>
      <c r="D1880" s="550"/>
      <c r="E1880" s="550"/>
      <c r="F1880" s="550"/>
      <c r="G1880" s="550"/>
      <c r="H1880" s="551"/>
      <c r="I1880" s="550"/>
    </row>
    <row r="1881" spans="1:9" x14ac:dyDescent="0.2">
      <c r="A1881" s="549"/>
      <c r="C1881" s="548"/>
      <c r="D1881" s="550"/>
      <c r="E1881" s="550"/>
      <c r="F1881" s="550"/>
      <c r="G1881" s="550"/>
      <c r="H1881" s="551"/>
      <c r="I1881" s="550"/>
    </row>
    <row r="1882" spans="1:9" x14ac:dyDescent="0.2">
      <c r="A1882" s="549"/>
      <c r="C1882" s="548"/>
      <c r="D1882" s="550"/>
      <c r="E1882" s="550"/>
      <c r="F1882" s="550"/>
      <c r="G1882" s="550"/>
      <c r="H1882" s="551"/>
      <c r="I1882" s="550"/>
    </row>
    <row r="1883" spans="1:9" x14ac:dyDescent="0.2">
      <c r="A1883" s="549"/>
      <c r="C1883" s="548"/>
      <c r="D1883" s="550"/>
      <c r="E1883" s="550"/>
      <c r="F1883" s="550"/>
      <c r="G1883" s="550"/>
      <c r="H1883" s="551"/>
      <c r="I1883" s="550"/>
    </row>
    <row r="1884" spans="1:9" x14ac:dyDescent="0.2">
      <c r="A1884" s="549"/>
      <c r="C1884" s="548"/>
      <c r="D1884" s="550"/>
      <c r="E1884" s="550"/>
      <c r="F1884" s="550"/>
      <c r="G1884" s="550"/>
      <c r="H1884" s="551"/>
      <c r="I1884" s="550"/>
    </row>
    <row r="1885" spans="1:9" x14ac:dyDescent="0.2">
      <c r="A1885" s="549"/>
      <c r="C1885" s="548"/>
      <c r="D1885" s="550"/>
      <c r="E1885" s="550"/>
      <c r="F1885" s="550"/>
      <c r="G1885" s="550"/>
      <c r="H1885" s="551"/>
      <c r="I1885" s="550"/>
    </row>
    <row r="1886" spans="1:9" x14ac:dyDescent="0.2">
      <c r="A1886" s="549"/>
      <c r="C1886" s="548"/>
      <c r="D1886" s="550"/>
      <c r="E1886" s="550"/>
      <c r="F1886" s="550"/>
      <c r="G1886" s="550"/>
      <c r="H1886" s="551"/>
      <c r="I1886" s="550"/>
    </row>
    <row r="1887" spans="1:9" x14ac:dyDescent="0.2">
      <c r="A1887" s="549"/>
      <c r="C1887" s="548"/>
      <c r="D1887" s="550"/>
      <c r="E1887" s="550"/>
      <c r="F1887" s="550"/>
      <c r="G1887" s="550"/>
      <c r="H1887" s="551"/>
      <c r="I1887" s="550"/>
    </row>
    <row r="1888" spans="1:9" x14ac:dyDescent="0.2">
      <c r="A1888" s="549"/>
      <c r="C1888" s="548"/>
      <c r="D1888" s="550"/>
      <c r="E1888" s="550"/>
      <c r="F1888" s="550"/>
      <c r="G1888" s="550"/>
      <c r="H1888" s="551"/>
      <c r="I1888" s="550"/>
    </row>
    <row r="1889" spans="1:9" x14ac:dyDescent="0.2">
      <c r="A1889" s="549"/>
      <c r="C1889" s="548"/>
      <c r="D1889" s="550"/>
      <c r="E1889" s="550"/>
      <c r="F1889" s="550"/>
      <c r="G1889" s="550"/>
      <c r="H1889" s="551"/>
      <c r="I1889" s="550"/>
    </row>
    <row r="1890" spans="1:9" x14ac:dyDescent="0.2">
      <c r="A1890" s="549"/>
      <c r="C1890" s="548"/>
      <c r="D1890" s="550"/>
      <c r="E1890" s="550"/>
      <c r="F1890" s="550"/>
      <c r="G1890" s="550"/>
      <c r="H1890" s="551"/>
      <c r="I1890" s="550"/>
    </row>
    <row r="1891" spans="1:9" x14ac:dyDescent="0.2">
      <c r="A1891" s="549"/>
      <c r="C1891" s="548"/>
      <c r="D1891" s="550"/>
      <c r="E1891" s="550"/>
      <c r="F1891" s="550"/>
      <c r="G1891" s="550"/>
      <c r="H1891" s="551"/>
      <c r="I1891" s="550"/>
    </row>
    <row r="1892" spans="1:9" x14ac:dyDescent="0.2">
      <c r="A1892" s="549"/>
      <c r="C1892" s="548"/>
      <c r="D1892" s="550"/>
      <c r="E1892" s="550"/>
      <c r="F1892" s="550"/>
      <c r="G1892" s="550"/>
      <c r="H1892" s="551"/>
      <c r="I1892" s="550"/>
    </row>
    <row r="1893" spans="1:9" x14ac:dyDescent="0.2">
      <c r="A1893" s="549"/>
      <c r="C1893" s="548"/>
      <c r="D1893" s="550"/>
      <c r="E1893" s="550"/>
      <c r="F1893" s="550"/>
      <c r="G1893" s="550"/>
      <c r="H1893" s="551"/>
      <c r="I1893" s="550"/>
    </row>
    <row r="1894" spans="1:9" x14ac:dyDescent="0.2">
      <c r="A1894" s="549"/>
      <c r="C1894" s="548"/>
      <c r="D1894" s="550"/>
      <c r="E1894" s="550"/>
      <c r="F1894" s="550"/>
      <c r="G1894" s="550"/>
      <c r="H1894" s="551"/>
      <c r="I1894" s="550"/>
    </row>
    <row r="1895" spans="1:9" x14ac:dyDescent="0.2">
      <c r="A1895" s="549"/>
      <c r="C1895" s="548"/>
      <c r="D1895" s="550"/>
      <c r="E1895" s="550"/>
      <c r="F1895" s="550"/>
      <c r="G1895" s="550"/>
      <c r="H1895" s="551"/>
      <c r="I1895" s="550"/>
    </row>
    <row r="1896" spans="1:9" x14ac:dyDescent="0.2">
      <c r="A1896" s="549"/>
      <c r="C1896" s="548"/>
      <c r="D1896" s="550"/>
      <c r="E1896" s="550"/>
      <c r="F1896" s="550"/>
      <c r="G1896" s="550"/>
      <c r="H1896" s="551"/>
      <c r="I1896" s="550"/>
    </row>
    <row r="1897" spans="1:9" x14ac:dyDescent="0.2">
      <c r="A1897" s="549"/>
      <c r="C1897" s="548"/>
      <c r="D1897" s="550"/>
      <c r="E1897" s="550"/>
      <c r="F1897" s="550"/>
      <c r="G1897" s="550"/>
      <c r="H1897" s="551"/>
      <c r="I1897" s="550"/>
    </row>
    <row r="1898" spans="1:9" x14ac:dyDescent="0.2">
      <c r="A1898" s="549"/>
      <c r="C1898" s="548"/>
      <c r="D1898" s="550"/>
      <c r="E1898" s="550"/>
      <c r="F1898" s="550"/>
      <c r="G1898" s="550"/>
      <c r="H1898" s="551"/>
      <c r="I1898" s="550"/>
    </row>
    <row r="1899" spans="1:9" x14ac:dyDescent="0.2">
      <c r="A1899" s="549"/>
      <c r="C1899" s="548"/>
      <c r="D1899" s="550"/>
      <c r="E1899" s="550"/>
      <c r="F1899" s="550"/>
      <c r="G1899" s="550"/>
      <c r="H1899" s="551"/>
      <c r="I1899" s="550"/>
    </row>
    <row r="1900" spans="1:9" x14ac:dyDescent="0.2">
      <c r="A1900" s="549"/>
      <c r="C1900" s="548"/>
      <c r="D1900" s="550"/>
      <c r="E1900" s="550"/>
      <c r="F1900" s="550"/>
      <c r="G1900" s="550"/>
      <c r="H1900" s="551"/>
      <c r="I1900" s="550"/>
    </row>
    <row r="1901" spans="1:9" x14ac:dyDescent="0.2">
      <c r="A1901" s="549"/>
      <c r="C1901" s="548"/>
      <c r="D1901" s="550"/>
      <c r="E1901" s="550"/>
      <c r="F1901" s="550"/>
      <c r="G1901" s="550"/>
      <c r="H1901" s="551"/>
      <c r="I1901" s="550"/>
    </row>
    <row r="1902" spans="1:9" x14ac:dyDescent="0.2">
      <c r="A1902" s="549"/>
      <c r="C1902" s="548"/>
      <c r="D1902" s="550"/>
      <c r="E1902" s="550"/>
      <c r="F1902" s="550"/>
      <c r="G1902" s="550"/>
      <c r="H1902" s="551"/>
      <c r="I1902" s="550"/>
    </row>
    <row r="1903" spans="1:9" x14ac:dyDescent="0.2">
      <c r="A1903" s="549"/>
      <c r="C1903" s="548"/>
      <c r="D1903" s="550"/>
      <c r="E1903" s="550"/>
      <c r="F1903" s="550"/>
      <c r="G1903" s="550"/>
      <c r="H1903" s="551"/>
      <c r="I1903" s="550"/>
    </row>
    <row r="1904" spans="1:9" x14ac:dyDescent="0.2">
      <c r="A1904" s="549"/>
      <c r="C1904" s="548"/>
      <c r="D1904" s="550"/>
      <c r="E1904" s="550"/>
      <c r="F1904" s="550"/>
      <c r="G1904" s="550"/>
      <c r="H1904" s="551"/>
      <c r="I1904" s="550"/>
    </row>
    <row r="1905" spans="1:9" x14ac:dyDescent="0.2">
      <c r="A1905" s="549"/>
      <c r="C1905" s="548"/>
      <c r="D1905" s="550"/>
      <c r="E1905" s="550"/>
      <c r="F1905" s="550"/>
      <c r="G1905" s="550"/>
      <c r="H1905" s="551"/>
      <c r="I1905" s="550"/>
    </row>
    <row r="1906" spans="1:9" x14ac:dyDescent="0.2">
      <c r="A1906" s="549"/>
      <c r="C1906" s="548"/>
      <c r="D1906" s="550"/>
      <c r="E1906" s="550"/>
      <c r="F1906" s="550"/>
      <c r="G1906" s="550"/>
      <c r="H1906" s="551"/>
      <c r="I1906" s="550"/>
    </row>
    <row r="1907" spans="1:9" x14ac:dyDescent="0.2">
      <c r="A1907" s="549"/>
      <c r="C1907" s="548"/>
      <c r="D1907" s="550"/>
      <c r="E1907" s="550"/>
      <c r="F1907" s="550"/>
      <c r="G1907" s="550"/>
      <c r="H1907" s="551"/>
      <c r="I1907" s="550"/>
    </row>
    <row r="1908" spans="1:9" x14ac:dyDescent="0.2">
      <c r="A1908" s="549"/>
      <c r="C1908" s="548"/>
      <c r="D1908" s="550"/>
      <c r="E1908" s="550"/>
      <c r="F1908" s="550"/>
      <c r="G1908" s="550"/>
      <c r="H1908" s="551"/>
      <c r="I1908" s="550"/>
    </row>
    <row r="1909" spans="1:9" x14ac:dyDescent="0.2">
      <c r="A1909" s="549"/>
      <c r="C1909" s="548"/>
      <c r="D1909" s="550"/>
      <c r="E1909" s="550"/>
      <c r="F1909" s="550"/>
      <c r="G1909" s="550"/>
      <c r="H1909" s="551"/>
      <c r="I1909" s="550"/>
    </row>
    <row r="1910" spans="1:9" x14ac:dyDescent="0.2">
      <c r="A1910" s="549"/>
      <c r="C1910" s="548"/>
      <c r="D1910" s="550"/>
      <c r="E1910" s="550"/>
      <c r="F1910" s="550"/>
      <c r="G1910" s="550"/>
      <c r="H1910" s="551"/>
      <c r="I1910" s="550"/>
    </row>
    <row r="1911" spans="1:9" x14ac:dyDescent="0.2">
      <c r="A1911" s="549"/>
      <c r="C1911" s="548"/>
      <c r="D1911" s="550"/>
      <c r="E1911" s="550"/>
      <c r="F1911" s="550"/>
      <c r="G1911" s="550"/>
      <c r="H1911" s="551"/>
      <c r="I1911" s="550"/>
    </row>
    <row r="1912" spans="1:9" x14ac:dyDescent="0.2">
      <c r="A1912" s="549"/>
      <c r="C1912" s="548"/>
      <c r="D1912" s="550"/>
      <c r="E1912" s="550"/>
      <c r="F1912" s="550"/>
      <c r="G1912" s="550"/>
      <c r="H1912" s="551"/>
      <c r="I1912" s="550"/>
    </row>
    <row r="1913" spans="1:9" x14ac:dyDescent="0.2">
      <c r="A1913" s="549"/>
      <c r="C1913" s="548"/>
      <c r="D1913" s="550"/>
      <c r="E1913" s="550"/>
      <c r="F1913" s="550"/>
      <c r="G1913" s="550"/>
      <c r="H1913" s="551"/>
      <c r="I1913" s="550"/>
    </row>
    <row r="1914" spans="1:9" x14ac:dyDescent="0.2">
      <c r="A1914" s="549"/>
      <c r="C1914" s="548"/>
      <c r="D1914" s="550"/>
      <c r="E1914" s="550"/>
      <c r="F1914" s="550"/>
      <c r="G1914" s="550"/>
      <c r="H1914" s="551"/>
      <c r="I1914" s="550"/>
    </row>
    <row r="1915" spans="1:9" x14ac:dyDescent="0.2">
      <c r="A1915" s="549"/>
      <c r="C1915" s="548"/>
      <c r="D1915" s="550"/>
      <c r="E1915" s="550"/>
      <c r="F1915" s="550"/>
      <c r="G1915" s="550"/>
      <c r="H1915" s="551"/>
      <c r="I1915" s="550"/>
    </row>
    <row r="1916" spans="1:9" x14ac:dyDescent="0.2">
      <c r="A1916" s="549"/>
      <c r="C1916" s="548"/>
      <c r="D1916" s="550"/>
      <c r="E1916" s="550"/>
      <c r="F1916" s="550"/>
      <c r="G1916" s="550"/>
      <c r="H1916" s="551"/>
      <c r="I1916" s="550"/>
    </row>
    <row r="1917" spans="1:9" x14ac:dyDescent="0.2">
      <c r="A1917" s="549"/>
      <c r="C1917" s="548"/>
      <c r="D1917" s="550"/>
      <c r="E1917" s="550"/>
      <c r="F1917" s="550"/>
      <c r="G1917" s="550"/>
      <c r="H1917" s="551"/>
      <c r="I1917" s="550"/>
    </row>
    <row r="1918" spans="1:9" x14ac:dyDescent="0.2">
      <c r="A1918" s="549"/>
      <c r="C1918" s="548"/>
      <c r="D1918" s="550"/>
      <c r="E1918" s="550"/>
      <c r="F1918" s="550"/>
      <c r="G1918" s="550"/>
      <c r="H1918" s="551"/>
      <c r="I1918" s="550"/>
    </row>
    <row r="1919" spans="1:9" x14ac:dyDescent="0.2">
      <c r="A1919" s="549"/>
      <c r="C1919" s="548"/>
      <c r="D1919" s="550"/>
      <c r="E1919" s="550"/>
      <c r="F1919" s="550"/>
      <c r="G1919" s="550"/>
      <c r="H1919" s="551"/>
      <c r="I1919" s="550"/>
    </row>
    <row r="1920" spans="1:9" x14ac:dyDescent="0.2">
      <c r="A1920" s="549"/>
      <c r="C1920" s="548"/>
      <c r="D1920" s="550"/>
      <c r="E1920" s="550"/>
      <c r="F1920" s="550"/>
      <c r="G1920" s="550"/>
      <c r="H1920" s="551"/>
      <c r="I1920" s="550"/>
    </row>
    <row r="1921" spans="1:9" x14ac:dyDescent="0.2">
      <c r="A1921" s="549"/>
      <c r="C1921" s="548"/>
      <c r="D1921" s="550"/>
      <c r="E1921" s="550"/>
      <c r="F1921" s="550"/>
      <c r="G1921" s="550"/>
      <c r="H1921" s="551"/>
      <c r="I1921" s="550"/>
    </row>
    <row r="1922" spans="1:9" x14ac:dyDescent="0.2">
      <c r="A1922" s="549"/>
      <c r="C1922" s="548"/>
      <c r="D1922" s="550"/>
      <c r="E1922" s="550"/>
      <c r="F1922" s="550"/>
      <c r="G1922" s="550"/>
      <c r="H1922" s="551"/>
      <c r="I1922" s="550"/>
    </row>
    <row r="1923" spans="1:9" x14ac:dyDescent="0.2">
      <c r="A1923" s="549"/>
      <c r="C1923" s="548"/>
      <c r="D1923" s="550"/>
      <c r="E1923" s="550"/>
      <c r="F1923" s="550"/>
      <c r="G1923" s="550"/>
      <c r="H1923" s="551"/>
      <c r="I1923" s="550"/>
    </row>
    <row r="1924" spans="1:9" x14ac:dyDescent="0.2">
      <c r="A1924" s="549"/>
      <c r="C1924" s="548"/>
      <c r="D1924" s="550"/>
      <c r="E1924" s="550"/>
      <c r="F1924" s="550"/>
      <c r="G1924" s="550"/>
      <c r="H1924" s="551"/>
      <c r="I1924" s="550"/>
    </row>
    <row r="1925" spans="1:9" x14ac:dyDescent="0.2">
      <c r="A1925" s="549"/>
      <c r="C1925" s="548"/>
      <c r="D1925" s="550"/>
      <c r="E1925" s="550"/>
      <c r="F1925" s="550"/>
      <c r="G1925" s="550"/>
      <c r="H1925" s="551"/>
      <c r="I1925" s="550"/>
    </row>
    <row r="1926" spans="1:9" x14ac:dyDescent="0.2">
      <c r="A1926" s="549"/>
      <c r="C1926" s="548"/>
      <c r="D1926" s="550"/>
      <c r="E1926" s="550"/>
      <c r="F1926" s="550"/>
      <c r="G1926" s="550"/>
      <c r="H1926" s="551"/>
      <c r="I1926" s="550"/>
    </row>
    <row r="1927" spans="1:9" x14ac:dyDescent="0.2">
      <c r="A1927" s="549"/>
      <c r="C1927" s="548"/>
      <c r="D1927" s="550"/>
      <c r="E1927" s="550"/>
      <c r="F1927" s="550"/>
      <c r="G1927" s="550"/>
      <c r="H1927" s="551"/>
      <c r="I1927" s="550"/>
    </row>
    <row r="1928" spans="1:9" x14ac:dyDescent="0.2">
      <c r="A1928" s="549"/>
      <c r="C1928" s="548"/>
      <c r="D1928" s="550"/>
      <c r="E1928" s="550"/>
      <c r="F1928" s="550"/>
      <c r="G1928" s="550"/>
      <c r="H1928" s="551"/>
      <c r="I1928" s="550"/>
    </row>
    <row r="1929" spans="1:9" x14ac:dyDescent="0.2">
      <c r="A1929" s="549"/>
      <c r="C1929" s="548"/>
      <c r="D1929" s="550"/>
      <c r="E1929" s="550"/>
      <c r="F1929" s="550"/>
      <c r="G1929" s="550"/>
      <c r="H1929" s="551"/>
      <c r="I1929" s="550"/>
    </row>
    <row r="1930" spans="1:9" x14ac:dyDescent="0.2">
      <c r="A1930" s="549"/>
      <c r="C1930" s="548"/>
      <c r="D1930" s="550"/>
      <c r="E1930" s="550"/>
      <c r="F1930" s="550"/>
      <c r="G1930" s="550"/>
      <c r="H1930" s="551"/>
      <c r="I1930" s="550"/>
    </row>
    <row r="1931" spans="1:9" x14ac:dyDescent="0.2">
      <c r="A1931" s="549"/>
      <c r="C1931" s="548"/>
      <c r="D1931" s="550"/>
      <c r="E1931" s="550"/>
      <c r="F1931" s="550"/>
      <c r="G1931" s="550"/>
      <c r="H1931" s="551"/>
      <c r="I1931" s="550"/>
    </row>
    <row r="1932" spans="1:9" x14ac:dyDescent="0.2">
      <c r="A1932" s="549"/>
      <c r="C1932" s="548"/>
      <c r="D1932" s="550"/>
      <c r="E1932" s="550"/>
      <c r="F1932" s="550"/>
      <c r="G1932" s="550"/>
      <c r="H1932" s="551"/>
      <c r="I1932" s="550"/>
    </row>
    <row r="1933" spans="1:9" x14ac:dyDescent="0.2">
      <c r="A1933" s="549"/>
      <c r="C1933" s="548"/>
      <c r="D1933" s="550"/>
      <c r="E1933" s="550"/>
      <c r="F1933" s="550"/>
      <c r="G1933" s="550"/>
      <c r="H1933" s="551"/>
      <c r="I1933" s="550"/>
    </row>
    <row r="1934" spans="1:9" x14ac:dyDescent="0.2">
      <c r="A1934" s="549"/>
      <c r="C1934" s="548"/>
      <c r="D1934" s="550"/>
      <c r="E1934" s="550"/>
      <c r="F1934" s="550"/>
      <c r="G1934" s="550"/>
      <c r="H1934" s="551"/>
      <c r="I1934" s="550"/>
    </row>
    <row r="1935" spans="1:9" x14ac:dyDescent="0.2">
      <c r="A1935" s="549"/>
      <c r="C1935" s="548"/>
      <c r="D1935" s="550"/>
      <c r="E1935" s="550"/>
      <c r="F1935" s="550"/>
      <c r="G1935" s="550"/>
      <c r="H1935" s="551"/>
      <c r="I1935" s="550"/>
    </row>
    <row r="1936" spans="1:9" x14ac:dyDescent="0.2">
      <c r="A1936" s="549"/>
      <c r="C1936" s="548"/>
      <c r="D1936" s="550"/>
      <c r="E1936" s="550"/>
      <c r="F1936" s="550"/>
      <c r="G1936" s="550"/>
      <c r="H1936" s="551"/>
      <c r="I1936" s="550"/>
    </row>
    <row r="1937" spans="1:9" x14ac:dyDescent="0.2">
      <c r="A1937" s="549"/>
      <c r="C1937" s="548"/>
      <c r="D1937" s="550"/>
      <c r="E1937" s="550"/>
      <c r="F1937" s="550"/>
      <c r="G1937" s="550"/>
      <c r="H1937" s="551"/>
      <c r="I1937" s="550"/>
    </row>
    <row r="1938" spans="1:9" x14ac:dyDescent="0.2">
      <c r="A1938" s="549"/>
      <c r="C1938" s="548"/>
      <c r="D1938" s="550"/>
      <c r="E1938" s="550"/>
      <c r="F1938" s="550"/>
      <c r="G1938" s="550"/>
      <c r="H1938" s="551"/>
      <c r="I1938" s="550"/>
    </row>
    <row r="1939" spans="1:9" x14ac:dyDescent="0.2">
      <c r="A1939" s="549"/>
      <c r="C1939" s="548"/>
      <c r="D1939" s="550"/>
      <c r="E1939" s="550"/>
      <c r="F1939" s="550"/>
      <c r="G1939" s="550"/>
      <c r="H1939" s="551"/>
      <c r="I1939" s="550"/>
    </row>
    <row r="1940" spans="1:9" x14ac:dyDescent="0.2">
      <c r="A1940" s="549"/>
      <c r="C1940" s="548"/>
      <c r="D1940" s="550"/>
      <c r="E1940" s="550"/>
      <c r="F1940" s="550"/>
      <c r="G1940" s="550"/>
      <c r="H1940" s="551"/>
      <c r="I1940" s="550"/>
    </row>
    <row r="1941" spans="1:9" x14ac:dyDescent="0.2">
      <c r="A1941" s="549"/>
      <c r="C1941" s="548"/>
      <c r="D1941" s="550"/>
      <c r="E1941" s="550"/>
      <c r="F1941" s="550"/>
      <c r="G1941" s="550"/>
      <c r="H1941" s="551"/>
      <c r="I1941" s="550"/>
    </row>
    <row r="1942" spans="1:9" x14ac:dyDescent="0.2">
      <c r="A1942" s="549"/>
      <c r="C1942" s="548"/>
      <c r="D1942" s="550"/>
      <c r="E1942" s="550"/>
      <c r="F1942" s="550"/>
      <c r="G1942" s="550"/>
      <c r="H1942" s="551"/>
      <c r="I1942" s="550"/>
    </row>
    <row r="1943" spans="1:9" x14ac:dyDescent="0.2">
      <c r="A1943" s="549"/>
      <c r="C1943" s="548"/>
      <c r="D1943" s="550"/>
      <c r="E1943" s="550"/>
      <c r="F1943" s="550"/>
      <c r="G1943" s="550"/>
      <c r="H1943" s="551"/>
      <c r="I1943" s="550"/>
    </row>
    <row r="1944" spans="1:9" x14ac:dyDescent="0.2">
      <c r="A1944" s="549"/>
      <c r="C1944" s="548"/>
      <c r="D1944" s="550"/>
      <c r="E1944" s="550"/>
      <c r="F1944" s="550"/>
      <c r="G1944" s="550"/>
      <c r="H1944" s="551"/>
      <c r="I1944" s="550"/>
    </row>
    <row r="1945" spans="1:9" x14ac:dyDescent="0.2">
      <c r="A1945" s="549"/>
      <c r="C1945" s="548"/>
      <c r="D1945" s="550"/>
      <c r="E1945" s="550"/>
      <c r="F1945" s="550"/>
      <c r="G1945" s="550"/>
      <c r="H1945" s="551"/>
      <c r="I1945" s="550"/>
    </row>
    <row r="1946" spans="1:9" x14ac:dyDescent="0.2">
      <c r="A1946" s="549"/>
      <c r="C1946" s="548"/>
      <c r="D1946" s="550"/>
      <c r="E1946" s="550"/>
      <c r="F1946" s="550"/>
      <c r="G1946" s="550"/>
      <c r="H1946" s="551"/>
      <c r="I1946" s="550"/>
    </row>
    <row r="1947" spans="1:9" x14ac:dyDescent="0.2">
      <c r="A1947" s="549"/>
      <c r="C1947" s="548"/>
      <c r="D1947" s="550"/>
      <c r="E1947" s="550"/>
      <c r="F1947" s="550"/>
      <c r="G1947" s="550"/>
      <c r="H1947" s="551"/>
      <c r="I1947" s="550"/>
    </row>
    <row r="1948" spans="1:9" x14ac:dyDescent="0.2">
      <c r="A1948" s="549"/>
      <c r="C1948" s="548"/>
      <c r="D1948" s="550"/>
      <c r="E1948" s="550"/>
      <c r="F1948" s="550"/>
      <c r="G1948" s="550"/>
      <c r="H1948" s="551"/>
      <c r="I1948" s="550"/>
    </row>
    <row r="1949" spans="1:9" x14ac:dyDescent="0.2">
      <c r="A1949" s="549"/>
      <c r="C1949" s="548"/>
      <c r="D1949" s="550"/>
      <c r="E1949" s="550"/>
      <c r="F1949" s="550"/>
      <c r="G1949" s="550"/>
      <c r="H1949" s="551"/>
      <c r="I1949" s="550"/>
    </row>
    <row r="1950" spans="1:9" x14ac:dyDescent="0.2">
      <c r="A1950" s="549"/>
      <c r="C1950" s="548"/>
      <c r="D1950" s="550"/>
      <c r="E1950" s="550"/>
      <c r="F1950" s="550"/>
      <c r="G1950" s="550"/>
      <c r="H1950" s="551"/>
      <c r="I1950" s="550"/>
    </row>
    <row r="1951" spans="1:9" x14ac:dyDescent="0.2">
      <c r="A1951" s="549"/>
      <c r="C1951" s="548"/>
      <c r="D1951" s="550"/>
      <c r="E1951" s="550"/>
      <c r="F1951" s="550"/>
      <c r="G1951" s="550"/>
      <c r="H1951" s="551"/>
      <c r="I1951" s="550"/>
    </row>
    <row r="1952" spans="1:9" x14ac:dyDescent="0.2">
      <c r="A1952" s="549"/>
      <c r="C1952" s="548"/>
      <c r="D1952" s="550"/>
      <c r="E1952" s="550"/>
      <c r="F1952" s="550"/>
      <c r="G1952" s="550"/>
      <c r="H1952" s="551"/>
      <c r="I1952" s="550"/>
    </row>
    <row r="1953" spans="1:9" x14ac:dyDescent="0.2">
      <c r="A1953" s="549"/>
      <c r="C1953" s="548"/>
      <c r="D1953" s="550"/>
      <c r="E1953" s="550"/>
      <c r="F1953" s="550"/>
      <c r="G1953" s="550"/>
      <c r="H1953" s="551"/>
      <c r="I1953" s="550"/>
    </row>
    <row r="1954" spans="1:9" x14ac:dyDescent="0.2">
      <c r="A1954" s="549"/>
      <c r="C1954" s="548"/>
      <c r="D1954" s="550"/>
      <c r="E1954" s="550"/>
      <c r="F1954" s="550"/>
      <c r="G1954" s="550"/>
      <c r="H1954" s="551"/>
      <c r="I1954" s="550"/>
    </row>
    <row r="1955" spans="1:9" x14ac:dyDescent="0.2">
      <c r="A1955" s="549"/>
      <c r="C1955" s="548"/>
      <c r="D1955" s="550"/>
      <c r="E1955" s="550"/>
      <c r="F1955" s="550"/>
      <c r="G1955" s="550"/>
      <c r="H1955" s="551"/>
      <c r="I1955" s="550"/>
    </row>
    <row r="1956" spans="1:9" x14ac:dyDescent="0.2">
      <c r="A1956" s="549"/>
      <c r="C1956" s="548"/>
      <c r="D1956" s="550"/>
      <c r="E1956" s="550"/>
      <c r="F1956" s="550"/>
      <c r="G1956" s="550"/>
      <c r="H1956" s="551"/>
      <c r="I1956" s="550"/>
    </row>
    <row r="1957" spans="1:9" x14ac:dyDescent="0.2">
      <c r="A1957" s="549"/>
      <c r="C1957" s="548"/>
      <c r="D1957" s="550"/>
      <c r="E1957" s="550"/>
      <c r="F1957" s="550"/>
      <c r="G1957" s="550"/>
      <c r="H1957" s="551"/>
      <c r="I1957" s="550"/>
    </row>
    <row r="1958" spans="1:9" x14ac:dyDescent="0.2">
      <c r="A1958" s="549"/>
      <c r="C1958" s="548"/>
      <c r="D1958" s="550"/>
      <c r="E1958" s="550"/>
      <c r="F1958" s="550"/>
      <c r="G1958" s="550"/>
      <c r="H1958" s="551"/>
      <c r="I1958" s="550"/>
    </row>
    <row r="1959" spans="1:9" x14ac:dyDescent="0.2">
      <c r="A1959" s="549"/>
      <c r="C1959" s="548"/>
      <c r="D1959" s="550"/>
      <c r="E1959" s="550"/>
      <c r="F1959" s="550"/>
      <c r="G1959" s="550"/>
      <c r="H1959" s="551"/>
      <c r="I1959" s="550"/>
    </row>
    <row r="1960" spans="1:9" x14ac:dyDescent="0.2">
      <c r="A1960" s="549"/>
      <c r="C1960" s="548"/>
      <c r="D1960" s="550"/>
      <c r="E1960" s="550"/>
      <c r="F1960" s="550"/>
      <c r="G1960" s="550"/>
      <c r="H1960" s="551"/>
      <c r="I1960" s="550"/>
    </row>
    <row r="1961" spans="1:9" x14ac:dyDescent="0.2">
      <c r="A1961" s="549"/>
      <c r="C1961" s="548"/>
      <c r="D1961" s="550"/>
      <c r="E1961" s="550"/>
      <c r="F1961" s="550"/>
      <c r="G1961" s="550"/>
      <c r="H1961" s="551"/>
      <c r="I1961" s="550"/>
    </row>
    <row r="1962" spans="1:9" x14ac:dyDescent="0.2">
      <c r="A1962" s="549"/>
      <c r="C1962" s="548"/>
      <c r="D1962" s="550"/>
      <c r="E1962" s="550"/>
      <c r="F1962" s="550"/>
      <c r="G1962" s="550"/>
      <c r="H1962" s="551"/>
      <c r="I1962" s="550"/>
    </row>
    <row r="1963" spans="1:9" x14ac:dyDescent="0.2">
      <c r="A1963" s="549"/>
      <c r="C1963" s="548"/>
      <c r="D1963" s="550"/>
      <c r="E1963" s="550"/>
      <c r="F1963" s="550"/>
      <c r="G1963" s="550"/>
      <c r="H1963" s="551"/>
      <c r="I1963" s="550"/>
    </row>
    <row r="1964" spans="1:9" x14ac:dyDescent="0.2">
      <c r="A1964" s="549"/>
      <c r="C1964" s="548"/>
      <c r="D1964" s="550"/>
      <c r="E1964" s="550"/>
      <c r="F1964" s="550"/>
      <c r="G1964" s="550"/>
      <c r="H1964" s="551"/>
      <c r="I1964" s="550"/>
    </row>
    <row r="1965" spans="1:9" x14ac:dyDescent="0.2">
      <c r="A1965" s="549"/>
      <c r="C1965" s="548"/>
      <c r="D1965" s="550"/>
      <c r="E1965" s="550"/>
      <c r="F1965" s="550"/>
      <c r="G1965" s="550"/>
      <c r="H1965" s="551"/>
      <c r="I1965" s="550"/>
    </row>
    <row r="1966" spans="1:9" x14ac:dyDescent="0.2">
      <c r="A1966" s="549"/>
      <c r="C1966" s="548"/>
      <c r="D1966" s="550"/>
      <c r="E1966" s="550"/>
      <c r="F1966" s="550"/>
      <c r="G1966" s="550"/>
      <c r="H1966" s="551"/>
      <c r="I1966" s="550"/>
    </row>
    <row r="1967" spans="1:9" x14ac:dyDescent="0.2">
      <c r="A1967" s="549"/>
      <c r="C1967" s="548"/>
      <c r="D1967" s="550"/>
      <c r="E1967" s="550"/>
      <c r="F1967" s="550"/>
      <c r="G1967" s="550"/>
      <c r="H1967" s="551"/>
      <c r="I1967" s="550"/>
    </row>
    <row r="1968" spans="1:9" x14ac:dyDescent="0.2">
      <c r="A1968" s="549"/>
      <c r="C1968" s="548"/>
      <c r="D1968" s="550"/>
      <c r="E1968" s="550"/>
      <c r="F1968" s="550"/>
      <c r="G1968" s="550"/>
      <c r="H1968" s="551"/>
      <c r="I1968" s="550"/>
    </row>
    <row r="1969" spans="1:9" x14ac:dyDescent="0.2">
      <c r="A1969" s="549"/>
      <c r="C1969" s="548"/>
      <c r="D1969" s="550"/>
      <c r="E1969" s="550"/>
      <c r="F1969" s="550"/>
      <c r="G1969" s="550"/>
      <c r="H1969" s="551"/>
      <c r="I1969" s="550"/>
    </row>
    <row r="1970" spans="1:9" x14ac:dyDescent="0.2">
      <c r="A1970" s="549"/>
      <c r="C1970" s="548"/>
      <c r="D1970" s="550"/>
      <c r="E1970" s="550"/>
      <c r="F1970" s="550"/>
      <c r="G1970" s="550"/>
      <c r="H1970" s="551"/>
      <c r="I1970" s="550"/>
    </row>
    <row r="1971" spans="1:9" x14ac:dyDescent="0.2">
      <c r="A1971" s="549"/>
      <c r="C1971" s="548"/>
      <c r="D1971" s="550"/>
      <c r="E1971" s="550"/>
      <c r="F1971" s="550"/>
      <c r="G1971" s="550"/>
      <c r="H1971" s="551"/>
      <c r="I1971" s="550"/>
    </row>
    <row r="1972" spans="1:9" x14ac:dyDescent="0.2">
      <c r="A1972" s="549"/>
      <c r="C1972" s="548"/>
      <c r="D1972" s="550"/>
      <c r="E1972" s="550"/>
      <c r="F1972" s="550"/>
      <c r="G1972" s="550"/>
      <c r="H1972" s="551"/>
      <c r="I1972" s="550"/>
    </row>
    <row r="1973" spans="1:9" x14ac:dyDescent="0.2">
      <c r="A1973" s="549"/>
      <c r="C1973" s="548"/>
      <c r="D1973" s="550"/>
      <c r="E1973" s="550"/>
      <c r="F1973" s="550"/>
      <c r="G1973" s="550"/>
      <c r="H1973" s="551"/>
      <c r="I1973" s="550"/>
    </row>
    <row r="1974" spans="1:9" x14ac:dyDescent="0.2">
      <c r="A1974" s="549"/>
      <c r="C1974" s="548"/>
      <c r="D1974" s="550"/>
      <c r="E1974" s="550"/>
      <c r="F1974" s="550"/>
      <c r="G1974" s="550"/>
      <c r="H1974" s="551"/>
      <c r="I1974" s="550"/>
    </row>
    <row r="1975" spans="1:9" x14ac:dyDescent="0.2">
      <c r="A1975" s="549"/>
      <c r="C1975" s="548"/>
      <c r="D1975" s="550"/>
      <c r="E1975" s="550"/>
      <c r="F1975" s="550"/>
      <c r="G1975" s="550"/>
      <c r="H1975" s="551"/>
      <c r="I1975" s="550"/>
    </row>
    <row r="1976" spans="1:9" x14ac:dyDescent="0.2">
      <c r="A1976" s="549"/>
      <c r="C1976" s="548"/>
      <c r="D1976" s="550"/>
      <c r="E1976" s="550"/>
      <c r="F1976" s="550"/>
      <c r="G1976" s="550"/>
      <c r="H1976" s="551"/>
      <c r="I1976" s="550"/>
    </row>
    <row r="1977" spans="1:9" x14ac:dyDescent="0.2">
      <c r="A1977" s="549"/>
      <c r="C1977" s="548"/>
      <c r="D1977" s="550"/>
      <c r="E1977" s="550"/>
      <c r="F1977" s="550"/>
      <c r="G1977" s="550"/>
      <c r="H1977" s="551"/>
      <c r="I1977" s="550"/>
    </row>
    <row r="1978" spans="1:9" x14ac:dyDescent="0.2">
      <c r="A1978" s="549"/>
      <c r="C1978" s="548"/>
      <c r="D1978" s="550"/>
      <c r="E1978" s="550"/>
      <c r="F1978" s="550"/>
      <c r="G1978" s="550"/>
      <c r="H1978" s="551"/>
      <c r="I1978" s="550"/>
    </row>
    <row r="1979" spans="1:9" x14ac:dyDescent="0.2">
      <c r="A1979" s="549"/>
      <c r="C1979" s="548"/>
      <c r="D1979" s="550"/>
      <c r="E1979" s="550"/>
      <c r="F1979" s="550"/>
      <c r="G1979" s="550"/>
      <c r="H1979" s="551"/>
      <c r="I1979" s="550"/>
    </row>
    <row r="1980" spans="1:9" x14ac:dyDescent="0.2">
      <c r="A1980" s="549"/>
      <c r="C1980" s="548"/>
      <c r="D1980" s="550"/>
      <c r="E1980" s="550"/>
      <c r="F1980" s="550"/>
      <c r="G1980" s="550"/>
      <c r="H1980" s="551"/>
      <c r="I1980" s="550"/>
    </row>
    <row r="1981" spans="1:9" x14ac:dyDescent="0.2">
      <c r="A1981" s="549"/>
      <c r="C1981" s="548"/>
      <c r="D1981" s="550"/>
      <c r="E1981" s="550"/>
      <c r="F1981" s="550"/>
      <c r="G1981" s="550"/>
      <c r="H1981" s="551"/>
      <c r="I1981" s="550"/>
    </row>
    <row r="1982" spans="1:9" x14ac:dyDescent="0.2">
      <c r="A1982" s="549"/>
      <c r="C1982" s="548"/>
      <c r="D1982" s="550"/>
      <c r="E1982" s="550"/>
      <c r="F1982" s="550"/>
      <c r="G1982" s="550"/>
      <c r="H1982" s="551"/>
      <c r="I1982" s="550"/>
    </row>
    <row r="1983" spans="1:9" x14ac:dyDescent="0.2">
      <c r="A1983" s="549"/>
      <c r="C1983" s="548"/>
      <c r="D1983" s="550"/>
      <c r="E1983" s="550"/>
      <c r="F1983" s="550"/>
      <c r="G1983" s="550"/>
      <c r="H1983" s="551"/>
      <c r="I1983" s="550"/>
    </row>
    <row r="1984" spans="1:9" x14ac:dyDescent="0.2">
      <c r="A1984" s="549"/>
      <c r="C1984" s="548"/>
      <c r="D1984" s="550"/>
      <c r="E1984" s="550"/>
      <c r="F1984" s="550"/>
      <c r="G1984" s="550"/>
      <c r="H1984" s="551"/>
      <c r="I1984" s="550"/>
    </row>
    <row r="1985" spans="1:9" x14ac:dyDescent="0.2">
      <c r="A1985" s="549"/>
      <c r="C1985" s="548"/>
      <c r="D1985" s="550"/>
      <c r="E1985" s="550"/>
      <c r="F1985" s="550"/>
      <c r="G1985" s="550"/>
      <c r="H1985" s="551"/>
      <c r="I1985" s="550"/>
    </row>
    <row r="1986" spans="1:9" x14ac:dyDescent="0.2">
      <c r="A1986" s="549"/>
      <c r="C1986" s="548"/>
      <c r="D1986" s="550"/>
      <c r="E1986" s="550"/>
      <c r="F1986" s="550"/>
      <c r="G1986" s="550"/>
      <c r="H1986" s="551"/>
      <c r="I1986" s="550"/>
    </row>
    <row r="1987" spans="1:9" x14ac:dyDescent="0.2">
      <c r="A1987" s="549"/>
      <c r="C1987" s="548"/>
      <c r="D1987" s="550"/>
      <c r="E1987" s="550"/>
      <c r="F1987" s="550"/>
      <c r="G1987" s="550"/>
      <c r="H1987" s="551"/>
      <c r="I1987" s="550"/>
    </row>
    <row r="1988" spans="1:9" x14ac:dyDescent="0.2">
      <c r="A1988" s="549"/>
      <c r="C1988" s="548"/>
      <c r="D1988" s="550"/>
      <c r="E1988" s="550"/>
      <c r="F1988" s="550"/>
      <c r="G1988" s="550"/>
      <c r="H1988" s="551"/>
      <c r="I1988" s="550"/>
    </row>
    <row r="1989" spans="1:9" x14ac:dyDescent="0.2">
      <c r="A1989" s="549"/>
      <c r="C1989" s="548"/>
      <c r="D1989" s="550"/>
      <c r="E1989" s="550"/>
      <c r="F1989" s="550"/>
      <c r="G1989" s="550"/>
      <c r="H1989" s="551"/>
      <c r="I1989" s="550"/>
    </row>
    <row r="1990" spans="1:9" x14ac:dyDescent="0.2">
      <c r="A1990" s="549"/>
      <c r="C1990" s="548"/>
      <c r="D1990" s="550"/>
      <c r="E1990" s="550"/>
      <c r="F1990" s="550"/>
      <c r="G1990" s="550"/>
      <c r="H1990" s="551"/>
      <c r="I1990" s="550"/>
    </row>
    <row r="1991" spans="1:9" x14ac:dyDescent="0.2">
      <c r="A1991" s="549"/>
      <c r="C1991" s="548"/>
      <c r="D1991" s="550"/>
      <c r="E1991" s="550"/>
      <c r="F1991" s="550"/>
      <c r="G1991" s="550"/>
      <c r="H1991" s="551"/>
      <c r="I1991" s="550"/>
    </row>
    <row r="1992" spans="1:9" x14ac:dyDescent="0.2">
      <c r="A1992" s="549"/>
      <c r="C1992" s="548"/>
      <c r="D1992" s="550"/>
      <c r="E1992" s="550"/>
      <c r="F1992" s="550"/>
      <c r="G1992" s="550"/>
      <c r="H1992" s="551"/>
      <c r="I1992" s="550"/>
    </row>
    <row r="1993" spans="1:9" x14ac:dyDescent="0.2">
      <c r="A1993" s="549"/>
      <c r="C1993" s="548"/>
      <c r="D1993" s="550"/>
      <c r="E1993" s="550"/>
      <c r="F1993" s="550"/>
      <c r="G1993" s="550"/>
      <c r="H1993" s="551"/>
      <c r="I1993" s="550"/>
    </row>
    <row r="1994" spans="1:9" x14ac:dyDescent="0.2">
      <c r="A1994" s="549"/>
      <c r="C1994" s="548"/>
      <c r="D1994" s="550"/>
      <c r="E1994" s="550"/>
      <c r="F1994" s="550"/>
      <c r="G1994" s="550"/>
      <c r="H1994" s="551"/>
      <c r="I1994" s="550"/>
    </row>
    <row r="1995" spans="1:9" x14ac:dyDescent="0.2">
      <c r="A1995" s="549"/>
      <c r="C1995" s="548"/>
      <c r="D1995" s="550"/>
      <c r="E1995" s="550"/>
      <c r="F1995" s="550"/>
      <c r="G1995" s="550"/>
      <c r="H1995" s="551"/>
      <c r="I1995" s="550"/>
    </row>
    <row r="1996" spans="1:9" x14ac:dyDescent="0.2">
      <c r="A1996" s="549"/>
      <c r="C1996" s="548"/>
      <c r="D1996" s="550"/>
      <c r="E1996" s="550"/>
      <c r="F1996" s="550"/>
      <c r="G1996" s="550"/>
      <c r="H1996" s="551"/>
      <c r="I1996" s="550"/>
    </row>
    <row r="1997" spans="1:9" x14ac:dyDescent="0.2">
      <c r="A1997" s="549"/>
      <c r="C1997" s="548"/>
      <c r="D1997" s="550"/>
      <c r="E1997" s="550"/>
      <c r="F1997" s="550"/>
      <c r="G1997" s="550"/>
      <c r="H1997" s="551"/>
      <c r="I1997" s="550"/>
    </row>
    <row r="1998" spans="1:9" x14ac:dyDescent="0.2">
      <c r="A1998" s="549"/>
      <c r="C1998" s="548"/>
      <c r="D1998" s="550"/>
      <c r="E1998" s="550"/>
      <c r="F1998" s="550"/>
      <c r="G1998" s="550"/>
      <c r="H1998" s="551"/>
      <c r="I1998" s="550"/>
    </row>
    <row r="1999" spans="1:9" x14ac:dyDescent="0.2">
      <c r="A1999" s="549"/>
      <c r="C1999" s="548"/>
      <c r="D1999" s="550"/>
      <c r="E1999" s="550"/>
      <c r="F1999" s="550"/>
      <c r="G1999" s="550"/>
      <c r="H1999" s="551"/>
      <c r="I1999" s="550"/>
    </row>
    <row r="2000" spans="1:9" x14ac:dyDescent="0.2">
      <c r="A2000" s="549"/>
      <c r="C2000" s="548"/>
      <c r="D2000" s="550"/>
      <c r="E2000" s="550"/>
      <c r="F2000" s="550"/>
      <c r="G2000" s="550"/>
      <c r="H2000" s="551"/>
      <c r="I2000" s="550"/>
    </row>
    <row r="2001" spans="1:9" x14ac:dyDescent="0.2">
      <c r="A2001" s="549"/>
      <c r="C2001" s="548"/>
      <c r="D2001" s="550"/>
      <c r="E2001" s="550"/>
      <c r="F2001" s="550"/>
      <c r="G2001" s="550"/>
      <c r="H2001" s="551"/>
      <c r="I2001" s="550"/>
    </row>
    <row r="2002" spans="1:9" x14ac:dyDescent="0.2">
      <c r="A2002" s="549"/>
      <c r="C2002" s="548"/>
      <c r="D2002" s="550"/>
      <c r="E2002" s="550"/>
      <c r="F2002" s="550"/>
      <c r="G2002" s="550"/>
      <c r="H2002" s="551"/>
      <c r="I2002" s="550"/>
    </row>
    <row r="2003" spans="1:9" x14ac:dyDescent="0.2">
      <c r="A2003" s="549"/>
      <c r="C2003" s="548"/>
      <c r="D2003" s="550"/>
      <c r="E2003" s="550"/>
      <c r="F2003" s="550"/>
      <c r="G2003" s="550"/>
      <c r="H2003" s="551"/>
      <c r="I2003" s="550"/>
    </row>
    <row r="2004" spans="1:9" x14ac:dyDescent="0.2">
      <c r="A2004" s="549"/>
      <c r="C2004" s="548"/>
      <c r="D2004" s="550"/>
      <c r="E2004" s="550"/>
      <c r="F2004" s="550"/>
      <c r="G2004" s="550"/>
      <c r="H2004" s="551"/>
      <c r="I2004" s="550"/>
    </row>
    <row r="2005" spans="1:9" x14ac:dyDescent="0.2">
      <c r="A2005" s="549"/>
      <c r="C2005" s="548"/>
      <c r="D2005" s="550"/>
      <c r="E2005" s="550"/>
      <c r="F2005" s="550"/>
      <c r="G2005" s="550"/>
      <c r="H2005" s="551"/>
      <c r="I2005" s="550"/>
    </row>
    <row r="2006" spans="1:9" x14ac:dyDescent="0.2">
      <c r="A2006" s="549"/>
      <c r="C2006" s="548"/>
      <c r="D2006" s="550"/>
      <c r="E2006" s="550"/>
      <c r="F2006" s="550"/>
      <c r="G2006" s="550"/>
      <c r="H2006" s="551"/>
      <c r="I2006" s="550"/>
    </row>
    <row r="2007" spans="1:9" x14ac:dyDescent="0.2">
      <c r="A2007" s="549"/>
      <c r="C2007" s="548"/>
      <c r="D2007" s="550"/>
      <c r="E2007" s="550"/>
      <c r="F2007" s="550"/>
      <c r="G2007" s="550"/>
      <c r="H2007" s="551"/>
      <c r="I2007" s="550"/>
    </row>
    <row r="2008" spans="1:9" x14ac:dyDescent="0.2">
      <c r="A2008" s="549"/>
      <c r="C2008" s="548"/>
      <c r="D2008" s="550"/>
      <c r="E2008" s="550"/>
      <c r="F2008" s="550"/>
      <c r="G2008" s="550"/>
      <c r="H2008" s="551"/>
      <c r="I2008" s="550"/>
    </row>
    <row r="2009" spans="1:9" x14ac:dyDescent="0.2">
      <c r="A2009" s="549"/>
      <c r="C2009" s="548"/>
      <c r="D2009" s="550"/>
      <c r="E2009" s="550"/>
      <c r="F2009" s="550"/>
      <c r="G2009" s="550"/>
      <c r="H2009" s="551"/>
      <c r="I2009" s="550"/>
    </row>
    <row r="2010" spans="1:9" x14ac:dyDescent="0.2">
      <c r="A2010" s="549"/>
      <c r="C2010" s="548"/>
      <c r="D2010" s="550"/>
      <c r="E2010" s="550"/>
      <c r="F2010" s="550"/>
      <c r="G2010" s="550"/>
      <c r="H2010" s="551"/>
      <c r="I2010" s="550"/>
    </row>
    <row r="2011" spans="1:9" x14ac:dyDescent="0.2">
      <c r="A2011" s="549"/>
      <c r="C2011" s="548"/>
      <c r="D2011" s="550"/>
      <c r="E2011" s="550"/>
      <c r="F2011" s="550"/>
      <c r="G2011" s="550"/>
      <c r="H2011" s="551"/>
      <c r="I2011" s="550"/>
    </row>
    <row r="2012" spans="1:9" x14ac:dyDescent="0.2">
      <c r="A2012" s="549"/>
      <c r="C2012" s="548"/>
      <c r="D2012" s="550"/>
      <c r="E2012" s="550"/>
      <c r="F2012" s="550"/>
      <c r="G2012" s="550"/>
      <c r="H2012" s="551"/>
      <c r="I2012" s="550"/>
    </row>
    <row r="2013" spans="1:9" x14ac:dyDescent="0.2">
      <c r="A2013" s="549"/>
      <c r="C2013" s="548"/>
      <c r="D2013" s="550"/>
      <c r="E2013" s="550"/>
      <c r="F2013" s="550"/>
      <c r="G2013" s="550"/>
      <c r="H2013" s="551"/>
      <c r="I2013" s="550"/>
    </row>
    <row r="2014" spans="1:9" x14ac:dyDescent="0.2">
      <c r="A2014" s="549"/>
      <c r="C2014" s="548"/>
      <c r="D2014" s="550"/>
      <c r="E2014" s="550"/>
      <c r="F2014" s="550"/>
      <c r="G2014" s="550"/>
      <c r="H2014" s="551"/>
      <c r="I2014" s="550"/>
    </row>
    <row r="2015" spans="1:9" x14ac:dyDescent="0.2">
      <c r="A2015" s="549"/>
      <c r="C2015" s="548"/>
      <c r="D2015" s="550"/>
      <c r="E2015" s="550"/>
      <c r="F2015" s="550"/>
      <c r="G2015" s="550"/>
      <c r="H2015" s="551"/>
      <c r="I2015" s="550"/>
    </row>
    <row r="2016" spans="1:9" x14ac:dyDescent="0.2">
      <c r="A2016" s="549"/>
      <c r="C2016" s="548"/>
      <c r="D2016" s="550"/>
      <c r="E2016" s="550"/>
      <c r="F2016" s="550"/>
      <c r="G2016" s="550"/>
      <c r="H2016" s="551"/>
      <c r="I2016" s="550"/>
    </row>
    <row r="2017" spans="1:9" x14ac:dyDescent="0.2">
      <c r="A2017" s="549"/>
      <c r="C2017" s="548"/>
      <c r="D2017" s="550"/>
      <c r="E2017" s="550"/>
      <c r="F2017" s="550"/>
      <c r="G2017" s="550"/>
      <c r="H2017" s="551"/>
      <c r="I2017" s="550"/>
    </row>
    <row r="2018" spans="1:9" x14ac:dyDescent="0.2">
      <c r="A2018" s="549"/>
      <c r="C2018" s="548"/>
      <c r="D2018" s="550"/>
      <c r="E2018" s="550"/>
      <c r="F2018" s="550"/>
      <c r="G2018" s="550"/>
      <c r="H2018" s="551"/>
      <c r="I2018" s="550"/>
    </row>
    <row r="2019" spans="1:9" x14ac:dyDescent="0.2">
      <c r="A2019" s="549"/>
      <c r="C2019" s="548"/>
      <c r="D2019" s="550"/>
      <c r="E2019" s="550"/>
      <c r="F2019" s="550"/>
      <c r="G2019" s="550"/>
      <c r="H2019" s="551"/>
      <c r="I2019" s="550"/>
    </row>
    <row r="2020" spans="1:9" x14ac:dyDescent="0.2">
      <c r="A2020" s="549"/>
      <c r="C2020" s="548"/>
      <c r="D2020" s="550"/>
      <c r="E2020" s="550"/>
      <c r="F2020" s="550"/>
      <c r="G2020" s="550"/>
      <c r="H2020" s="551"/>
      <c r="I2020" s="550"/>
    </row>
    <row r="2021" spans="1:9" x14ac:dyDescent="0.2">
      <c r="A2021" s="549"/>
      <c r="C2021" s="548"/>
      <c r="D2021" s="550"/>
      <c r="E2021" s="550"/>
      <c r="F2021" s="550"/>
      <c r="G2021" s="550"/>
      <c r="H2021" s="551"/>
      <c r="I2021" s="550"/>
    </row>
    <row r="2022" spans="1:9" x14ac:dyDescent="0.2">
      <c r="A2022" s="549"/>
      <c r="C2022" s="548"/>
      <c r="D2022" s="550"/>
      <c r="E2022" s="550"/>
      <c r="F2022" s="550"/>
      <c r="G2022" s="550"/>
      <c r="H2022" s="551"/>
      <c r="I2022" s="550"/>
    </row>
    <row r="2023" spans="1:9" x14ac:dyDescent="0.2">
      <c r="A2023" s="549"/>
      <c r="C2023" s="548"/>
      <c r="D2023" s="550"/>
      <c r="E2023" s="550"/>
      <c r="F2023" s="550"/>
      <c r="G2023" s="550"/>
      <c r="H2023" s="551"/>
      <c r="I2023" s="550"/>
    </row>
    <row r="2024" spans="1:9" x14ac:dyDescent="0.2">
      <c r="A2024" s="549"/>
      <c r="C2024" s="548"/>
      <c r="D2024" s="550"/>
      <c r="E2024" s="550"/>
      <c r="F2024" s="550"/>
      <c r="G2024" s="550"/>
      <c r="H2024" s="551"/>
      <c r="I2024" s="550"/>
    </row>
    <row r="2025" spans="1:9" x14ac:dyDescent="0.2">
      <c r="A2025" s="549"/>
      <c r="C2025" s="548"/>
      <c r="D2025" s="550"/>
      <c r="E2025" s="550"/>
      <c r="F2025" s="550"/>
      <c r="G2025" s="550"/>
      <c r="H2025" s="551"/>
      <c r="I2025" s="550"/>
    </row>
    <row r="2026" spans="1:9" x14ac:dyDescent="0.2">
      <c r="A2026" s="549"/>
      <c r="C2026" s="548"/>
      <c r="D2026" s="550"/>
      <c r="E2026" s="550"/>
      <c r="F2026" s="550"/>
      <c r="G2026" s="550"/>
      <c r="H2026" s="551"/>
      <c r="I2026" s="550"/>
    </row>
    <row r="2027" spans="1:9" x14ac:dyDescent="0.2">
      <c r="A2027" s="549"/>
      <c r="C2027" s="548"/>
      <c r="D2027" s="550"/>
      <c r="E2027" s="550"/>
      <c r="F2027" s="550"/>
      <c r="G2027" s="550"/>
      <c r="H2027" s="551"/>
      <c r="I2027" s="550"/>
    </row>
    <row r="2028" spans="1:9" x14ac:dyDescent="0.2">
      <c r="A2028" s="549"/>
      <c r="C2028" s="548"/>
      <c r="D2028" s="550"/>
      <c r="E2028" s="550"/>
      <c r="F2028" s="550"/>
      <c r="G2028" s="550"/>
      <c r="H2028" s="551"/>
      <c r="I2028" s="550"/>
    </row>
    <row r="2029" spans="1:9" x14ac:dyDescent="0.2">
      <c r="A2029" s="549"/>
      <c r="C2029" s="548"/>
      <c r="D2029" s="550"/>
      <c r="E2029" s="550"/>
      <c r="F2029" s="550"/>
      <c r="G2029" s="550"/>
      <c r="H2029" s="551"/>
      <c r="I2029" s="550"/>
    </row>
    <row r="2030" spans="1:9" x14ac:dyDescent="0.2">
      <c r="A2030" s="549"/>
      <c r="C2030" s="548"/>
      <c r="D2030" s="550"/>
      <c r="E2030" s="550"/>
      <c r="F2030" s="550"/>
      <c r="G2030" s="550"/>
      <c r="H2030" s="551"/>
      <c r="I2030" s="550"/>
    </row>
    <row r="2031" spans="1:9" x14ac:dyDescent="0.2">
      <c r="A2031" s="549"/>
      <c r="C2031" s="548"/>
      <c r="D2031" s="550"/>
      <c r="E2031" s="550"/>
      <c r="F2031" s="550"/>
      <c r="G2031" s="550"/>
      <c r="H2031" s="551"/>
      <c r="I2031" s="550"/>
    </row>
    <row r="2032" spans="1:9" x14ac:dyDescent="0.2">
      <c r="A2032" s="549"/>
      <c r="C2032" s="548"/>
      <c r="D2032" s="550"/>
      <c r="E2032" s="550"/>
      <c r="F2032" s="550"/>
      <c r="G2032" s="550"/>
      <c r="H2032" s="551"/>
      <c r="I2032" s="550"/>
    </row>
    <row r="2033" spans="1:9" x14ac:dyDescent="0.2">
      <c r="A2033" s="549"/>
      <c r="C2033" s="548"/>
      <c r="D2033" s="550"/>
      <c r="E2033" s="550"/>
      <c r="F2033" s="550"/>
      <c r="G2033" s="550"/>
      <c r="H2033" s="551"/>
      <c r="I2033" s="550"/>
    </row>
    <row r="2034" spans="1:9" x14ac:dyDescent="0.2">
      <c r="A2034" s="549"/>
      <c r="C2034" s="548"/>
      <c r="D2034" s="550"/>
      <c r="E2034" s="550"/>
      <c r="F2034" s="550"/>
      <c r="G2034" s="550"/>
      <c r="H2034" s="551"/>
      <c r="I2034" s="550"/>
    </row>
    <row r="2035" spans="1:9" x14ac:dyDescent="0.2">
      <c r="A2035" s="549"/>
      <c r="C2035" s="548"/>
      <c r="D2035" s="550"/>
      <c r="E2035" s="550"/>
      <c r="F2035" s="550"/>
      <c r="G2035" s="550"/>
      <c r="H2035" s="551"/>
      <c r="I2035" s="550"/>
    </row>
    <row r="2036" spans="1:9" x14ac:dyDescent="0.2">
      <c r="A2036" s="549"/>
      <c r="C2036" s="548"/>
      <c r="D2036" s="550"/>
      <c r="E2036" s="550"/>
      <c r="F2036" s="550"/>
      <c r="G2036" s="550"/>
      <c r="H2036" s="551"/>
      <c r="I2036" s="550"/>
    </row>
    <row r="2037" spans="1:9" x14ac:dyDescent="0.2">
      <c r="A2037" s="549"/>
      <c r="C2037" s="548"/>
      <c r="D2037" s="550"/>
      <c r="E2037" s="550"/>
      <c r="F2037" s="550"/>
      <c r="G2037" s="550"/>
      <c r="H2037" s="551"/>
      <c r="I2037" s="550"/>
    </row>
    <row r="2038" spans="1:9" x14ac:dyDescent="0.2">
      <c r="A2038" s="549"/>
      <c r="C2038" s="548"/>
      <c r="D2038" s="550"/>
      <c r="E2038" s="550"/>
      <c r="F2038" s="550"/>
      <c r="G2038" s="550"/>
      <c r="H2038" s="551"/>
      <c r="I2038" s="550"/>
    </row>
    <row r="2039" spans="1:9" x14ac:dyDescent="0.2">
      <c r="A2039" s="549"/>
      <c r="C2039" s="548"/>
      <c r="D2039" s="550"/>
      <c r="E2039" s="550"/>
      <c r="F2039" s="550"/>
      <c r="G2039" s="550"/>
      <c r="H2039" s="551"/>
      <c r="I2039" s="550"/>
    </row>
    <row r="2040" spans="1:9" x14ac:dyDescent="0.2">
      <c r="A2040" s="549"/>
      <c r="C2040" s="548"/>
      <c r="D2040" s="550"/>
      <c r="E2040" s="550"/>
      <c r="F2040" s="550"/>
      <c r="G2040" s="550"/>
      <c r="H2040" s="551"/>
      <c r="I2040" s="550"/>
    </row>
    <row r="2041" spans="1:9" x14ac:dyDescent="0.2">
      <c r="A2041" s="549"/>
      <c r="C2041" s="548"/>
      <c r="D2041" s="550"/>
      <c r="E2041" s="550"/>
      <c r="F2041" s="550"/>
      <c r="G2041" s="550"/>
      <c r="H2041" s="551"/>
      <c r="I2041" s="550"/>
    </row>
    <row r="2042" spans="1:9" x14ac:dyDescent="0.2">
      <c r="A2042" s="549"/>
      <c r="C2042" s="548"/>
      <c r="D2042" s="550"/>
      <c r="E2042" s="550"/>
      <c r="F2042" s="550"/>
      <c r="G2042" s="550"/>
      <c r="H2042" s="551"/>
      <c r="I2042" s="550"/>
    </row>
    <row r="2043" spans="1:9" x14ac:dyDescent="0.2">
      <c r="A2043" s="549"/>
      <c r="C2043" s="548"/>
      <c r="D2043" s="550"/>
      <c r="E2043" s="550"/>
      <c r="F2043" s="550"/>
      <c r="G2043" s="550"/>
      <c r="H2043" s="551"/>
      <c r="I2043" s="550"/>
    </row>
    <row r="2044" spans="1:9" x14ac:dyDescent="0.2">
      <c r="A2044" s="549"/>
      <c r="C2044" s="548"/>
      <c r="D2044" s="550"/>
      <c r="E2044" s="550"/>
      <c r="F2044" s="550"/>
      <c r="G2044" s="550"/>
      <c r="H2044" s="551"/>
      <c r="I2044" s="550"/>
    </row>
    <row r="2045" spans="1:9" x14ac:dyDescent="0.2">
      <c r="A2045" s="549"/>
      <c r="C2045" s="548"/>
      <c r="D2045" s="550"/>
      <c r="E2045" s="550"/>
      <c r="F2045" s="550"/>
      <c r="G2045" s="550"/>
      <c r="H2045" s="551"/>
      <c r="I2045" s="550"/>
    </row>
    <row r="2046" spans="1:9" x14ac:dyDescent="0.2">
      <c r="A2046" s="549"/>
      <c r="C2046" s="548"/>
      <c r="D2046" s="550"/>
      <c r="E2046" s="550"/>
      <c r="F2046" s="550"/>
      <c r="G2046" s="550"/>
      <c r="H2046" s="551"/>
      <c r="I2046" s="550"/>
    </row>
    <row r="2047" spans="1:9" x14ac:dyDescent="0.2">
      <c r="A2047" s="549"/>
      <c r="C2047" s="548"/>
      <c r="D2047" s="550"/>
      <c r="E2047" s="550"/>
      <c r="F2047" s="550"/>
      <c r="G2047" s="550"/>
      <c r="H2047" s="551"/>
      <c r="I2047" s="550"/>
    </row>
    <row r="2048" spans="1:9" x14ac:dyDescent="0.2">
      <c r="A2048" s="549"/>
      <c r="C2048" s="548"/>
      <c r="D2048" s="550"/>
      <c r="E2048" s="550"/>
      <c r="F2048" s="550"/>
      <c r="G2048" s="550"/>
      <c r="H2048" s="551"/>
      <c r="I2048" s="550"/>
    </row>
    <row r="2049" spans="1:9" x14ac:dyDescent="0.2">
      <c r="A2049" s="549"/>
      <c r="C2049" s="548"/>
      <c r="D2049" s="550"/>
      <c r="E2049" s="550"/>
      <c r="F2049" s="550"/>
      <c r="G2049" s="550"/>
      <c r="H2049" s="551"/>
      <c r="I2049" s="550"/>
    </row>
    <row r="2050" spans="1:9" x14ac:dyDescent="0.2">
      <c r="A2050" s="549"/>
      <c r="C2050" s="548"/>
      <c r="D2050" s="550"/>
      <c r="E2050" s="550"/>
      <c r="F2050" s="550"/>
      <c r="G2050" s="550"/>
      <c r="H2050" s="551"/>
      <c r="I2050" s="550"/>
    </row>
    <row r="2051" spans="1:9" x14ac:dyDescent="0.2">
      <c r="A2051" s="549"/>
      <c r="C2051" s="548"/>
      <c r="D2051" s="550"/>
      <c r="E2051" s="550"/>
      <c r="F2051" s="550"/>
      <c r="G2051" s="550"/>
      <c r="H2051" s="551"/>
      <c r="I2051" s="550"/>
    </row>
    <row r="2052" spans="1:9" x14ac:dyDescent="0.2">
      <c r="A2052" s="549"/>
      <c r="C2052" s="548"/>
      <c r="D2052" s="550"/>
      <c r="E2052" s="550"/>
      <c r="F2052" s="550"/>
      <c r="G2052" s="550"/>
      <c r="H2052" s="551"/>
      <c r="I2052" s="550"/>
    </row>
    <row r="2053" spans="1:9" x14ac:dyDescent="0.2">
      <c r="A2053" s="549"/>
      <c r="C2053" s="548"/>
      <c r="D2053" s="550"/>
      <c r="E2053" s="550"/>
      <c r="F2053" s="550"/>
      <c r="G2053" s="550"/>
      <c r="H2053" s="551"/>
      <c r="I2053" s="550"/>
    </row>
    <row r="2054" spans="1:9" x14ac:dyDescent="0.2">
      <c r="A2054" s="549"/>
      <c r="C2054" s="548"/>
      <c r="D2054" s="550"/>
      <c r="E2054" s="550"/>
      <c r="F2054" s="550"/>
      <c r="G2054" s="550"/>
      <c r="H2054" s="551"/>
      <c r="I2054" s="550"/>
    </row>
    <row r="2055" spans="1:9" x14ac:dyDescent="0.2">
      <c r="A2055" s="549"/>
      <c r="C2055" s="548"/>
      <c r="D2055" s="550"/>
      <c r="E2055" s="550"/>
      <c r="F2055" s="550"/>
      <c r="G2055" s="550"/>
      <c r="H2055" s="551"/>
      <c r="I2055" s="550"/>
    </row>
    <row r="2056" spans="1:9" x14ac:dyDescent="0.2">
      <c r="A2056" s="549"/>
      <c r="C2056" s="548"/>
      <c r="D2056" s="550"/>
      <c r="E2056" s="550"/>
      <c r="F2056" s="550"/>
      <c r="G2056" s="550"/>
      <c r="H2056" s="551"/>
      <c r="I2056" s="550"/>
    </row>
    <row r="2057" spans="1:9" x14ac:dyDescent="0.2">
      <c r="A2057" s="549"/>
      <c r="C2057" s="548"/>
      <c r="D2057" s="550"/>
      <c r="E2057" s="550"/>
      <c r="F2057" s="550"/>
      <c r="G2057" s="550"/>
      <c r="H2057" s="551"/>
      <c r="I2057" s="550"/>
    </row>
    <row r="2058" spans="1:9" x14ac:dyDescent="0.2">
      <c r="A2058" s="549"/>
      <c r="C2058" s="548"/>
      <c r="D2058" s="550"/>
      <c r="E2058" s="550"/>
      <c r="F2058" s="550"/>
      <c r="G2058" s="550"/>
      <c r="H2058" s="551"/>
      <c r="I2058" s="550"/>
    </row>
    <row r="2059" spans="1:9" x14ac:dyDescent="0.2">
      <c r="A2059" s="549"/>
      <c r="C2059" s="548"/>
      <c r="D2059" s="550"/>
      <c r="E2059" s="550"/>
      <c r="F2059" s="550"/>
      <c r="G2059" s="550"/>
      <c r="H2059" s="551"/>
      <c r="I2059" s="550"/>
    </row>
    <row r="2060" spans="1:9" x14ac:dyDescent="0.2">
      <c r="A2060" s="549"/>
      <c r="C2060" s="548"/>
      <c r="D2060" s="550"/>
      <c r="E2060" s="550"/>
      <c r="F2060" s="550"/>
      <c r="G2060" s="550"/>
      <c r="H2060" s="551"/>
      <c r="I2060" s="550"/>
    </row>
    <row r="2061" spans="1:9" x14ac:dyDescent="0.2">
      <c r="A2061" s="549"/>
      <c r="C2061" s="548"/>
      <c r="D2061" s="550"/>
      <c r="E2061" s="550"/>
      <c r="F2061" s="550"/>
      <c r="G2061" s="550"/>
      <c r="H2061" s="551"/>
      <c r="I2061" s="550"/>
    </row>
    <row r="2062" spans="1:9" x14ac:dyDescent="0.2">
      <c r="A2062" s="549"/>
      <c r="C2062" s="548"/>
      <c r="D2062" s="550"/>
      <c r="E2062" s="550"/>
      <c r="F2062" s="550"/>
      <c r="G2062" s="550"/>
      <c r="H2062" s="551"/>
      <c r="I2062" s="550"/>
    </row>
    <row r="2063" spans="1:9" x14ac:dyDescent="0.2">
      <c r="A2063" s="549"/>
      <c r="C2063" s="548"/>
      <c r="D2063" s="550"/>
      <c r="E2063" s="550"/>
      <c r="F2063" s="550"/>
      <c r="G2063" s="550"/>
      <c r="H2063" s="551"/>
      <c r="I2063" s="550"/>
    </row>
    <row r="2064" spans="1:9" x14ac:dyDescent="0.2">
      <c r="A2064" s="549"/>
      <c r="C2064" s="548"/>
      <c r="D2064" s="550"/>
      <c r="E2064" s="550"/>
      <c r="F2064" s="550"/>
      <c r="G2064" s="550"/>
      <c r="H2064" s="551"/>
      <c r="I2064" s="550"/>
    </row>
    <row r="2065" spans="1:9" x14ac:dyDescent="0.2">
      <c r="A2065" s="549"/>
      <c r="C2065" s="548"/>
      <c r="D2065" s="550"/>
      <c r="E2065" s="550"/>
      <c r="F2065" s="550"/>
      <c r="G2065" s="550"/>
      <c r="H2065" s="551"/>
      <c r="I2065" s="550"/>
    </row>
    <row r="2066" spans="1:9" x14ac:dyDescent="0.2">
      <c r="A2066" s="549"/>
      <c r="C2066" s="548"/>
      <c r="D2066" s="550"/>
      <c r="E2066" s="550"/>
      <c r="F2066" s="550"/>
      <c r="G2066" s="550"/>
      <c r="H2066" s="551"/>
      <c r="I2066" s="550"/>
    </row>
    <row r="2067" spans="1:9" x14ac:dyDescent="0.2">
      <c r="A2067" s="549"/>
      <c r="C2067" s="548"/>
      <c r="D2067" s="550"/>
      <c r="E2067" s="550"/>
      <c r="F2067" s="550"/>
      <c r="G2067" s="550"/>
      <c r="H2067" s="551"/>
      <c r="I2067" s="550"/>
    </row>
    <row r="2068" spans="1:9" x14ac:dyDescent="0.2">
      <c r="A2068" s="549"/>
      <c r="C2068" s="548"/>
      <c r="D2068" s="550"/>
      <c r="E2068" s="550"/>
      <c r="F2068" s="550"/>
      <c r="G2068" s="550"/>
      <c r="H2068" s="551"/>
      <c r="I2068" s="550"/>
    </row>
    <row r="2069" spans="1:9" x14ac:dyDescent="0.2">
      <c r="A2069" s="549"/>
      <c r="C2069" s="548"/>
      <c r="D2069" s="550"/>
      <c r="E2069" s="550"/>
      <c r="F2069" s="550"/>
      <c r="G2069" s="550"/>
      <c r="H2069" s="551"/>
      <c r="I2069" s="550"/>
    </row>
    <row r="2070" spans="1:9" x14ac:dyDescent="0.2">
      <c r="A2070" s="549"/>
      <c r="C2070" s="548"/>
      <c r="D2070" s="550"/>
      <c r="E2070" s="550"/>
      <c r="F2070" s="550"/>
      <c r="G2070" s="550"/>
      <c r="H2070" s="551"/>
      <c r="I2070" s="550"/>
    </row>
    <row r="2071" spans="1:9" x14ac:dyDescent="0.2">
      <c r="A2071" s="549"/>
      <c r="C2071" s="548"/>
      <c r="D2071" s="550"/>
      <c r="E2071" s="550"/>
      <c r="F2071" s="550"/>
      <c r="G2071" s="550"/>
      <c r="H2071" s="551"/>
      <c r="I2071" s="550"/>
    </row>
    <row r="2072" spans="1:9" x14ac:dyDescent="0.2">
      <c r="A2072" s="549"/>
      <c r="C2072" s="548"/>
      <c r="D2072" s="550"/>
      <c r="E2072" s="550"/>
      <c r="F2072" s="550"/>
      <c r="G2072" s="550"/>
      <c r="H2072" s="551"/>
      <c r="I2072" s="550"/>
    </row>
    <row r="2073" spans="1:9" x14ac:dyDescent="0.2">
      <c r="A2073" s="549"/>
      <c r="C2073" s="548"/>
      <c r="D2073" s="550"/>
      <c r="E2073" s="550"/>
      <c r="F2073" s="550"/>
      <c r="G2073" s="550"/>
      <c r="H2073" s="551"/>
      <c r="I2073" s="550"/>
    </row>
    <row r="2074" spans="1:9" x14ac:dyDescent="0.2">
      <c r="A2074" s="549"/>
      <c r="C2074" s="548"/>
      <c r="D2074" s="550"/>
      <c r="E2074" s="550"/>
      <c r="F2074" s="550"/>
      <c r="G2074" s="550"/>
      <c r="H2074" s="551"/>
      <c r="I2074" s="550"/>
    </row>
    <row r="2075" spans="1:9" x14ac:dyDescent="0.2">
      <c r="A2075" s="549"/>
      <c r="C2075" s="548"/>
      <c r="D2075" s="550"/>
      <c r="E2075" s="550"/>
      <c r="F2075" s="550"/>
      <c r="G2075" s="550"/>
      <c r="H2075" s="551"/>
      <c r="I2075" s="550"/>
    </row>
    <row r="2076" spans="1:9" x14ac:dyDescent="0.2">
      <c r="A2076" s="549"/>
      <c r="C2076" s="548"/>
      <c r="D2076" s="550"/>
      <c r="E2076" s="550"/>
      <c r="F2076" s="550"/>
      <c r="G2076" s="550"/>
      <c r="H2076" s="551"/>
      <c r="I2076" s="550"/>
    </row>
    <row r="2077" spans="1:9" x14ac:dyDescent="0.2">
      <c r="A2077" s="549"/>
      <c r="C2077" s="548"/>
      <c r="D2077" s="550"/>
      <c r="E2077" s="550"/>
      <c r="F2077" s="550"/>
      <c r="G2077" s="550"/>
      <c r="H2077" s="551"/>
      <c r="I2077" s="550"/>
    </row>
    <row r="2078" spans="1:9" x14ac:dyDescent="0.2">
      <c r="A2078" s="549"/>
      <c r="C2078" s="548"/>
      <c r="D2078" s="550"/>
      <c r="E2078" s="550"/>
      <c r="F2078" s="550"/>
      <c r="G2078" s="550"/>
      <c r="H2078" s="551"/>
      <c r="I2078" s="550"/>
    </row>
    <row r="2079" spans="1:9" x14ac:dyDescent="0.2">
      <c r="A2079" s="549"/>
      <c r="C2079" s="548"/>
      <c r="D2079" s="550"/>
      <c r="E2079" s="550"/>
      <c r="F2079" s="550"/>
      <c r="G2079" s="550"/>
      <c r="H2079" s="551"/>
      <c r="I2079" s="550"/>
    </row>
    <row r="2080" spans="1:9" x14ac:dyDescent="0.2">
      <c r="A2080" s="549"/>
      <c r="C2080" s="548"/>
      <c r="D2080" s="550"/>
      <c r="E2080" s="550"/>
      <c r="F2080" s="550"/>
      <c r="G2080" s="550"/>
      <c r="H2080" s="551"/>
      <c r="I2080" s="550"/>
    </row>
    <row r="2081" spans="1:9" x14ac:dyDescent="0.2">
      <c r="A2081" s="549"/>
      <c r="C2081" s="548"/>
      <c r="D2081" s="550"/>
      <c r="E2081" s="550"/>
      <c r="F2081" s="550"/>
      <c r="G2081" s="550"/>
      <c r="H2081" s="551"/>
      <c r="I2081" s="550"/>
    </row>
    <row r="2082" spans="1:9" x14ac:dyDescent="0.2">
      <c r="A2082" s="549"/>
      <c r="C2082" s="548"/>
      <c r="D2082" s="550"/>
      <c r="E2082" s="550"/>
      <c r="F2082" s="550"/>
      <c r="G2082" s="550"/>
      <c r="H2082" s="551"/>
      <c r="I2082" s="550"/>
    </row>
    <row r="2083" spans="1:9" x14ac:dyDescent="0.2">
      <c r="A2083" s="549"/>
      <c r="C2083" s="548"/>
      <c r="D2083" s="550"/>
      <c r="E2083" s="550"/>
      <c r="F2083" s="550"/>
      <c r="G2083" s="550"/>
      <c r="H2083" s="551"/>
      <c r="I2083" s="550"/>
    </row>
    <row r="2084" spans="1:9" x14ac:dyDescent="0.2">
      <c r="A2084" s="549"/>
      <c r="C2084" s="548"/>
      <c r="D2084" s="550"/>
      <c r="E2084" s="550"/>
      <c r="F2084" s="550"/>
      <c r="G2084" s="550"/>
      <c r="H2084" s="551"/>
      <c r="I2084" s="550"/>
    </row>
    <row r="2085" spans="1:9" x14ac:dyDescent="0.2">
      <c r="A2085" s="549"/>
      <c r="C2085" s="548"/>
      <c r="D2085" s="550"/>
      <c r="E2085" s="550"/>
      <c r="F2085" s="550"/>
      <c r="G2085" s="550"/>
      <c r="H2085" s="551"/>
      <c r="I2085" s="550"/>
    </row>
    <row r="2086" spans="1:9" x14ac:dyDescent="0.2">
      <c r="A2086" s="549"/>
      <c r="C2086" s="548"/>
      <c r="D2086" s="550"/>
      <c r="E2086" s="550"/>
      <c r="F2086" s="550"/>
      <c r="G2086" s="550"/>
      <c r="H2086" s="551"/>
      <c r="I2086" s="550"/>
    </row>
    <row r="2087" spans="1:9" x14ac:dyDescent="0.2">
      <c r="A2087" s="549"/>
      <c r="C2087" s="548"/>
      <c r="D2087" s="550"/>
      <c r="E2087" s="550"/>
      <c r="F2087" s="550"/>
      <c r="G2087" s="550"/>
      <c r="H2087" s="551"/>
      <c r="I2087" s="550"/>
    </row>
    <row r="2088" spans="1:9" x14ac:dyDescent="0.2">
      <c r="A2088" s="549"/>
      <c r="C2088" s="548"/>
      <c r="D2088" s="550"/>
      <c r="E2088" s="550"/>
      <c r="F2088" s="550"/>
      <c r="G2088" s="550"/>
      <c r="H2088" s="551"/>
      <c r="I2088" s="550"/>
    </row>
    <row r="2089" spans="1:9" x14ac:dyDescent="0.2">
      <c r="A2089" s="549"/>
      <c r="C2089" s="548"/>
      <c r="D2089" s="550"/>
      <c r="E2089" s="550"/>
      <c r="F2089" s="550"/>
      <c r="G2089" s="550"/>
      <c r="H2089" s="551"/>
      <c r="I2089" s="550"/>
    </row>
    <row r="2090" spans="1:9" x14ac:dyDescent="0.2">
      <c r="A2090" s="549"/>
      <c r="C2090" s="548"/>
      <c r="D2090" s="550"/>
      <c r="E2090" s="550"/>
      <c r="F2090" s="550"/>
      <c r="G2090" s="550"/>
      <c r="H2090" s="551"/>
      <c r="I2090" s="550"/>
    </row>
    <row r="2091" spans="1:9" x14ac:dyDescent="0.2">
      <c r="A2091" s="549"/>
      <c r="C2091" s="548"/>
      <c r="D2091" s="550"/>
      <c r="E2091" s="550"/>
      <c r="F2091" s="550"/>
      <c r="G2091" s="550"/>
      <c r="H2091" s="551"/>
      <c r="I2091" s="550"/>
    </row>
    <row r="2092" spans="1:9" x14ac:dyDescent="0.2">
      <c r="A2092" s="549"/>
      <c r="C2092" s="548"/>
      <c r="D2092" s="550"/>
      <c r="E2092" s="550"/>
      <c r="F2092" s="550"/>
      <c r="G2092" s="550"/>
      <c r="H2092" s="551"/>
      <c r="I2092" s="550"/>
    </row>
    <row r="2093" spans="1:9" x14ac:dyDescent="0.2">
      <c r="A2093" s="549"/>
      <c r="C2093" s="548"/>
      <c r="D2093" s="550"/>
      <c r="E2093" s="550"/>
      <c r="F2093" s="550"/>
      <c r="G2093" s="550"/>
      <c r="H2093" s="551"/>
      <c r="I2093" s="550"/>
    </row>
    <row r="2094" spans="1:9" x14ac:dyDescent="0.2">
      <c r="A2094" s="549"/>
      <c r="C2094" s="548"/>
      <c r="D2094" s="550"/>
      <c r="E2094" s="550"/>
      <c r="F2094" s="550"/>
      <c r="G2094" s="550"/>
      <c r="H2094" s="551"/>
      <c r="I2094" s="550"/>
    </row>
    <row r="2095" spans="1:9" x14ac:dyDescent="0.2">
      <c r="A2095" s="549"/>
      <c r="C2095" s="548"/>
      <c r="D2095" s="550"/>
      <c r="E2095" s="550"/>
      <c r="F2095" s="550"/>
      <c r="G2095" s="550"/>
      <c r="H2095" s="551"/>
      <c r="I2095" s="550"/>
    </row>
    <row r="2096" spans="1:9" x14ac:dyDescent="0.2">
      <c r="A2096" s="549"/>
      <c r="C2096" s="548"/>
      <c r="D2096" s="550"/>
      <c r="E2096" s="550"/>
      <c r="F2096" s="550"/>
      <c r="G2096" s="550"/>
      <c r="H2096" s="551"/>
      <c r="I2096" s="550"/>
    </row>
    <row r="2097" spans="1:9" x14ac:dyDescent="0.2">
      <c r="A2097" s="549"/>
      <c r="C2097" s="548"/>
      <c r="D2097" s="550"/>
      <c r="E2097" s="550"/>
      <c r="F2097" s="550"/>
      <c r="G2097" s="550"/>
      <c r="H2097" s="551"/>
      <c r="I2097" s="550"/>
    </row>
    <row r="2098" spans="1:9" x14ac:dyDescent="0.2">
      <c r="A2098" s="549"/>
      <c r="C2098" s="548"/>
      <c r="D2098" s="550"/>
      <c r="E2098" s="550"/>
      <c r="F2098" s="550"/>
      <c r="G2098" s="550"/>
      <c r="H2098" s="551"/>
      <c r="I2098" s="550"/>
    </row>
    <row r="2099" spans="1:9" x14ac:dyDescent="0.2">
      <c r="A2099" s="549"/>
      <c r="C2099" s="548"/>
      <c r="D2099" s="550"/>
      <c r="E2099" s="550"/>
      <c r="F2099" s="550"/>
      <c r="G2099" s="550"/>
      <c r="H2099" s="551"/>
      <c r="I2099" s="550"/>
    </row>
    <row r="2100" spans="1:9" x14ac:dyDescent="0.2">
      <c r="A2100" s="549"/>
      <c r="C2100" s="548"/>
      <c r="D2100" s="550"/>
      <c r="E2100" s="550"/>
      <c r="F2100" s="550"/>
      <c r="G2100" s="550"/>
      <c r="H2100" s="551"/>
      <c r="I2100" s="550"/>
    </row>
    <row r="2101" spans="1:9" x14ac:dyDescent="0.2">
      <c r="A2101" s="549"/>
      <c r="C2101" s="548"/>
      <c r="D2101" s="550"/>
      <c r="E2101" s="550"/>
      <c r="F2101" s="550"/>
      <c r="G2101" s="550"/>
      <c r="H2101" s="551"/>
      <c r="I2101" s="550"/>
    </row>
    <row r="2102" spans="1:9" x14ac:dyDescent="0.2">
      <c r="A2102" s="549"/>
      <c r="C2102" s="548"/>
      <c r="D2102" s="550"/>
      <c r="E2102" s="550"/>
      <c r="F2102" s="550"/>
      <c r="G2102" s="550"/>
      <c r="H2102" s="551"/>
      <c r="I2102" s="550"/>
    </row>
    <row r="2103" spans="1:9" x14ac:dyDescent="0.2">
      <c r="A2103" s="549"/>
      <c r="C2103" s="548"/>
      <c r="D2103" s="550"/>
      <c r="E2103" s="550"/>
      <c r="F2103" s="550"/>
      <c r="G2103" s="550"/>
      <c r="H2103" s="551"/>
      <c r="I2103" s="550"/>
    </row>
    <row r="2104" spans="1:9" x14ac:dyDescent="0.2">
      <c r="A2104" s="549"/>
      <c r="C2104" s="548"/>
      <c r="D2104" s="550"/>
      <c r="E2104" s="550"/>
      <c r="F2104" s="550"/>
      <c r="G2104" s="550"/>
      <c r="H2104" s="551"/>
      <c r="I2104" s="550"/>
    </row>
    <row r="2105" spans="1:9" x14ac:dyDescent="0.2">
      <c r="A2105" s="549"/>
      <c r="C2105" s="548"/>
      <c r="D2105" s="550"/>
      <c r="E2105" s="550"/>
      <c r="F2105" s="550"/>
      <c r="G2105" s="550"/>
      <c r="H2105" s="551"/>
      <c r="I2105" s="550"/>
    </row>
    <row r="2106" spans="1:9" x14ac:dyDescent="0.2">
      <c r="A2106" s="549"/>
      <c r="C2106" s="548"/>
      <c r="D2106" s="550"/>
      <c r="E2106" s="550"/>
      <c r="F2106" s="550"/>
      <c r="G2106" s="550"/>
      <c r="H2106" s="551"/>
      <c r="I2106" s="550"/>
    </row>
    <row r="2107" spans="1:9" x14ac:dyDescent="0.2">
      <c r="A2107" s="549"/>
      <c r="C2107" s="548"/>
      <c r="D2107" s="550"/>
      <c r="E2107" s="550"/>
      <c r="F2107" s="550"/>
      <c r="G2107" s="550"/>
      <c r="H2107" s="551"/>
      <c r="I2107" s="550"/>
    </row>
    <row r="2108" spans="1:9" x14ac:dyDescent="0.2">
      <c r="A2108" s="549"/>
      <c r="C2108" s="548"/>
      <c r="D2108" s="550"/>
      <c r="E2108" s="550"/>
      <c r="F2108" s="550"/>
      <c r="G2108" s="550"/>
      <c r="H2108" s="551"/>
      <c r="I2108" s="550"/>
    </row>
    <row r="2109" spans="1:9" x14ac:dyDescent="0.2">
      <c r="A2109" s="549"/>
      <c r="C2109" s="548"/>
      <c r="D2109" s="550"/>
      <c r="E2109" s="550"/>
      <c r="F2109" s="550"/>
      <c r="G2109" s="550"/>
      <c r="H2109" s="551"/>
      <c r="I2109" s="550"/>
    </row>
    <row r="2110" spans="1:9" x14ac:dyDescent="0.2">
      <c r="A2110" s="549"/>
      <c r="C2110" s="548"/>
      <c r="D2110" s="550"/>
      <c r="E2110" s="550"/>
      <c r="F2110" s="550"/>
      <c r="G2110" s="550"/>
      <c r="H2110" s="551"/>
      <c r="I2110" s="550"/>
    </row>
    <row r="2111" spans="1:9" x14ac:dyDescent="0.2">
      <c r="A2111" s="549"/>
      <c r="C2111" s="548"/>
      <c r="D2111" s="550"/>
      <c r="E2111" s="550"/>
      <c r="F2111" s="550"/>
      <c r="G2111" s="550"/>
      <c r="H2111" s="551"/>
      <c r="I2111" s="550"/>
    </row>
    <row r="2112" spans="1:9" x14ac:dyDescent="0.2">
      <c r="A2112" s="549"/>
      <c r="C2112" s="548"/>
      <c r="D2112" s="550"/>
      <c r="E2112" s="550"/>
      <c r="F2112" s="550"/>
      <c r="G2112" s="550"/>
      <c r="H2112" s="551"/>
      <c r="I2112" s="550"/>
    </row>
    <row r="2113" spans="1:9" x14ac:dyDescent="0.2">
      <c r="A2113" s="549"/>
      <c r="C2113" s="548"/>
      <c r="D2113" s="550"/>
      <c r="E2113" s="550"/>
      <c r="F2113" s="550"/>
      <c r="G2113" s="550"/>
      <c r="H2113" s="551"/>
      <c r="I2113" s="550"/>
    </row>
    <row r="2114" spans="1:9" x14ac:dyDescent="0.2">
      <c r="A2114" s="549"/>
      <c r="C2114" s="548"/>
      <c r="D2114" s="550"/>
      <c r="E2114" s="550"/>
      <c r="F2114" s="550"/>
      <c r="G2114" s="550"/>
      <c r="H2114" s="551"/>
      <c r="I2114" s="550"/>
    </row>
    <row r="2115" spans="1:9" x14ac:dyDescent="0.2">
      <c r="A2115" s="549"/>
      <c r="C2115" s="548"/>
      <c r="D2115" s="550"/>
      <c r="E2115" s="550"/>
      <c r="F2115" s="550"/>
      <c r="G2115" s="550"/>
      <c r="H2115" s="551"/>
      <c r="I2115" s="550"/>
    </row>
    <row r="2116" spans="1:9" x14ac:dyDescent="0.2">
      <c r="A2116" s="549"/>
      <c r="C2116" s="548"/>
      <c r="D2116" s="550"/>
      <c r="E2116" s="550"/>
      <c r="F2116" s="550"/>
      <c r="G2116" s="550"/>
      <c r="H2116" s="551"/>
      <c r="I2116" s="550"/>
    </row>
    <row r="2117" spans="1:9" x14ac:dyDescent="0.2">
      <c r="A2117" s="549"/>
      <c r="C2117" s="548"/>
      <c r="D2117" s="550"/>
      <c r="E2117" s="550"/>
      <c r="F2117" s="550"/>
      <c r="G2117" s="550"/>
      <c r="H2117" s="551"/>
      <c r="I2117" s="550"/>
    </row>
    <row r="2118" spans="1:9" x14ac:dyDescent="0.2">
      <c r="A2118" s="549"/>
      <c r="C2118" s="548"/>
      <c r="D2118" s="550"/>
      <c r="E2118" s="550"/>
      <c r="F2118" s="550"/>
      <c r="G2118" s="550"/>
      <c r="H2118" s="551"/>
      <c r="I2118" s="550"/>
    </row>
    <row r="2119" spans="1:9" x14ac:dyDescent="0.2">
      <c r="A2119" s="549"/>
      <c r="C2119" s="548"/>
      <c r="D2119" s="550"/>
      <c r="E2119" s="550"/>
      <c r="F2119" s="550"/>
      <c r="G2119" s="550"/>
      <c r="H2119" s="551"/>
      <c r="I2119" s="550"/>
    </row>
    <row r="2120" spans="1:9" x14ac:dyDescent="0.2">
      <c r="A2120" s="549"/>
      <c r="C2120" s="548"/>
      <c r="D2120" s="550"/>
      <c r="E2120" s="550"/>
      <c r="F2120" s="550"/>
      <c r="G2120" s="550"/>
      <c r="H2120" s="551"/>
      <c r="I2120" s="550"/>
    </row>
    <row r="2121" spans="1:9" x14ac:dyDescent="0.2">
      <c r="A2121" s="549"/>
      <c r="C2121" s="548"/>
      <c r="D2121" s="550"/>
      <c r="E2121" s="550"/>
      <c r="F2121" s="550"/>
      <c r="G2121" s="550"/>
      <c r="H2121" s="551"/>
      <c r="I2121" s="550"/>
    </row>
    <row r="2122" spans="1:9" x14ac:dyDescent="0.2">
      <c r="A2122" s="549"/>
      <c r="C2122" s="548"/>
      <c r="D2122" s="550"/>
      <c r="E2122" s="550"/>
      <c r="F2122" s="550"/>
      <c r="G2122" s="550"/>
      <c r="H2122" s="551"/>
      <c r="I2122" s="550"/>
    </row>
    <row r="2123" spans="1:9" x14ac:dyDescent="0.2">
      <c r="A2123" s="549"/>
      <c r="C2123" s="548"/>
      <c r="D2123" s="550"/>
      <c r="E2123" s="550"/>
      <c r="F2123" s="550"/>
      <c r="G2123" s="550"/>
      <c r="H2123" s="551"/>
      <c r="I2123" s="550"/>
    </row>
    <row r="2124" spans="1:9" x14ac:dyDescent="0.2">
      <c r="A2124" s="549"/>
      <c r="C2124" s="548"/>
      <c r="D2124" s="550"/>
      <c r="E2124" s="550"/>
      <c r="F2124" s="550"/>
      <c r="G2124" s="550"/>
      <c r="H2124" s="551"/>
      <c r="I2124" s="550"/>
    </row>
    <row r="2125" spans="1:9" x14ac:dyDescent="0.2">
      <c r="A2125" s="549"/>
      <c r="C2125" s="548"/>
      <c r="D2125" s="550"/>
      <c r="E2125" s="550"/>
      <c r="F2125" s="550"/>
      <c r="G2125" s="550"/>
      <c r="H2125" s="551"/>
      <c r="I2125" s="550"/>
    </row>
    <row r="2126" spans="1:9" x14ac:dyDescent="0.2">
      <c r="A2126" s="549"/>
      <c r="C2126" s="548"/>
      <c r="D2126" s="550"/>
      <c r="E2126" s="550"/>
      <c r="F2126" s="550"/>
      <c r="G2126" s="550"/>
      <c r="H2126" s="551"/>
      <c r="I2126" s="550"/>
    </row>
    <row r="2127" spans="1:9" x14ac:dyDescent="0.2">
      <c r="A2127" s="549"/>
      <c r="C2127" s="548"/>
      <c r="D2127" s="550"/>
      <c r="E2127" s="550"/>
      <c r="F2127" s="550"/>
      <c r="G2127" s="550"/>
      <c r="H2127" s="551"/>
      <c r="I2127" s="550"/>
    </row>
    <row r="2128" spans="1:9" x14ac:dyDescent="0.2">
      <c r="A2128" s="549"/>
      <c r="C2128" s="548"/>
      <c r="D2128" s="550"/>
      <c r="E2128" s="550"/>
      <c r="F2128" s="550"/>
      <c r="G2128" s="550"/>
      <c r="H2128" s="551"/>
      <c r="I2128" s="550"/>
    </row>
    <row r="2129" spans="1:9" x14ac:dyDescent="0.2">
      <c r="A2129" s="549"/>
      <c r="C2129" s="548"/>
      <c r="D2129" s="550"/>
      <c r="E2129" s="550"/>
      <c r="F2129" s="550"/>
      <c r="G2129" s="550"/>
      <c r="H2129" s="551"/>
      <c r="I2129" s="550"/>
    </row>
    <row r="2130" spans="1:9" x14ac:dyDescent="0.2">
      <c r="A2130" s="549"/>
      <c r="C2130" s="548"/>
      <c r="D2130" s="550"/>
      <c r="E2130" s="550"/>
      <c r="F2130" s="550"/>
      <c r="G2130" s="550"/>
      <c r="H2130" s="551"/>
      <c r="I2130" s="550"/>
    </row>
    <row r="2131" spans="1:9" x14ac:dyDescent="0.2">
      <c r="A2131" s="549"/>
      <c r="C2131" s="548"/>
      <c r="D2131" s="550"/>
      <c r="E2131" s="550"/>
      <c r="F2131" s="550"/>
      <c r="G2131" s="550"/>
      <c r="H2131" s="551"/>
      <c r="I2131" s="550"/>
    </row>
    <row r="2132" spans="1:9" x14ac:dyDescent="0.2">
      <c r="A2132" s="549"/>
      <c r="C2132" s="548"/>
      <c r="D2132" s="550"/>
      <c r="E2132" s="550"/>
      <c r="F2132" s="550"/>
      <c r="G2132" s="550"/>
      <c r="H2132" s="551"/>
      <c r="I2132" s="550"/>
    </row>
    <row r="2133" spans="1:9" x14ac:dyDescent="0.2">
      <c r="A2133" s="549"/>
      <c r="C2133" s="548"/>
      <c r="D2133" s="550"/>
      <c r="E2133" s="550"/>
      <c r="F2133" s="550"/>
      <c r="G2133" s="550"/>
      <c r="H2133" s="551"/>
      <c r="I2133" s="550"/>
    </row>
    <row r="2134" spans="1:9" x14ac:dyDescent="0.2">
      <c r="A2134" s="549"/>
      <c r="C2134" s="548"/>
      <c r="D2134" s="550"/>
      <c r="E2134" s="550"/>
      <c r="F2134" s="550"/>
      <c r="G2134" s="550"/>
      <c r="H2134" s="551"/>
      <c r="I2134" s="550"/>
    </row>
    <row r="2135" spans="1:9" x14ac:dyDescent="0.2">
      <c r="A2135" s="549"/>
      <c r="C2135" s="548"/>
      <c r="D2135" s="550"/>
      <c r="E2135" s="550"/>
      <c r="F2135" s="550"/>
      <c r="G2135" s="550"/>
      <c r="H2135" s="551"/>
      <c r="I2135" s="550"/>
    </row>
    <row r="2136" spans="1:9" x14ac:dyDescent="0.2">
      <c r="A2136" s="549"/>
      <c r="C2136" s="548"/>
      <c r="D2136" s="550"/>
      <c r="E2136" s="550"/>
      <c r="F2136" s="550"/>
      <c r="G2136" s="550"/>
      <c r="H2136" s="551"/>
      <c r="I2136" s="550"/>
    </row>
    <row r="2137" spans="1:9" x14ac:dyDescent="0.2">
      <c r="A2137" s="549"/>
      <c r="C2137" s="548"/>
      <c r="D2137" s="550"/>
      <c r="E2137" s="550"/>
      <c r="F2137" s="550"/>
      <c r="G2137" s="550"/>
      <c r="H2137" s="551"/>
      <c r="I2137" s="550"/>
    </row>
    <row r="2138" spans="1:9" x14ac:dyDescent="0.2">
      <c r="A2138" s="549"/>
      <c r="C2138" s="548"/>
      <c r="D2138" s="550"/>
      <c r="E2138" s="550"/>
      <c r="F2138" s="550"/>
      <c r="G2138" s="550"/>
      <c r="H2138" s="551"/>
      <c r="I2138" s="550"/>
    </row>
    <row r="2139" spans="1:9" x14ac:dyDescent="0.2">
      <c r="A2139" s="549"/>
      <c r="C2139" s="548"/>
      <c r="D2139" s="550"/>
      <c r="E2139" s="550"/>
      <c r="F2139" s="550"/>
      <c r="G2139" s="550"/>
      <c r="H2139" s="551"/>
      <c r="I2139" s="550"/>
    </row>
    <row r="2140" spans="1:9" x14ac:dyDescent="0.2">
      <c r="A2140" s="549"/>
      <c r="C2140" s="548"/>
      <c r="D2140" s="550"/>
      <c r="E2140" s="550"/>
      <c r="F2140" s="550"/>
      <c r="G2140" s="550"/>
      <c r="H2140" s="551"/>
      <c r="I2140" s="550"/>
    </row>
    <row r="2141" spans="1:9" x14ac:dyDescent="0.2">
      <c r="A2141" s="549"/>
      <c r="C2141" s="548"/>
      <c r="D2141" s="550"/>
      <c r="E2141" s="550"/>
      <c r="F2141" s="550"/>
      <c r="G2141" s="550"/>
      <c r="H2141" s="551"/>
      <c r="I2141" s="550"/>
    </row>
    <row r="2142" spans="1:9" x14ac:dyDescent="0.2">
      <c r="A2142" s="549"/>
      <c r="C2142" s="548"/>
      <c r="D2142" s="550"/>
      <c r="E2142" s="550"/>
      <c r="F2142" s="550"/>
      <c r="G2142" s="550"/>
      <c r="H2142" s="551"/>
      <c r="I2142" s="550"/>
    </row>
    <row r="2143" spans="1:9" x14ac:dyDescent="0.2">
      <c r="A2143" s="549"/>
      <c r="C2143" s="548"/>
      <c r="D2143" s="550"/>
      <c r="E2143" s="550"/>
      <c r="F2143" s="550"/>
      <c r="G2143" s="550"/>
      <c r="H2143" s="551"/>
      <c r="I2143" s="550"/>
    </row>
    <row r="2144" spans="1:9" x14ac:dyDescent="0.2">
      <c r="A2144" s="549"/>
      <c r="C2144" s="548"/>
      <c r="D2144" s="550"/>
      <c r="E2144" s="550"/>
      <c r="F2144" s="550"/>
      <c r="G2144" s="550"/>
      <c r="H2144" s="551"/>
      <c r="I2144" s="550"/>
    </row>
    <row r="2145" spans="1:9" x14ac:dyDescent="0.2">
      <c r="A2145" s="549"/>
      <c r="C2145" s="548"/>
      <c r="D2145" s="550"/>
      <c r="E2145" s="550"/>
      <c r="F2145" s="550"/>
      <c r="G2145" s="550"/>
      <c r="H2145" s="551"/>
      <c r="I2145" s="550"/>
    </row>
    <row r="2146" spans="1:9" x14ac:dyDescent="0.2">
      <c r="A2146" s="549"/>
      <c r="C2146" s="548"/>
      <c r="D2146" s="550"/>
      <c r="E2146" s="550"/>
      <c r="F2146" s="550"/>
      <c r="G2146" s="550"/>
      <c r="H2146" s="551"/>
      <c r="I2146" s="550"/>
    </row>
    <row r="2147" spans="1:9" x14ac:dyDescent="0.2">
      <c r="A2147" s="549"/>
      <c r="C2147" s="548"/>
      <c r="D2147" s="550"/>
      <c r="E2147" s="550"/>
      <c r="F2147" s="550"/>
      <c r="G2147" s="550"/>
      <c r="H2147" s="551"/>
      <c r="I2147" s="550"/>
    </row>
    <row r="2148" spans="1:9" x14ac:dyDescent="0.2">
      <c r="A2148" s="549"/>
      <c r="C2148" s="548"/>
      <c r="D2148" s="550"/>
      <c r="E2148" s="550"/>
      <c r="F2148" s="550"/>
      <c r="G2148" s="550"/>
      <c r="H2148" s="551"/>
      <c r="I2148" s="550"/>
    </row>
    <row r="2149" spans="1:9" x14ac:dyDescent="0.2">
      <c r="A2149" s="549"/>
      <c r="C2149" s="548"/>
      <c r="D2149" s="550"/>
      <c r="E2149" s="550"/>
      <c r="F2149" s="550"/>
      <c r="G2149" s="550"/>
      <c r="H2149" s="551"/>
      <c r="I2149" s="550"/>
    </row>
    <row r="2150" spans="1:9" x14ac:dyDescent="0.2">
      <c r="A2150" s="549"/>
      <c r="C2150" s="548"/>
      <c r="D2150" s="550"/>
      <c r="E2150" s="550"/>
      <c r="F2150" s="550"/>
      <c r="G2150" s="550"/>
      <c r="H2150" s="551"/>
      <c r="I2150" s="550"/>
    </row>
    <row r="2151" spans="1:9" x14ac:dyDescent="0.2">
      <c r="A2151" s="549"/>
      <c r="C2151" s="548"/>
      <c r="D2151" s="550"/>
      <c r="E2151" s="550"/>
      <c r="F2151" s="550"/>
      <c r="G2151" s="550"/>
      <c r="H2151" s="551"/>
      <c r="I2151" s="550"/>
    </row>
    <row r="2152" spans="1:9" x14ac:dyDescent="0.2">
      <c r="A2152" s="549"/>
      <c r="C2152" s="548"/>
      <c r="D2152" s="550"/>
      <c r="E2152" s="550"/>
      <c r="F2152" s="550"/>
      <c r="G2152" s="550"/>
      <c r="H2152" s="551"/>
      <c r="I2152" s="550"/>
    </row>
    <row r="2153" spans="1:9" x14ac:dyDescent="0.2">
      <c r="A2153" s="549"/>
      <c r="C2153" s="548"/>
      <c r="D2153" s="550"/>
      <c r="E2153" s="550"/>
      <c r="F2153" s="550"/>
      <c r="G2153" s="550"/>
      <c r="H2153" s="551"/>
      <c r="I2153" s="550"/>
    </row>
    <row r="2154" spans="1:9" x14ac:dyDescent="0.2">
      <c r="A2154" s="549"/>
      <c r="C2154" s="548"/>
      <c r="D2154" s="550"/>
      <c r="E2154" s="550"/>
      <c r="F2154" s="550"/>
      <c r="G2154" s="550"/>
      <c r="H2154" s="551"/>
      <c r="I2154" s="550"/>
    </row>
    <row r="2155" spans="1:9" x14ac:dyDescent="0.2">
      <c r="A2155" s="549"/>
      <c r="C2155" s="548"/>
      <c r="D2155" s="550"/>
      <c r="E2155" s="550"/>
      <c r="F2155" s="550"/>
      <c r="G2155" s="550"/>
      <c r="H2155" s="551"/>
      <c r="I2155" s="550"/>
    </row>
    <row r="2156" spans="1:9" x14ac:dyDescent="0.2">
      <c r="A2156" s="549"/>
      <c r="C2156" s="548"/>
      <c r="D2156" s="550"/>
      <c r="E2156" s="550"/>
      <c r="F2156" s="550"/>
      <c r="G2156" s="550"/>
      <c r="H2156" s="551"/>
      <c r="I2156" s="550"/>
    </row>
    <row r="2157" spans="1:9" x14ac:dyDescent="0.2">
      <c r="A2157" s="549"/>
      <c r="C2157" s="548"/>
      <c r="D2157" s="550"/>
      <c r="E2157" s="550"/>
      <c r="F2157" s="550"/>
      <c r="G2157" s="550"/>
      <c r="H2157" s="551"/>
      <c r="I2157" s="550"/>
    </row>
    <row r="2158" spans="1:9" x14ac:dyDescent="0.2">
      <c r="A2158" s="549"/>
      <c r="C2158" s="548"/>
      <c r="D2158" s="550"/>
      <c r="E2158" s="550"/>
      <c r="F2158" s="550"/>
      <c r="G2158" s="550"/>
      <c r="H2158" s="551"/>
      <c r="I2158" s="550"/>
    </row>
    <row r="2159" spans="1:9" x14ac:dyDescent="0.2">
      <c r="A2159" s="549"/>
      <c r="C2159" s="548"/>
      <c r="D2159" s="550"/>
      <c r="E2159" s="550"/>
      <c r="F2159" s="550"/>
      <c r="G2159" s="550"/>
      <c r="H2159" s="551"/>
      <c r="I2159" s="550"/>
    </row>
    <row r="2160" spans="1:9" x14ac:dyDescent="0.2">
      <c r="A2160" s="549"/>
      <c r="C2160" s="548"/>
      <c r="D2160" s="550"/>
      <c r="E2160" s="550"/>
      <c r="F2160" s="550"/>
      <c r="G2160" s="550"/>
      <c r="H2160" s="551"/>
      <c r="I2160" s="550"/>
    </row>
    <row r="2161" spans="1:9" x14ac:dyDescent="0.2">
      <c r="A2161" s="549"/>
      <c r="C2161" s="548"/>
      <c r="D2161" s="550"/>
      <c r="E2161" s="550"/>
      <c r="F2161" s="550"/>
      <c r="G2161" s="550"/>
      <c r="H2161" s="551"/>
      <c r="I2161" s="550"/>
    </row>
    <row r="2162" spans="1:9" x14ac:dyDescent="0.2">
      <c r="A2162" s="549"/>
      <c r="C2162" s="548"/>
      <c r="D2162" s="550"/>
      <c r="E2162" s="550"/>
      <c r="F2162" s="550"/>
      <c r="G2162" s="550"/>
      <c r="H2162" s="551"/>
      <c r="I2162" s="550"/>
    </row>
    <row r="2163" spans="1:9" x14ac:dyDescent="0.2">
      <c r="A2163" s="549"/>
      <c r="C2163" s="548"/>
      <c r="D2163" s="550"/>
      <c r="E2163" s="550"/>
      <c r="F2163" s="550"/>
      <c r="G2163" s="550"/>
      <c r="H2163" s="551"/>
      <c r="I2163" s="550"/>
    </row>
    <row r="2164" spans="1:9" x14ac:dyDescent="0.2">
      <c r="A2164" s="549"/>
      <c r="C2164" s="548"/>
      <c r="D2164" s="550"/>
      <c r="E2164" s="550"/>
      <c r="F2164" s="550"/>
      <c r="G2164" s="550"/>
      <c r="H2164" s="551"/>
      <c r="I2164" s="550"/>
    </row>
    <row r="2165" spans="1:9" x14ac:dyDescent="0.2">
      <c r="A2165" s="549"/>
      <c r="C2165" s="548"/>
      <c r="D2165" s="550"/>
      <c r="E2165" s="550"/>
      <c r="F2165" s="550"/>
      <c r="G2165" s="550"/>
      <c r="H2165" s="551"/>
      <c r="I2165" s="550"/>
    </row>
    <row r="2166" spans="1:9" x14ac:dyDescent="0.2">
      <c r="A2166" s="549"/>
      <c r="C2166" s="548"/>
      <c r="D2166" s="550"/>
      <c r="E2166" s="550"/>
      <c r="F2166" s="550"/>
      <c r="G2166" s="550"/>
      <c r="H2166" s="551"/>
      <c r="I2166" s="550"/>
    </row>
    <row r="2167" spans="1:9" x14ac:dyDescent="0.2">
      <c r="A2167" s="549"/>
      <c r="C2167" s="548"/>
      <c r="D2167" s="550"/>
      <c r="E2167" s="550"/>
      <c r="F2167" s="550"/>
      <c r="G2167" s="550"/>
      <c r="H2167" s="551"/>
      <c r="I2167" s="550"/>
    </row>
    <row r="2168" spans="1:9" x14ac:dyDescent="0.2">
      <c r="A2168" s="549"/>
      <c r="C2168" s="548"/>
      <c r="D2168" s="550"/>
      <c r="E2168" s="550"/>
      <c r="F2168" s="550"/>
      <c r="G2168" s="550"/>
      <c r="H2168" s="551"/>
      <c r="I2168" s="550"/>
    </row>
    <row r="2169" spans="1:9" x14ac:dyDescent="0.2">
      <c r="A2169" s="549"/>
      <c r="C2169" s="548"/>
      <c r="D2169" s="550"/>
      <c r="E2169" s="550"/>
      <c r="F2169" s="550"/>
      <c r="G2169" s="550"/>
      <c r="H2169" s="551"/>
      <c r="I2169" s="550"/>
    </row>
    <row r="2170" spans="1:9" x14ac:dyDescent="0.2">
      <c r="A2170" s="549"/>
      <c r="C2170" s="548"/>
      <c r="D2170" s="550"/>
      <c r="E2170" s="550"/>
      <c r="F2170" s="550"/>
      <c r="G2170" s="550"/>
      <c r="H2170" s="551"/>
      <c r="I2170" s="550"/>
    </row>
    <row r="2171" spans="1:9" x14ac:dyDescent="0.2">
      <c r="A2171" s="549"/>
      <c r="C2171" s="548"/>
      <c r="D2171" s="550"/>
      <c r="E2171" s="550"/>
      <c r="F2171" s="550"/>
      <c r="G2171" s="550"/>
      <c r="H2171" s="551"/>
      <c r="I2171" s="550"/>
    </row>
    <row r="2172" spans="1:9" x14ac:dyDescent="0.2">
      <c r="A2172" s="549"/>
      <c r="C2172" s="548"/>
      <c r="D2172" s="550"/>
      <c r="E2172" s="550"/>
      <c r="F2172" s="550"/>
      <c r="G2172" s="550"/>
      <c r="H2172" s="551"/>
      <c r="I2172" s="550"/>
    </row>
    <row r="2173" spans="1:9" x14ac:dyDescent="0.2">
      <c r="A2173" s="549"/>
      <c r="C2173" s="548"/>
      <c r="D2173" s="550"/>
      <c r="E2173" s="550"/>
      <c r="F2173" s="550"/>
      <c r="G2173" s="550"/>
      <c r="H2173" s="551"/>
      <c r="I2173" s="550"/>
    </row>
    <row r="2174" spans="1:9" x14ac:dyDescent="0.2">
      <c r="A2174" s="549"/>
      <c r="C2174" s="548"/>
      <c r="D2174" s="550"/>
      <c r="E2174" s="550"/>
      <c r="F2174" s="550"/>
      <c r="G2174" s="550"/>
      <c r="H2174" s="551"/>
      <c r="I2174" s="550"/>
    </row>
    <row r="2175" spans="1:9" x14ac:dyDescent="0.2">
      <c r="A2175" s="549"/>
      <c r="C2175" s="548"/>
      <c r="D2175" s="550"/>
      <c r="E2175" s="550"/>
      <c r="F2175" s="550"/>
      <c r="G2175" s="550"/>
      <c r="H2175" s="551"/>
      <c r="I2175" s="550"/>
    </row>
    <row r="2176" spans="1:9" x14ac:dyDescent="0.2">
      <c r="A2176" s="549"/>
      <c r="C2176" s="548"/>
      <c r="D2176" s="550"/>
      <c r="E2176" s="550"/>
      <c r="F2176" s="550"/>
      <c r="G2176" s="550"/>
      <c r="H2176" s="551"/>
      <c r="I2176" s="550"/>
    </row>
    <row r="2177" spans="1:9" x14ac:dyDescent="0.2">
      <c r="A2177" s="549"/>
      <c r="C2177" s="548"/>
      <c r="D2177" s="550"/>
      <c r="E2177" s="550"/>
      <c r="F2177" s="550"/>
      <c r="G2177" s="550"/>
      <c r="H2177" s="551"/>
      <c r="I2177" s="550"/>
    </row>
    <row r="2178" spans="1:9" x14ac:dyDescent="0.2">
      <c r="A2178" s="549"/>
      <c r="C2178" s="548"/>
      <c r="D2178" s="550"/>
      <c r="E2178" s="550"/>
      <c r="F2178" s="550"/>
      <c r="G2178" s="550"/>
      <c r="H2178" s="551"/>
      <c r="I2178" s="550"/>
    </row>
    <row r="2179" spans="1:9" x14ac:dyDescent="0.2">
      <c r="A2179" s="549"/>
      <c r="C2179" s="548"/>
      <c r="D2179" s="550"/>
      <c r="E2179" s="550"/>
      <c r="F2179" s="550"/>
      <c r="G2179" s="550"/>
      <c r="H2179" s="551"/>
      <c r="I2179" s="550"/>
    </row>
    <row r="2180" spans="1:9" x14ac:dyDescent="0.2">
      <c r="A2180" s="549"/>
      <c r="C2180" s="548"/>
      <c r="D2180" s="550"/>
      <c r="E2180" s="550"/>
      <c r="F2180" s="550"/>
      <c r="G2180" s="550"/>
      <c r="H2180" s="551"/>
      <c r="I2180" s="550"/>
    </row>
    <row r="2181" spans="1:9" x14ac:dyDescent="0.2">
      <c r="A2181" s="549"/>
      <c r="C2181" s="548"/>
      <c r="D2181" s="550"/>
      <c r="E2181" s="550"/>
      <c r="F2181" s="550"/>
      <c r="G2181" s="550"/>
      <c r="H2181" s="551"/>
      <c r="I2181" s="550"/>
    </row>
    <row r="2182" spans="1:9" x14ac:dyDescent="0.2">
      <c r="A2182" s="549"/>
      <c r="C2182" s="548"/>
      <c r="D2182" s="550"/>
      <c r="E2182" s="550"/>
      <c r="F2182" s="550"/>
      <c r="G2182" s="550"/>
      <c r="H2182" s="551"/>
      <c r="I2182" s="550"/>
    </row>
    <row r="2183" spans="1:9" x14ac:dyDescent="0.2">
      <c r="A2183" s="549"/>
      <c r="C2183" s="548"/>
      <c r="D2183" s="550"/>
      <c r="E2183" s="550"/>
      <c r="F2183" s="550"/>
      <c r="G2183" s="550"/>
      <c r="H2183" s="551"/>
      <c r="I2183" s="550"/>
    </row>
    <row r="2184" spans="1:9" x14ac:dyDescent="0.2">
      <c r="A2184" s="549"/>
      <c r="C2184" s="548"/>
      <c r="D2184" s="550"/>
      <c r="E2184" s="550"/>
      <c r="F2184" s="550"/>
      <c r="G2184" s="550"/>
      <c r="H2184" s="551"/>
      <c r="I2184" s="550"/>
    </row>
    <row r="2185" spans="1:9" x14ac:dyDescent="0.2">
      <c r="A2185" s="549"/>
      <c r="C2185" s="548"/>
      <c r="D2185" s="550"/>
      <c r="E2185" s="550"/>
      <c r="F2185" s="550"/>
      <c r="G2185" s="550"/>
      <c r="H2185" s="551"/>
      <c r="I2185" s="550"/>
    </row>
    <row r="2186" spans="1:9" x14ac:dyDescent="0.2">
      <c r="A2186" s="549"/>
      <c r="C2186" s="548"/>
      <c r="D2186" s="550"/>
      <c r="E2186" s="550"/>
      <c r="F2186" s="550"/>
      <c r="G2186" s="550"/>
      <c r="H2186" s="551"/>
      <c r="I2186" s="550"/>
    </row>
    <row r="2187" spans="1:9" x14ac:dyDescent="0.2">
      <c r="A2187" s="549"/>
      <c r="C2187" s="548"/>
      <c r="D2187" s="550"/>
      <c r="E2187" s="550"/>
      <c r="F2187" s="550"/>
      <c r="G2187" s="550"/>
      <c r="H2187" s="551"/>
      <c r="I2187" s="550"/>
    </row>
    <row r="2188" spans="1:9" x14ac:dyDescent="0.2">
      <c r="A2188" s="549"/>
      <c r="C2188" s="548"/>
      <c r="D2188" s="550"/>
      <c r="E2188" s="550"/>
      <c r="F2188" s="550"/>
      <c r="G2188" s="550"/>
      <c r="H2188" s="551"/>
      <c r="I2188" s="550"/>
    </row>
    <row r="2189" spans="1:9" x14ac:dyDescent="0.2">
      <c r="A2189" s="549"/>
      <c r="C2189" s="548"/>
      <c r="D2189" s="550"/>
      <c r="E2189" s="550"/>
      <c r="F2189" s="550"/>
      <c r="G2189" s="550"/>
      <c r="H2189" s="551"/>
      <c r="I2189" s="550"/>
    </row>
    <row r="2190" spans="1:9" x14ac:dyDescent="0.2">
      <c r="A2190" s="549"/>
      <c r="C2190" s="548"/>
      <c r="D2190" s="550"/>
      <c r="E2190" s="550"/>
      <c r="F2190" s="550"/>
      <c r="G2190" s="550"/>
      <c r="H2190" s="551"/>
      <c r="I2190" s="550"/>
    </row>
    <row r="2191" spans="1:9" x14ac:dyDescent="0.2">
      <c r="A2191" s="549"/>
      <c r="C2191" s="548"/>
      <c r="D2191" s="550"/>
      <c r="E2191" s="550"/>
      <c r="F2191" s="550"/>
      <c r="G2191" s="550"/>
      <c r="H2191" s="551"/>
      <c r="I2191" s="550"/>
    </row>
    <row r="2192" spans="1:9" x14ac:dyDescent="0.2">
      <c r="A2192" s="549"/>
      <c r="C2192" s="548"/>
      <c r="D2192" s="550"/>
      <c r="E2192" s="550"/>
      <c r="F2192" s="550"/>
      <c r="G2192" s="550"/>
      <c r="H2192" s="551"/>
      <c r="I2192" s="550"/>
    </row>
    <row r="2193" spans="1:9" x14ac:dyDescent="0.2">
      <c r="A2193" s="549"/>
      <c r="C2193" s="548"/>
      <c r="D2193" s="550"/>
      <c r="E2193" s="550"/>
      <c r="F2193" s="550"/>
      <c r="G2193" s="550"/>
      <c r="H2193" s="551"/>
      <c r="I2193" s="550"/>
    </row>
    <row r="2194" spans="1:9" x14ac:dyDescent="0.2">
      <c r="A2194" s="549"/>
      <c r="C2194" s="548"/>
      <c r="D2194" s="550"/>
      <c r="E2194" s="550"/>
      <c r="F2194" s="550"/>
      <c r="G2194" s="550"/>
      <c r="H2194" s="551"/>
      <c r="I2194" s="550"/>
    </row>
    <row r="2195" spans="1:9" x14ac:dyDescent="0.2">
      <c r="A2195" s="549"/>
      <c r="C2195" s="548"/>
      <c r="D2195" s="550"/>
      <c r="E2195" s="550"/>
      <c r="F2195" s="550"/>
      <c r="G2195" s="550"/>
      <c r="H2195" s="551"/>
      <c r="I2195" s="550"/>
    </row>
    <row r="2196" spans="1:9" x14ac:dyDescent="0.2">
      <c r="A2196" s="549"/>
      <c r="C2196" s="548"/>
      <c r="D2196" s="550"/>
      <c r="E2196" s="550"/>
      <c r="F2196" s="550"/>
      <c r="G2196" s="550"/>
      <c r="H2196" s="551"/>
      <c r="I2196" s="550"/>
    </row>
    <row r="2197" spans="1:9" x14ac:dyDescent="0.2">
      <c r="A2197" s="549"/>
      <c r="C2197" s="548"/>
      <c r="D2197" s="550"/>
      <c r="E2197" s="550"/>
      <c r="F2197" s="550"/>
      <c r="G2197" s="550"/>
      <c r="H2197" s="551"/>
      <c r="I2197" s="550"/>
    </row>
    <row r="2198" spans="1:9" x14ac:dyDescent="0.2">
      <c r="A2198" s="549"/>
      <c r="C2198" s="548"/>
      <c r="D2198" s="550"/>
      <c r="E2198" s="550"/>
      <c r="F2198" s="550"/>
      <c r="G2198" s="550"/>
      <c r="H2198" s="551"/>
      <c r="I2198" s="550"/>
    </row>
    <row r="2199" spans="1:9" x14ac:dyDescent="0.2">
      <c r="A2199" s="549"/>
      <c r="C2199" s="548"/>
      <c r="D2199" s="550"/>
      <c r="E2199" s="550"/>
      <c r="F2199" s="550"/>
      <c r="G2199" s="550"/>
      <c r="H2199" s="551"/>
      <c r="I2199" s="550"/>
    </row>
    <row r="2200" spans="1:9" x14ac:dyDescent="0.2">
      <c r="A2200" s="549"/>
      <c r="C2200" s="548"/>
      <c r="D2200" s="550"/>
      <c r="E2200" s="550"/>
      <c r="F2200" s="550"/>
      <c r="G2200" s="550"/>
      <c r="H2200" s="551"/>
      <c r="I2200" s="550"/>
    </row>
    <row r="2201" spans="1:9" x14ac:dyDescent="0.2">
      <c r="A2201" s="549"/>
      <c r="C2201" s="548"/>
      <c r="D2201" s="550"/>
      <c r="E2201" s="550"/>
      <c r="F2201" s="550"/>
      <c r="G2201" s="550"/>
      <c r="H2201" s="551"/>
      <c r="I2201" s="550"/>
    </row>
    <row r="2202" spans="1:9" x14ac:dyDescent="0.2">
      <c r="A2202" s="549"/>
      <c r="C2202" s="548"/>
      <c r="D2202" s="550"/>
      <c r="E2202" s="550"/>
      <c r="F2202" s="550"/>
      <c r="G2202" s="550"/>
      <c r="H2202" s="551"/>
      <c r="I2202" s="550"/>
    </row>
    <row r="2203" spans="1:9" x14ac:dyDescent="0.2">
      <c r="A2203" s="549"/>
      <c r="C2203" s="548"/>
      <c r="D2203" s="550"/>
      <c r="E2203" s="550"/>
      <c r="F2203" s="550"/>
      <c r="G2203" s="550"/>
      <c r="H2203" s="551"/>
      <c r="I2203" s="550"/>
    </row>
    <row r="2204" spans="1:9" x14ac:dyDescent="0.2">
      <c r="A2204" s="549"/>
      <c r="C2204" s="548"/>
      <c r="D2204" s="550"/>
      <c r="E2204" s="550"/>
      <c r="F2204" s="550"/>
      <c r="G2204" s="550"/>
      <c r="H2204" s="551"/>
      <c r="I2204" s="550"/>
    </row>
    <row r="2205" spans="1:9" x14ac:dyDescent="0.2">
      <c r="A2205" s="549"/>
      <c r="C2205" s="548"/>
      <c r="D2205" s="550"/>
      <c r="E2205" s="550"/>
      <c r="F2205" s="550"/>
      <c r="G2205" s="550"/>
      <c r="H2205" s="551"/>
      <c r="I2205" s="550"/>
    </row>
    <row r="2206" spans="1:9" x14ac:dyDescent="0.2">
      <c r="A2206" s="549"/>
      <c r="C2206" s="548"/>
      <c r="D2206" s="550"/>
      <c r="E2206" s="550"/>
      <c r="F2206" s="550"/>
      <c r="G2206" s="550"/>
      <c r="H2206" s="551"/>
      <c r="I2206" s="550"/>
    </row>
    <row r="2207" spans="1:9" x14ac:dyDescent="0.2">
      <c r="A2207" s="549"/>
      <c r="C2207" s="548"/>
      <c r="D2207" s="550"/>
      <c r="E2207" s="550"/>
      <c r="F2207" s="550"/>
      <c r="G2207" s="550"/>
      <c r="H2207" s="551"/>
      <c r="I2207" s="550"/>
    </row>
    <row r="2208" spans="1:9" x14ac:dyDescent="0.2">
      <c r="A2208" s="549"/>
      <c r="C2208" s="548"/>
      <c r="D2208" s="550"/>
      <c r="E2208" s="550"/>
      <c r="F2208" s="550"/>
      <c r="G2208" s="550"/>
      <c r="H2208" s="551"/>
      <c r="I2208" s="550"/>
    </row>
    <row r="2209" spans="1:9" x14ac:dyDescent="0.2">
      <c r="A2209" s="549"/>
      <c r="C2209" s="548"/>
      <c r="D2209" s="550"/>
      <c r="E2209" s="550"/>
      <c r="F2209" s="550"/>
      <c r="G2209" s="550"/>
      <c r="H2209" s="551"/>
      <c r="I2209" s="550"/>
    </row>
    <row r="2210" spans="1:9" x14ac:dyDescent="0.2">
      <c r="A2210" s="549"/>
      <c r="C2210" s="548"/>
      <c r="D2210" s="550"/>
      <c r="E2210" s="550"/>
      <c r="F2210" s="550"/>
      <c r="G2210" s="550"/>
      <c r="H2210" s="551"/>
      <c r="I2210" s="550"/>
    </row>
    <row r="2211" spans="1:9" x14ac:dyDescent="0.2">
      <c r="A2211" s="549"/>
      <c r="C2211" s="548"/>
      <c r="D2211" s="550"/>
      <c r="E2211" s="550"/>
      <c r="F2211" s="550"/>
      <c r="G2211" s="550"/>
      <c r="H2211" s="551"/>
      <c r="I2211" s="550"/>
    </row>
    <row r="2212" spans="1:9" x14ac:dyDescent="0.2">
      <c r="A2212" s="549"/>
      <c r="C2212" s="548"/>
      <c r="D2212" s="550"/>
      <c r="E2212" s="550"/>
      <c r="F2212" s="550"/>
      <c r="G2212" s="550"/>
      <c r="H2212" s="551"/>
      <c r="I2212" s="550"/>
    </row>
    <row r="2213" spans="1:9" x14ac:dyDescent="0.2">
      <c r="A2213" s="549"/>
      <c r="C2213" s="548"/>
      <c r="D2213" s="550"/>
      <c r="E2213" s="550"/>
      <c r="F2213" s="550"/>
      <c r="G2213" s="550"/>
      <c r="H2213" s="551"/>
      <c r="I2213" s="550"/>
    </row>
    <row r="2214" spans="1:9" x14ac:dyDescent="0.2">
      <c r="A2214" s="549"/>
      <c r="C2214" s="548"/>
      <c r="D2214" s="550"/>
      <c r="E2214" s="550"/>
      <c r="F2214" s="550"/>
      <c r="G2214" s="550"/>
      <c r="H2214" s="551"/>
      <c r="I2214" s="550"/>
    </row>
    <row r="2215" spans="1:9" x14ac:dyDescent="0.2">
      <c r="A2215" s="549"/>
      <c r="C2215" s="548"/>
      <c r="D2215" s="550"/>
      <c r="E2215" s="550"/>
      <c r="F2215" s="550"/>
      <c r="G2215" s="550"/>
      <c r="H2215" s="551"/>
      <c r="I2215" s="550"/>
    </row>
    <row r="2216" spans="1:9" x14ac:dyDescent="0.2">
      <c r="A2216" s="549"/>
      <c r="C2216" s="548"/>
      <c r="D2216" s="550"/>
      <c r="E2216" s="550"/>
      <c r="F2216" s="550"/>
      <c r="G2216" s="550"/>
      <c r="H2216" s="551"/>
      <c r="I2216" s="550"/>
    </row>
    <row r="2217" spans="1:9" x14ac:dyDescent="0.2">
      <c r="A2217" s="549"/>
      <c r="C2217" s="548"/>
      <c r="D2217" s="550"/>
      <c r="E2217" s="550"/>
      <c r="F2217" s="550"/>
      <c r="G2217" s="550"/>
      <c r="H2217" s="551"/>
      <c r="I2217" s="550"/>
    </row>
    <row r="2218" spans="1:9" x14ac:dyDescent="0.2">
      <c r="A2218" s="549"/>
      <c r="C2218" s="548"/>
      <c r="D2218" s="550"/>
      <c r="E2218" s="550"/>
      <c r="F2218" s="550"/>
      <c r="G2218" s="550"/>
      <c r="H2218" s="551"/>
      <c r="I2218" s="550"/>
    </row>
    <row r="2219" spans="1:9" x14ac:dyDescent="0.2">
      <c r="A2219" s="549"/>
      <c r="C2219" s="548"/>
      <c r="D2219" s="550"/>
      <c r="E2219" s="550"/>
      <c r="F2219" s="550"/>
      <c r="G2219" s="550"/>
      <c r="H2219" s="551"/>
      <c r="I2219" s="550"/>
    </row>
    <row r="2220" spans="1:9" x14ac:dyDescent="0.2">
      <c r="A2220" s="549"/>
      <c r="C2220" s="548"/>
      <c r="D2220" s="550"/>
      <c r="E2220" s="550"/>
      <c r="F2220" s="550"/>
      <c r="G2220" s="550"/>
      <c r="H2220" s="551"/>
      <c r="I2220" s="550"/>
    </row>
    <row r="2221" spans="1:9" x14ac:dyDescent="0.2">
      <c r="A2221" s="549"/>
      <c r="C2221" s="548"/>
      <c r="D2221" s="550"/>
      <c r="E2221" s="550"/>
      <c r="F2221" s="550"/>
      <c r="G2221" s="550"/>
      <c r="H2221" s="551"/>
      <c r="I2221" s="550"/>
    </row>
    <row r="2222" spans="1:9" x14ac:dyDescent="0.2">
      <c r="A2222" s="549"/>
      <c r="C2222" s="548"/>
      <c r="D2222" s="550"/>
      <c r="E2222" s="550"/>
      <c r="F2222" s="550"/>
      <c r="G2222" s="550"/>
      <c r="H2222" s="551"/>
      <c r="I2222" s="550"/>
    </row>
    <row r="2223" spans="1:9" x14ac:dyDescent="0.2">
      <c r="A2223" s="549"/>
      <c r="C2223" s="548"/>
      <c r="D2223" s="550"/>
      <c r="E2223" s="550"/>
      <c r="F2223" s="550"/>
      <c r="G2223" s="550"/>
      <c r="H2223" s="551"/>
      <c r="I2223" s="550"/>
    </row>
    <row r="2224" spans="1:9" x14ac:dyDescent="0.2">
      <c r="A2224" s="549"/>
      <c r="C2224" s="548"/>
      <c r="D2224" s="550"/>
      <c r="E2224" s="550"/>
      <c r="F2224" s="550"/>
      <c r="G2224" s="550"/>
      <c r="H2224" s="551"/>
      <c r="I2224" s="550"/>
    </row>
    <row r="2225" spans="1:9" x14ac:dyDescent="0.2">
      <c r="A2225" s="549"/>
      <c r="C2225" s="548"/>
      <c r="D2225" s="550"/>
      <c r="E2225" s="550"/>
      <c r="F2225" s="550"/>
      <c r="G2225" s="550"/>
      <c r="H2225" s="551"/>
      <c r="I2225" s="550"/>
    </row>
    <row r="2226" spans="1:9" x14ac:dyDescent="0.2">
      <c r="A2226" s="549"/>
      <c r="C2226" s="548"/>
      <c r="D2226" s="550"/>
      <c r="E2226" s="550"/>
      <c r="F2226" s="550"/>
      <c r="G2226" s="550"/>
      <c r="H2226" s="551"/>
      <c r="I2226" s="550"/>
    </row>
    <row r="2227" spans="1:9" x14ac:dyDescent="0.2">
      <c r="A2227" s="549"/>
      <c r="C2227" s="548"/>
      <c r="D2227" s="550"/>
      <c r="E2227" s="550"/>
      <c r="F2227" s="550"/>
      <c r="G2227" s="550"/>
      <c r="H2227" s="551"/>
      <c r="I2227" s="550"/>
    </row>
    <row r="2228" spans="1:9" x14ac:dyDescent="0.2">
      <c r="A2228" s="549"/>
      <c r="C2228" s="548"/>
      <c r="D2228" s="550"/>
      <c r="E2228" s="550"/>
      <c r="F2228" s="550"/>
      <c r="G2228" s="550"/>
      <c r="H2228" s="551"/>
      <c r="I2228" s="550"/>
    </row>
    <row r="2229" spans="1:9" x14ac:dyDescent="0.2">
      <c r="A2229" s="549"/>
      <c r="C2229" s="548"/>
      <c r="D2229" s="550"/>
      <c r="E2229" s="550"/>
      <c r="F2229" s="550"/>
      <c r="G2229" s="550"/>
      <c r="H2229" s="551"/>
      <c r="I2229" s="550"/>
    </row>
    <row r="2230" spans="1:9" x14ac:dyDescent="0.2">
      <c r="A2230" s="549"/>
      <c r="C2230" s="548"/>
      <c r="D2230" s="550"/>
      <c r="E2230" s="550"/>
      <c r="F2230" s="550"/>
      <c r="G2230" s="550"/>
      <c r="H2230" s="551"/>
      <c r="I2230" s="550"/>
    </row>
    <row r="2231" spans="1:9" x14ac:dyDescent="0.2">
      <c r="A2231" s="549"/>
      <c r="C2231" s="548"/>
      <c r="D2231" s="550"/>
      <c r="E2231" s="550"/>
      <c r="F2231" s="550"/>
      <c r="G2231" s="550"/>
      <c r="H2231" s="551"/>
      <c r="I2231" s="550"/>
    </row>
    <row r="2232" spans="1:9" x14ac:dyDescent="0.2">
      <c r="A2232" s="549"/>
      <c r="C2232" s="548"/>
      <c r="D2232" s="550"/>
      <c r="E2232" s="550"/>
      <c r="F2232" s="550"/>
      <c r="G2232" s="550"/>
      <c r="H2232" s="551"/>
      <c r="I2232" s="550"/>
    </row>
    <row r="2233" spans="1:9" x14ac:dyDescent="0.2">
      <c r="A2233" s="549"/>
      <c r="C2233" s="548"/>
      <c r="D2233" s="550"/>
      <c r="E2233" s="550"/>
      <c r="F2233" s="550"/>
      <c r="G2233" s="550"/>
      <c r="H2233" s="551"/>
      <c r="I2233" s="550"/>
    </row>
    <row r="2234" spans="1:9" x14ac:dyDescent="0.2">
      <c r="A2234" s="549"/>
      <c r="C2234" s="548"/>
      <c r="D2234" s="550"/>
      <c r="E2234" s="550"/>
      <c r="F2234" s="550"/>
      <c r="G2234" s="550"/>
      <c r="H2234" s="551"/>
      <c r="I2234" s="550"/>
    </row>
    <row r="2235" spans="1:9" x14ac:dyDescent="0.2">
      <c r="A2235" s="549"/>
      <c r="C2235" s="548"/>
      <c r="D2235" s="550"/>
      <c r="E2235" s="550"/>
      <c r="F2235" s="550"/>
      <c r="G2235" s="550"/>
      <c r="H2235" s="551"/>
      <c r="I2235" s="550"/>
    </row>
    <row r="2236" spans="1:9" x14ac:dyDescent="0.2">
      <c r="A2236" s="549"/>
      <c r="C2236" s="548"/>
      <c r="D2236" s="550"/>
      <c r="E2236" s="550"/>
      <c r="F2236" s="550"/>
      <c r="G2236" s="550"/>
      <c r="H2236" s="551"/>
      <c r="I2236" s="550"/>
    </row>
    <row r="2237" spans="1:9" x14ac:dyDescent="0.2">
      <c r="A2237" s="549"/>
      <c r="C2237" s="548"/>
      <c r="D2237" s="550"/>
      <c r="E2237" s="550"/>
      <c r="F2237" s="550"/>
      <c r="G2237" s="550"/>
      <c r="H2237" s="551"/>
      <c r="I2237" s="550"/>
    </row>
    <row r="2238" spans="1:9" x14ac:dyDescent="0.2">
      <c r="A2238" s="549"/>
      <c r="C2238" s="548"/>
      <c r="D2238" s="550"/>
      <c r="E2238" s="550"/>
      <c r="F2238" s="550"/>
      <c r="G2238" s="550"/>
      <c r="H2238" s="551"/>
      <c r="I2238" s="550"/>
    </row>
    <row r="2239" spans="1:9" x14ac:dyDescent="0.2">
      <c r="A2239" s="549"/>
      <c r="C2239" s="548"/>
      <c r="D2239" s="550"/>
      <c r="E2239" s="550"/>
      <c r="F2239" s="550"/>
      <c r="G2239" s="550"/>
      <c r="H2239" s="551"/>
      <c r="I2239" s="550"/>
    </row>
    <row r="2240" spans="1:9" x14ac:dyDescent="0.2">
      <c r="A2240" s="549"/>
      <c r="C2240" s="548"/>
      <c r="D2240" s="550"/>
      <c r="E2240" s="550"/>
      <c r="F2240" s="550"/>
      <c r="G2240" s="550"/>
      <c r="H2240" s="551"/>
      <c r="I2240" s="550"/>
    </row>
    <row r="2241" spans="1:9" x14ac:dyDescent="0.2">
      <c r="A2241" s="549"/>
      <c r="C2241" s="548"/>
      <c r="D2241" s="550"/>
      <c r="E2241" s="550"/>
      <c r="F2241" s="550"/>
      <c r="G2241" s="550"/>
      <c r="H2241" s="551"/>
      <c r="I2241" s="550"/>
    </row>
    <row r="2242" spans="1:9" x14ac:dyDescent="0.2">
      <c r="A2242" s="549"/>
      <c r="C2242" s="548"/>
      <c r="D2242" s="550"/>
      <c r="E2242" s="550"/>
      <c r="F2242" s="550"/>
      <c r="G2242" s="550"/>
      <c r="H2242" s="551"/>
      <c r="I2242" s="550"/>
    </row>
    <row r="2243" spans="1:9" x14ac:dyDescent="0.2">
      <c r="A2243" s="549"/>
      <c r="C2243" s="548"/>
      <c r="D2243" s="550"/>
      <c r="E2243" s="550"/>
      <c r="F2243" s="550"/>
      <c r="G2243" s="550"/>
      <c r="H2243" s="551"/>
      <c r="I2243" s="550"/>
    </row>
    <row r="2244" spans="1:9" x14ac:dyDescent="0.2">
      <c r="A2244" s="549"/>
      <c r="C2244" s="548"/>
      <c r="D2244" s="550"/>
      <c r="E2244" s="550"/>
      <c r="F2244" s="550"/>
      <c r="G2244" s="550"/>
      <c r="H2244" s="551"/>
      <c r="I2244" s="550"/>
    </row>
    <row r="2245" spans="1:9" x14ac:dyDescent="0.2">
      <c r="A2245" s="549"/>
      <c r="C2245" s="548"/>
      <c r="D2245" s="550"/>
      <c r="E2245" s="550"/>
      <c r="F2245" s="550"/>
      <c r="G2245" s="550"/>
      <c r="H2245" s="551"/>
      <c r="I2245" s="550"/>
    </row>
    <row r="2246" spans="1:9" x14ac:dyDescent="0.2">
      <c r="A2246" s="549"/>
      <c r="C2246" s="548"/>
      <c r="D2246" s="550"/>
      <c r="E2246" s="550"/>
      <c r="F2246" s="550"/>
      <c r="G2246" s="550"/>
      <c r="H2246" s="551"/>
      <c r="I2246" s="550"/>
    </row>
    <row r="2247" spans="1:9" x14ac:dyDescent="0.2">
      <c r="A2247" s="549"/>
      <c r="C2247" s="548"/>
      <c r="D2247" s="550"/>
      <c r="E2247" s="550"/>
      <c r="F2247" s="550"/>
      <c r="G2247" s="550"/>
      <c r="H2247" s="551"/>
      <c r="I2247" s="550"/>
    </row>
    <row r="2248" spans="1:9" x14ac:dyDescent="0.2">
      <c r="A2248" s="549"/>
      <c r="C2248" s="548"/>
      <c r="D2248" s="550"/>
      <c r="E2248" s="550"/>
      <c r="F2248" s="550"/>
      <c r="G2248" s="550"/>
      <c r="H2248" s="551"/>
      <c r="I2248" s="550"/>
    </row>
    <row r="2249" spans="1:9" x14ac:dyDescent="0.2">
      <c r="A2249" s="549"/>
      <c r="C2249" s="548"/>
      <c r="D2249" s="550"/>
      <c r="E2249" s="550"/>
      <c r="F2249" s="550"/>
      <c r="G2249" s="550"/>
      <c r="H2249" s="551"/>
      <c r="I2249" s="550"/>
    </row>
    <row r="2250" spans="1:9" x14ac:dyDescent="0.2">
      <c r="A2250" s="549"/>
      <c r="C2250" s="548"/>
      <c r="D2250" s="550"/>
      <c r="E2250" s="550"/>
      <c r="F2250" s="550"/>
      <c r="G2250" s="550"/>
      <c r="H2250" s="551"/>
      <c r="I2250" s="550"/>
    </row>
    <row r="2251" spans="1:9" x14ac:dyDescent="0.2">
      <c r="A2251" s="549"/>
      <c r="C2251" s="548"/>
      <c r="D2251" s="550"/>
      <c r="E2251" s="550"/>
      <c r="F2251" s="550"/>
      <c r="G2251" s="550"/>
      <c r="H2251" s="551"/>
      <c r="I2251" s="550"/>
    </row>
    <row r="2252" spans="1:9" x14ac:dyDescent="0.2">
      <c r="A2252" s="549"/>
      <c r="C2252" s="548"/>
      <c r="D2252" s="550"/>
      <c r="E2252" s="550"/>
      <c r="F2252" s="550"/>
      <c r="G2252" s="550"/>
      <c r="H2252" s="551"/>
      <c r="I2252" s="550"/>
    </row>
    <row r="2253" spans="1:9" x14ac:dyDescent="0.2">
      <c r="A2253" s="549"/>
      <c r="C2253" s="548"/>
      <c r="D2253" s="550"/>
      <c r="E2253" s="550"/>
      <c r="F2253" s="550"/>
      <c r="G2253" s="550"/>
      <c r="H2253" s="551"/>
      <c r="I2253" s="550"/>
    </row>
    <row r="2254" spans="1:9" x14ac:dyDescent="0.2">
      <c r="A2254" s="549"/>
      <c r="C2254" s="548"/>
      <c r="D2254" s="550"/>
      <c r="E2254" s="550"/>
      <c r="F2254" s="550"/>
      <c r="G2254" s="550"/>
      <c r="H2254" s="551"/>
      <c r="I2254" s="550"/>
    </row>
    <row r="2255" spans="1:9" x14ac:dyDescent="0.2">
      <c r="A2255" s="549"/>
      <c r="C2255" s="548"/>
      <c r="D2255" s="550"/>
      <c r="E2255" s="550"/>
      <c r="F2255" s="550"/>
      <c r="G2255" s="550"/>
      <c r="H2255" s="551"/>
      <c r="I2255" s="550"/>
    </row>
    <row r="2256" spans="1:9" x14ac:dyDescent="0.2">
      <c r="A2256" s="549"/>
      <c r="C2256" s="548"/>
      <c r="D2256" s="550"/>
      <c r="E2256" s="550"/>
      <c r="F2256" s="550"/>
      <c r="G2256" s="550"/>
      <c r="H2256" s="551"/>
      <c r="I2256" s="550"/>
    </row>
    <row r="2257" spans="1:9" x14ac:dyDescent="0.2">
      <c r="A2257" s="549"/>
      <c r="C2257" s="548"/>
      <c r="D2257" s="550"/>
      <c r="E2257" s="550"/>
      <c r="F2257" s="550"/>
      <c r="G2257" s="550"/>
      <c r="H2257" s="551"/>
      <c r="I2257" s="550"/>
    </row>
    <row r="2258" spans="1:9" x14ac:dyDescent="0.2">
      <c r="A2258" s="549"/>
      <c r="C2258" s="548"/>
      <c r="D2258" s="550"/>
      <c r="E2258" s="550"/>
      <c r="F2258" s="550"/>
      <c r="G2258" s="550"/>
      <c r="H2258" s="551"/>
      <c r="I2258" s="550"/>
    </row>
    <row r="2259" spans="1:9" x14ac:dyDescent="0.2">
      <c r="A2259" s="549"/>
      <c r="C2259" s="548"/>
      <c r="D2259" s="550"/>
      <c r="E2259" s="550"/>
      <c r="F2259" s="550"/>
      <c r="G2259" s="550"/>
      <c r="H2259" s="551"/>
      <c r="I2259" s="550"/>
    </row>
    <row r="2260" spans="1:9" x14ac:dyDescent="0.2">
      <c r="A2260" s="549"/>
      <c r="C2260" s="548"/>
      <c r="D2260" s="550"/>
      <c r="E2260" s="550"/>
      <c r="F2260" s="550"/>
      <c r="G2260" s="550"/>
      <c r="H2260" s="551"/>
      <c r="I2260" s="550"/>
    </row>
    <row r="2261" spans="1:9" x14ac:dyDescent="0.2">
      <c r="A2261" s="549"/>
      <c r="C2261" s="548"/>
      <c r="D2261" s="550"/>
      <c r="E2261" s="550"/>
      <c r="F2261" s="550"/>
      <c r="G2261" s="550"/>
      <c r="H2261" s="551"/>
      <c r="I2261" s="550"/>
    </row>
    <row r="2262" spans="1:9" x14ac:dyDescent="0.2">
      <c r="A2262" s="549"/>
      <c r="C2262" s="548"/>
      <c r="D2262" s="550"/>
      <c r="E2262" s="550"/>
      <c r="F2262" s="550"/>
      <c r="G2262" s="550"/>
      <c r="H2262" s="551"/>
      <c r="I2262" s="550"/>
    </row>
    <row r="2263" spans="1:9" x14ac:dyDescent="0.2">
      <c r="A2263" s="549"/>
      <c r="C2263" s="548"/>
      <c r="D2263" s="550"/>
      <c r="E2263" s="550"/>
      <c r="F2263" s="550"/>
      <c r="G2263" s="550"/>
      <c r="H2263" s="551"/>
      <c r="I2263" s="550"/>
    </row>
    <row r="2264" spans="1:9" x14ac:dyDescent="0.2">
      <c r="A2264" s="549"/>
      <c r="C2264" s="548"/>
      <c r="D2264" s="550"/>
      <c r="E2264" s="550"/>
      <c r="F2264" s="550"/>
      <c r="G2264" s="550"/>
      <c r="H2264" s="551"/>
      <c r="I2264" s="550"/>
    </row>
    <row r="2265" spans="1:9" x14ac:dyDescent="0.2">
      <c r="A2265" s="549"/>
      <c r="C2265" s="548"/>
      <c r="D2265" s="550"/>
      <c r="E2265" s="550"/>
      <c r="F2265" s="550"/>
      <c r="G2265" s="550"/>
      <c r="H2265" s="551"/>
      <c r="I2265" s="550"/>
    </row>
    <row r="2266" spans="1:9" x14ac:dyDescent="0.2">
      <c r="A2266" s="549"/>
      <c r="C2266" s="548"/>
      <c r="D2266" s="550"/>
      <c r="E2266" s="550"/>
      <c r="F2266" s="550"/>
      <c r="G2266" s="550"/>
      <c r="H2266" s="551"/>
      <c r="I2266" s="550"/>
    </row>
    <row r="2267" spans="1:9" x14ac:dyDescent="0.2">
      <c r="A2267" s="549"/>
      <c r="C2267" s="548"/>
      <c r="D2267" s="550"/>
      <c r="E2267" s="550"/>
      <c r="F2267" s="550"/>
      <c r="G2267" s="550"/>
      <c r="H2267" s="551"/>
      <c r="I2267" s="550"/>
    </row>
    <row r="2268" spans="1:9" x14ac:dyDescent="0.2">
      <c r="A2268" s="549"/>
      <c r="C2268" s="548"/>
      <c r="D2268" s="550"/>
      <c r="E2268" s="550"/>
      <c r="F2268" s="550"/>
      <c r="G2268" s="550"/>
      <c r="H2268" s="551"/>
      <c r="I2268" s="550"/>
    </row>
    <row r="2269" spans="1:9" x14ac:dyDescent="0.2">
      <c r="A2269" s="549"/>
      <c r="C2269" s="548"/>
      <c r="D2269" s="550"/>
      <c r="E2269" s="550"/>
      <c r="F2269" s="550"/>
      <c r="G2269" s="550"/>
      <c r="H2269" s="551"/>
      <c r="I2269" s="550"/>
    </row>
    <row r="2270" spans="1:9" x14ac:dyDescent="0.2">
      <c r="A2270" s="549"/>
      <c r="C2270" s="548"/>
      <c r="D2270" s="550"/>
      <c r="E2270" s="550"/>
      <c r="F2270" s="550"/>
      <c r="G2270" s="550"/>
      <c r="H2270" s="551"/>
      <c r="I2270" s="550"/>
    </row>
    <row r="2271" spans="1:9" x14ac:dyDescent="0.2">
      <c r="A2271" s="549"/>
      <c r="C2271" s="548"/>
      <c r="D2271" s="550"/>
      <c r="E2271" s="550"/>
      <c r="F2271" s="550"/>
      <c r="G2271" s="550"/>
      <c r="H2271" s="551"/>
      <c r="I2271" s="550"/>
    </row>
    <row r="2272" spans="1:9" x14ac:dyDescent="0.2">
      <c r="A2272" s="549"/>
      <c r="C2272" s="548"/>
      <c r="D2272" s="550"/>
      <c r="E2272" s="550"/>
      <c r="F2272" s="550"/>
      <c r="G2272" s="550"/>
      <c r="H2272" s="551"/>
      <c r="I2272" s="550"/>
    </row>
    <row r="2273" spans="1:9" x14ac:dyDescent="0.2">
      <c r="A2273" s="549"/>
      <c r="C2273" s="548"/>
      <c r="D2273" s="550"/>
      <c r="E2273" s="550"/>
      <c r="F2273" s="550"/>
      <c r="G2273" s="550"/>
      <c r="H2273" s="551"/>
      <c r="I2273" s="550"/>
    </row>
    <row r="2274" spans="1:9" x14ac:dyDescent="0.2">
      <c r="A2274" s="549"/>
      <c r="C2274" s="548"/>
      <c r="D2274" s="550"/>
      <c r="E2274" s="550"/>
      <c r="F2274" s="550"/>
      <c r="G2274" s="550"/>
      <c r="H2274" s="551"/>
      <c r="I2274" s="550"/>
    </row>
    <row r="2275" spans="1:9" x14ac:dyDescent="0.2">
      <c r="A2275" s="549"/>
      <c r="C2275" s="548"/>
      <c r="D2275" s="550"/>
      <c r="E2275" s="550"/>
      <c r="F2275" s="550"/>
      <c r="G2275" s="550"/>
      <c r="H2275" s="551"/>
      <c r="I2275" s="550"/>
    </row>
    <row r="2276" spans="1:9" x14ac:dyDescent="0.2">
      <c r="A2276" s="549"/>
      <c r="C2276" s="548"/>
      <c r="D2276" s="550"/>
      <c r="E2276" s="550"/>
      <c r="F2276" s="550"/>
      <c r="G2276" s="550"/>
      <c r="H2276" s="551"/>
      <c r="I2276" s="550"/>
    </row>
    <row r="2277" spans="1:9" x14ac:dyDescent="0.2">
      <c r="A2277" s="549"/>
      <c r="C2277" s="548"/>
      <c r="D2277" s="550"/>
      <c r="E2277" s="550"/>
      <c r="F2277" s="550"/>
      <c r="G2277" s="550"/>
      <c r="H2277" s="551"/>
      <c r="I2277" s="550"/>
    </row>
    <row r="2278" spans="1:9" x14ac:dyDescent="0.2">
      <c r="A2278" s="549"/>
      <c r="C2278" s="548"/>
      <c r="D2278" s="550"/>
      <c r="E2278" s="550"/>
      <c r="F2278" s="550"/>
      <c r="G2278" s="550"/>
      <c r="H2278" s="551"/>
      <c r="I2278" s="550"/>
    </row>
    <row r="2279" spans="1:9" x14ac:dyDescent="0.2">
      <c r="A2279" s="549"/>
      <c r="C2279" s="548"/>
      <c r="D2279" s="550"/>
      <c r="E2279" s="550"/>
      <c r="F2279" s="550"/>
      <c r="G2279" s="550"/>
      <c r="H2279" s="551"/>
      <c r="I2279" s="550"/>
    </row>
    <row r="2280" spans="1:9" x14ac:dyDescent="0.2">
      <c r="A2280" s="549"/>
      <c r="C2280" s="548"/>
      <c r="D2280" s="550"/>
      <c r="E2280" s="550"/>
      <c r="F2280" s="550"/>
      <c r="G2280" s="550"/>
      <c r="H2280" s="551"/>
      <c r="I2280" s="550"/>
    </row>
    <row r="2281" spans="1:9" x14ac:dyDescent="0.2">
      <c r="A2281" s="549"/>
      <c r="C2281" s="548"/>
      <c r="D2281" s="550"/>
      <c r="E2281" s="550"/>
      <c r="F2281" s="550"/>
      <c r="G2281" s="550"/>
      <c r="H2281" s="551"/>
      <c r="I2281" s="550"/>
    </row>
    <row r="2282" spans="1:9" x14ac:dyDescent="0.2">
      <c r="A2282" s="549"/>
      <c r="C2282" s="548"/>
      <c r="D2282" s="550"/>
      <c r="E2282" s="550"/>
      <c r="F2282" s="550"/>
      <c r="G2282" s="550"/>
      <c r="H2282" s="551"/>
      <c r="I2282" s="550"/>
    </row>
    <row r="2283" spans="1:9" x14ac:dyDescent="0.2">
      <c r="A2283" s="549"/>
      <c r="C2283" s="548"/>
      <c r="D2283" s="550"/>
      <c r="E2283" s="550"/>
      <c r="F2283" s="550"/>
      <c r="G2283" s="550"/>
      <c r="H2283" s="551"/>
      <c r="I2283" s="550"/>
    </row>
    <row r="2284" spans="1:9" x14ac:dyDescent="0.2">
      <c r="A2284" s="549"/>
      <c r="C2284" s="548"/>
      <c r="D2284" s="550"/>
      <c r="E2284" s="550"/>
      <c r="F2284" s="550"/>
      <c r="G2284" s="550"/>
      <c r="H2284" s="551"/>
      <c r="I2284" s="550"/>
    </row>
    <row r="2285" spans="1:9" x14ac:dyDescent="0.2">
      <c r="A2285" s="549"/>
      <c r="C2285" s="548"/>
      <c r="D2285" s="550"/>
      <c r="E2285" s="550"/>
      <c r="F2285" s="550"/>
      <c r="G2285" s="550"/>
      <c r="H2285" s="551"/>
      <c r="I2285" s="550"/>
    </row>
    <row r="2286" spans="1:9" x14ac:dyDescent="0.2">
      <c r="A2286" s="549"/>
      <c r="C2286" s="548"/>
      <c r="D2286" s="550"/>
      <c r="E2286" s="550"/>
      <c r="F2286" s="550"/>
      <c r="G2286" s="550"/>
      <c r="H2286" s="551"/>
      <c r="I2286" s="550"/>
    </row>
    <row r="2287" spans="1:9" x14ac:dyDescent="0.2">
      <c r="A2287" s="549"/>
      <c r="C2287" s="548"/>
      <c r="D2287" s="550"/>
      <c r="E2287" s="550"/>
      <c r="F2287" s="550"/>
      <c r="G2287" s="550"/>
      <c r="H2287" s="551"/>
      <c r="I2287" s="550"/>
    </row>
    <row r="2288" spans="1:9" x14ac:dyDescent="0.2">
      <c r="A2288" s="549"/>
      <c r="C2288" s="548"/>
      <c r="D2288" s="550"/>
      <c r="E2288" s="550"/>
      <c r="F2288" s="550"/>
      <c r="G2288" s="550"/>
      <c r="H2288" s="551"/>
      <c r="I2288" s="550"/>
    </row>
    <row r="2289" spans="1:9" x14ac:dyDescent="0.2">
      <c r="A2289" s="549"/>
      <c r="C2289" s="548"/>
      <c r="D2289" s="550"/>
      <c r="E2289" s="550"/>
      <c r="F2289" s="550"/>
      <c r="G2289" s="550"/>
      <c r="H2289" s="551"/>
      <c r="I2289" s="550"/>
    </row>
    <row r="2290" spans="1:9" x14ac:dyDescent="0.2">
      <c r="A2290" s="549"/>
      <c r="C2290" s="548"/>
      <c r="D2290" s="550"/>
      <c r="E2290" s="550"/>
      <c r="F2290" s="550"/>
      <c r="G2290" s="550"/>
      <c r="H2290" s="551"/>
      <c r="I2290" s="550"/>
    </row>
    <row r="2291" spans="1:9" x14ac:dyDescent="0.2">
      <c r="A2291" s="549"/>
      <c r="C2291" s="548"/>
      <c r="D2291" s="550"/>
      <c r="E2291" s="550"/>
      <c r="F2291" s="550"/>
      <c r="G2291" s="550"/>
      <c r="H2291" s="551"/>
      <c r="I2291" s="550"/>
    </row>
    <row r="2292" spans="1:9" x14ac:dyDescent="0.2">
      <c r="A2292" s="549"/>
      <c r="C2292" s="548"/>
      <c r="D2292" s="550"/>
      <c r="E2292" s="550"/>
      <c r="F2292" s="550"/>
      <c r="G2292" s="550"/>
      <c r="H2292" s="551"/>
      <c r="I2292" s="550"/>
    </row>
    <row r="2293" spans="1:9" x14ac:dyDescent="0.2">
      <c r="A2293" s="549"/>
      <c r="C2293" s="548"/>
      <c r="D2293" s="550"/>
      <c r="E2293" s="550"/>
      <c r="F2293" s="550"/>
      <c r="G2293" s="550"/>
      <c r="H2293" s="551"/>
      <c r="I2293" s="550"/>
    </row>
    <row r="2294" spans="1:9" x14ac:dyDescent="0.2">
      <c r="A2294" s="549"/>
      <c r="C2294" s="548"/>
      <c r="D2294" s="550"/>
      <c r="E2294" s="550"/>
      <c r="F2294" s="550"/>
      <c r="G2294" s="550"/>
      <c r="H2294" s="551"/>
      <c r="I2294" s="550"/>
    </row>
    <row r="2295" spans="1:9" x14ac:dyDescent="0.2">
      <c r="A2295" s="549"/>
      <c r="C2295" s="548"/>
      <c r="D2295" s="550"/>
      <c r="E2295" s="550"/>
      <c r="F2295" s="550"/>
      <c r="G2295" s="550"/>
      <c r="H2295" s="551"/>
      <c r="I2295" s="550"/>
    </row>
    <row r="2296" spans="1:9" x14ac:dyDescent="0.2">
      <c r="A2296" s="549"/>
      <c r="C2296" s="548"/>
      <c r="D2296" s="550"/>
      <c r="E2296" s="550"/>
      <c r="F2296" s="550"/>
      <c r="G2296" s="550"/>
      <c r="H2296" s="551"/>
      <c r="I2296" s="550"/>
    </row>
    <row r="2297" spans="1:9" x14ac:dyDescent="0.2">
      <c r="A2297" s="549"/>
      <c r="C2297" s="548"/>
      <c r="D2297" s="550"/>
      <c r="E2297" s="550"/>
      <c r="F2297" s="550"/>
      <c r="G2297" s="550"/>
      <c r="H2297" s="551"/>
      <c r="I2297" s="550"/>
    </row>
    <row r="2298" spans="1:9" x14ac:dyDescent="0.2">
      <c r="A2298" s="549"/>
      <c r="C2298" s="548"/>
      <c r="D2298" s="550"/>
      <c r="E2298" s="550"/>
      <c r="F2298" s="550"/>
      <c r="G2298" s="550"/>
      <c r="H2298" s="551"/>
      <c r="I2298" s="550"/>
    </row>
    <row r="2299" spans="1:9" x14ac:dyDescent="0.2">
      <c r="A2299" s="549"/>
      <c r="C2299" s="548"/>
      <c r="D2299" s="550"/>
      <c r="E2299" s="550"/>
      <c r="F2299" s="550"/>
      <c r="G2299" s="550"/>
      <c r="H2299" s="551"/>
      <c r="I2299" s="550"/>
    </row>
    <row r="2300" spans="1:9" x14ac:dyDescent="0.2">
      <c r="A2300" s="549"/>
      <c r="C2300" s="548"/>
      <c r="D2300" s="550"/>
      <c r="E2300" s="550"/>
      <c r="F2300" s="550"/>
      <c r="G2300" s="550"/>
      <c r="H2300" s="551"/>
      <c r="I2300" s="550"/>
    </row>
    <row r="2301" spans="1:9" x14ac:dyDescent="0.2">
      <c r="A2301" s="549"/>
      <c r="C2301" s="548"/>
      <c r="D2301" s="550"/>
      <c r="E2301" s="550"/>
      <c r="F2301" s="550"/>
      <c r="G2301" s="550"/>
      <c r="H2301" s="551"/>
      <c r="I2301" s="550"/>
    </row>
    <row r="2302" spans="1:9" x14ac:dyDescent="0.2">
      <c r="A2302" s="549"/>
      <c r="C2302" s="548"/>
      <c r="D2302" s="550"/>
      <c r="E2302" s="550"/>
      <c r="F2302" s="550"/>
      <c r="G2302" s="550"/>
      <c r="H2302" s="551"/>
      <c r="I2302" s="550"/>
    </row>
    <row r="2303" spans="1:9" x14ac:dyDescent="0.2">
      <c r="A2303" s="549"/>
      <c r="C2303" s="548"/>
      <c r="D2303" s="550"/>
      <c r="E2303" s="550"/>
      <c r="F2303" s="550"/>
      <c r="G2303" s="550"/>
      <c r="H2303" s="551"/>
      <c r="I2303" s="550"/>
    </row>
    <row r="2304" spans="1:9" x14ac:dyDescent="0.2">
      <c r="A2304" s="549"/>
      <c r="C2304" s="548"/>
      <c r="D2304" s="550"/>
      <c r="E2304" s="550"/>
      <c r="F2304" s="550"/>
      <c r="G2304" s="550"/>
      <c r="H2304" s="551"/>
      <c r="I2304" s="550"/>
    </row>
    <row r="2305" spans="1:9" x14ac:dyDescent="0.2">
      <c r="A2305" s="549"/>
      <c r="C2305" s="548"/>
      <c r="D2305" s="550"/>
      <c r="E2305" s="550"/>
      <c r="F2305" s="550"/>
      <c r="G2305" s="550"/>
      <c r="H2305" s="551"/>
      <c r="I2305" s="550"/>
    </row>
    <row r="2306" spans="1:9" x14ac:dyDescent="0.2">
      <c r="A2306" s="549"/>
      <c r="C2306" s="548"/>
      <c r="D2306" s="550"/>
      <c r="E2306" s="550"/>
      <c r="F2306" s="550"/>
      <c r="G2306" s="550"/>
      <c r="H2306" s="551"/>
      <c r="I2306" s="550"/>
    </row>
    <row r="2307" spans="1:9" x14ac:dyDescent="0.2">
      <c r="A2307" s="549"/>
      <c r="C2307" s="548"/>
      <c r="D2307" s="550"/>
      <c r="E2307" s="550"/>
      <c r="F2307" s="550"/>
      <c r="G2307" s="550"/>
      <c r="H2307" s="551"/>
      <c r="I2307" s="550"/>
    </row>
    <row r="2308" spans="1:9" x14ac:dyDescent="0.2">
      <c r="A2308" s="549"/>
      <c r="C2308" s="548"/>
      <c r="D2308" s="550"/>
      <c r="E2308" s="550"/>
      <c r="F2308" s="550"/>
      <c r="G2308" s="550"/>
      <c r="H2308" s="551"/>
      <c r="I2308" s="550"/>
    </row>
    <row r="2309" spans="1:9" x14ac:dyDescent="0.2">
      <c r="A2309" s="549"/>
      <c r="C2309" s="548"/>
      <c r="D2309" s="550"/>
      <c r="E2309" s="550"/>
      <c r="F2309" s="550"/>
      <c r="G2309" s="550"/>
      <c r="H2309" s="551"/>
      <c r="I2309" s="550"/>
    </row>
    <row r="2310" spans="1:9" x14ac:dyDescent="0.2">
      <c r="A2310" s="549"/>
      <c r="C2310" s="548"/>
      <c r="D2310" s="550"/>
      <c r="E2310" s="550"/>
      <c r="F2310" s="550"/>
      <c r="G2310" s="550"/>
      <c r="H2310" s="551"/>
      <c r="I2310" s="550"/>
    </row>
    <row r="2311" spans="1:9" x14ac:dyDescent="0.2">
      <c r="A2311" s="549"/>
      <c r="C2311" s="548"/>
      <c r="D2311" s="550"/>
      <c r="E2311" s="550"/>
      <c r="F2311" s="550"/>
      <c r="G2311" s="550"/>
      <c r="H2311" s="551"/>
      <c r="I2311" s="550"/>
    </row>
    <row r="2312" spans="1:9" x14ac:dyDescent="0.2">
      <c r="A2312" s="549"/>
      <c r="C2312" s="548"/>
      <c r="D2312" s="550"/>
      <c r="E2312" s="550"/>
      <c r="F2312" s="550"/>
      <c r="G2312" s="550"/>
      <c r="H2312" s="551"/>
      <c r="I2312" s="550"/>
    </row>
    <row r="2313" spans="1:9" x14ac:dyDescent="0.2">
      <c r="A2313" s="549"/>
      <c r="C2313" s="548"/>
      <c r="D2313" s="550"/>
      <c r="E2313" s="550"/>
      <c r="F2313" s="550"/>
      <c r="G2313" s="550"/>
      <c r="H2313" s="551"/>
      <c r="I2313" s="550"/>
    </row>
    <row r="2314" spans="1:9" x14ac:dyDescent="0.2">
      <c r="A2314" s="549"/>
      <c r="C2314" s="548"/>
      <c r="D2314" s="550"/>
      <c r="E2314" s="550"/>
      <c r="F2314" s="550"/>
      <c r="G2314" s="550"/>
      <c r="H2314" s="551"/>
      <c r="I2314" s="550"/>
    </row>
    <row r="2315" spans="1:9" x14ac:dyDescent="0.2">
      <c r="A2315" s="549"/>
      <c r="C2315" s="548"/>
      <c r="D2315" s="550"/>
      <c r="E2315" s="550"/>
      <c r="F2315" s="550"/>
      <c r="G2315" s="550"/>
      <c r="H2315" s="551"/>
      <c r="I2315" s="550"/>
    </row>
    <row r="2316" spans="1:9" x14ac:dyDescent="0.2">
      <c r="A2316" s="549"/>
      <c r="C2316" s="548"/>
      <c r="D2316" s="550"/>
      <c r="E2316" s="550"/>
      <c r="F2316" s="550"/>
      <c r="G2316" s="550"/>
      <c r="H2316" s="551"/>
      <c r="I2316" s="550"/>
    </row>
    <row r="2317" spans="1:9" x14ac:dyDescent="0.2">
      <c r="A2317" s="549"/>
      <c r="C2317" s="548"/>
      <c r="D2317" s="550"/>
      <c r="E2317" s="550"/>
      <c r="F2317" s="550"/>
      <c r="G2317" s="550"/>
      <c r="H2317" s="551"/>
      <c r="I2317" s="550"/>
    </row>
    <row r="2318" spans="1:9" x14ac:dyDescent="0.2">
      <c r="A2318" s="549"/>
      <c r="C2318" s="548"/>
      <c r="D2318" s="550"/>
      <c r="E2318" s="550"/>
      <c r="F2318" s="550"/>
      <c r="G2318" s="550"/>
      <c r="H2318" s="551"/>
      <c r="I2318" s="550"/>
    </row>
    <row r="2319" spans="1:9" x14ac:dyDescent="0.2">
      <c r="A2319" s="549"/>
      <c r="C2319" s="548"/>
      <c r="D2319" s="550"/>
      <c r="E2319" s="550"/>
      <c r="F2319" s="550"/>
      <c r="G2319" s="550"/>
      <c r="H2319" s="551"/>
      <c r="I2319" s="550"/>
    </row>
    <row r="2320" spans="1:9" x14ac:dyDescent="0.2">
      <c r="A2320" s="549"/>
      <c r="C2320" s="548"/>
      <c r="D2320" s="550"/>
      <c r="E2320" s="550"/>
      <c r="F2320" s="550"/>
      <c r="G2320" s="550"/>
      <c r="H2320" s="551"/>
      <c r="I2320" s="550"/>
    </row>
    <row r="2321" spans="1:9" x14ac:dyDescent="0.2">
      <c r="A2321" s="549"/>
      <c r="C2321" s="548"/>
      <c r="D2321" s="550"/>
      <c r="E2321" s="550"/>
      <c r="F2321" s="550"/>
      <c r="G2321" s="550"/>
      <c r="H2321" s="551"/>
      <c r="I2321" s="550"/>
    </row>
    <row r="2322" spans="1:9" x14ac:dyDescent="0.2">
      <c r="A2322" s="549"/>
      <c r="C2322" s="548"/>
      <c r="D2322" s="550"/>
      <c r="E2322" s="550"/>
      <c r="F2322" s="550"/>
      <c r="G2322" s="550"/>
      <c r="H2322" s="551"/>
      <c r="I2322" s="550"/>
    </row>
    <row r="2323" spans="1:9" x14ac:dyDescent="0.2">
      <c r="A2323" s="549"/>
      <c r="C2323" s="548"/>
      <c r="D2323" s="550"/>
      <c r="E2323" s="550"/>
      <c r="F2323" s="550"/>
      <c r="G2323" s="550"/>
      <c r="H2323" s="551"/>
      <c r="I2323" s="550"/>
    </row>
    <row r="2324" spans="1:9" x14ac:dyDescent="0.2">
      <c r="A2324" s="549"/>
      <c r="C2324" s="548"/>
      <c r="D2324" s="550"/>
      <c r="E2324" s="550"/>
      <c r="F2324" s="550"/>
      <c r="G2324" s="550"/>
      <c r="H2324" s="551"/>
      <c r="I2324" s="550"/>
    </row>
    <row r="2325" spans="1:9" x14ac:dyDescent="0.2">
      <c r="A2325" s="549"/>
      <c r="C2325" s="548"/>
      <c r="D2325" s="550"/>
      <c r="E2325" s="550"/>
      <c r="F2325" s="550"/>
      <c r="G2325" s="550"/>
      <c r="H2325" s="551"/>
      <c r="I2325" s="550"/>
    </row>
    <row r="2326" spans="1:9" x14ac:dyDescent="0.2">
      <c r="A2326" s="549"/>
      <c r="C2326" s="548"/>
      <c r="D2326" s="550"/>
      <c r="E2326" s="550"/>
      <c r="F2326" s="550"/>
      <c r="G2326" s="550"/>
      <c r="H2326" s="551"/>
      <c r="I2326" s="550"/>
    </row>
    <row r="2327" spans="1:9" x14ac:dyDescent="0.2">
      <c r="A2327" s="549"/>
      <c r="C2327" s="548"/>
      <c r="D2327" s="550"/>
      <c r="E2327" s="550"/>
      <c r="F2327" s="550"/>
      <c r="G2327" s="550"/>
      <c r="H2327" s="551"/>
      <c r="I2327" s="550"/>
    </row>
    <row r="2328" spans="1:9" x14ac:dyDescent="0.2">
      <c r="A2328" s="549"/>
      <c r="C2328" s="548"/>
      <c r="D2328" s="550"/>
      <c r="E2328" s="550"/>
      <c r="F2328" s="550"/>
      <c r="G2328" s="550"/>
      <c r="H2328" s="551"/>
      <c r="I2328" s="550"/>
    </row>
    <row r="2329" spans="1:9" x14ac:dyDescent="0.2">
      <c r="A2329" s="549"/>
      <c r="C2329" s="548"/>
      <c r="D2329" s="550"/>
      <c r="E2329" s="550"/>
      <c r="F2329" s="550"/>
      <c r="G2329" s="550"/>
      <c r="H2329" s="551"/>
      <c r="I2329" s="550"/>
    </row>
    <row r="2330" spans="1:9" x14ac:dyDescent="0.2">
      <c r="A2330" s="549"/>
      <c r="C2330" s="548"/>
      <c r="D2330" s="550"/>
      <c r="E2330" s="550"/>
      <c r="F2330" s="550"/>
      <c r="G2330" s="550"/>
      <c r="H2330" s="551"/>
      <c r="I2330" s="550"/>
    </row>
    <row r="2331" spans="1:9" x14ac:dyDescent="0.2">
      <c r="A2331" s="549"/>
      <c r="C2331" s="548"/>
      <c r="D2331" s="550"/>
      <c r="E2331" s="550"/>
      <c r="F2331" s="550"/>
      <c r="G2331" s="550"/>
      <c r="H2331" s="551"/>
      <c r="I2331" s="550"/>
    </row>
    <row r="2332" spans="1:9" x14ac:dyDescent="0.2">
      <c r="A2332" s="549"/>
      <c r="C2332" s="548"/>
      <c r="D2332" s="550"/>
      <c r="E2332" s="550"/>
      <c r="F2332" s="550"/>
      <c r="G2332" s="550"/>
      <c r="H2332" s="551"/>
      <c r="I2332" s="550"/>
    </row>
    <row r="2333" spans="1:9" x14ac:dyDescent="0.2">
      <c r="A2333" s="549"/>
      <c r="C2333" s="548"/>
      <c r="D2333" s="550"/>
      <c r="E2333" s="550"/>
      <c r="F2333" s="550"/>
      <c r="G2333" s="550"/>
      <c r="H2333" s="551"/>
      <c r="I2333" s="550"/>
    </row>
    <row r="2334" spans="1:9" x14ac:dyDescent="0.2">
      <c r="A2334" s="549"/>
      <c r="C2334" s="548"/>
      <c r="D2334" s="550"/>
      <c r="E2334" s="550"/>
      <c r="F2334" s="550"/>
      <c r="G2334" s="550"/>
      <c r="H2334" s="551"/>
      <c r="I2334" s="550"/>
    </row>
    <row r="2335" spans="1:9" x14ac:dyDescent="0.2">
      <c r="A2335" s="549"/>
      <c r="C2335" s="548"/>
      <c r="D2335" s="550"/>
      <c r="E2335" s="550"/>
      <c r="F2335" s="550"/>
      <c r="G2335" s="550"/>
      <c r="H2335" s="551"/>
      <c r="I2335" s="550"/>
    </row>
    <row r="2336" spans="1:9" x14ac:dyDescent="0.2">
      <c r="A2336" s="549"/>
      <c r="C2336" s="548"/>
      <c r="D2336" s="550"/>
      <c r="E2336" s="550"/>
      <c r="F2336" s="550"/>
      <c r="G2336" s="550"/>
      <c r="H2336" s="551"/>
      <c r="I2336" s="550"/>
    </row>
    <row r="2337" spans="1:9" x14ac:dyDescent="0.2">
      <c r="A2337" s="549"/>
      <c r="C2337" s="548"/>
      <c r="D2337" s="550"/>
      <c r="E2337" s="550"/>
      <c r="F2337" s="550"/>
      <c r="G2337" s="550"/>
      <c r="H2337" s="551"/>
      <c r="I2337" s="550"/>
    </row>
    <row r="2338" spans="1:9" x14ac:dyDescent="0.2">
      <c r="A2338" s="549"/>
      <c r="C2338" s="548"/>
      <c r="D2338" s="550"/>
      <c r="E2338" s="550"/>
      <c r="F2338" s="550"/>
      <c r="G2338" s="550"/>
      <c r="H2338" s="551"/>
      <c r="I2338" s="550"/>
    </row>
    <row r="2339" spans="1:9" x14ac:dyDescent="0.2">
      <c r="A2339" s="549"/>
      <c r="C2339" s="548"/>
      <c r="D2339" s="550"/>
      <c r="E2339" s="550"/>
      <c r="F2339" s="550"/>
      <c r="G2339" s="550"/>
      <c r="H2339" s="551"/>
      <c r="I2339" s="550"/>
    </row>
    <row r="2340" spans="1:9" x14ac:dyDescent="0.2">
      <c r="A2340" s="549"/>
      <c r="C2340" s="548"/>
      <c r="D2340" s="550"/>
      <c r="E2340" s="550"/>
      <c r="F2340" s="550"/>
      <c r="G2340" s="550"/>
      <c r="H2340" s="551"/>
      <c r="I2340" s="550"/>
    </row>
    <row r="2341" spans="1:9" x14ac:dyDescent="0.2">
      <c r="A2341" s="549"/>
      <c r="C2341" s="548"/>
      <c r="D2341" s="550"/>
      <c r="E2341" s="550"/>
      <c r="F2341" s="550"/>
      <c r="G2341" s="550"/>
      <c r="H2341" s="551"/>
      <c r="I2341" s="550"/>
    </row>
    <row r="2342" spans="1:9" x14ac:dyDescent="0.2">
      <c r="A2342" s="549"/>
      <c r="C2342" s="548"/>
      <c r="D2342" s="550"/>
      <c r="E2342" s="550"/>
      <c r="F2342" s="550"/>
      <c r="G2342" s="550"/>
      <c r="H2342" s="551"/>
      <c r="I2342" s="550"/>
    </row>
    <row r="2343" spans="1:9" x14ac:dyDescent="0.2">
      <c r="A2343" s="549"/>
      <c r="C2343" s="548"/>
      <c r="D2343" s="550"/>
      <c r="E2343" s="550"/>
      <c r="F2343" s="550"/>
      <c r="G2343" s="550"/>
      <c r="H2343" s="551"/>
      <c r="I2343" s="550"/>
    </row>
    <row r="2344" spans="1:9" x14ac:dyDescent="0.2">
      <c r="A2344" s="549"/>
      <c r="C2344" s="548"/>
      <c r="D2344" s="550"/>
      <c r="E2344" s="550"/>
      <c r="F2344" s="550"/>
      <c r="G2344" s="550"/>
      <c r="H2344" s="551"/>
      <c r="I2344" s="550"/>
    </row>
    <row r="2345" spans="1:9" x14ac:dyDescent="0.2">
      <c r="A2345" s="549"/>
      <c r="C2345" s="548"/>
      <c r="D2345" s="550"/>
      <c r="E2345" s="550"/>
      <c r="F2345" s="550"/>
      <c r="G2345" s="550"/>
      <c r="H2345" s="551"/>
      <c r="I2345" s="550"/>
    </row>
    <row r="2346" spans="1:9" x14ac:dyDescent="0.2">
      <c r="A2346" s="549"/>
      <c r="C2346" s="548"/>
      <c r="D2346" s="550"/>
      <c r="E2346" s="550"/>
      <c r="F2346" s="550"/>
      <c r="G2346" s="550"/>
      <c r="H2346" s="551"/>
      <c r="I2346" s="550"/>
    </row>
    <row r="2347" spans="1:9" x14ac:dyDescent="0.2">
      <c r="A2347" s="549"/>
      <c r="C2347" s="548"/>
      <c r="D2347" s="550"/>
      <c r="E2347" s="550"/>
      <c r="F2347" s="550"/>
      <c r="G2347" s="550"/>
      <c r="H2347" s="551"/>
      <c r="I2347" s="550"/>
    </row>
    <row r="2348" spans="1:9" x14ac:dyDescent="0.2">
      <c r="A2348" s="549"/>
      <c r="C2348" s="548"/>
      <c r="D2348" s="550"/>
      <c r="E2348" s="550"/>
      <c r="F2348" s="550"/>
      <c r="G2348" s="550"/>
      <c r="H2348" s="551"/>
      <c r="I2348" s="550"/>
    </row>
    <row r="2349" spans="1:9" x14ac:dyDescent="0.2">
      <c r="A2349" s="549"/>
      <c r="C2349" s="548"/>
      <c r="D2349" s="550"/>
      <c r="E2349" s="550"/>
      <c r="F2349" s="550"/>
      <c r="G2349" s="550"/>
      <c r="H2349" s="551"/>
      <c r="I2349" s="550"/>
    </row>
    <row r="2350" spans="1:9" x14ac:dyDescent="0.2">
      <c r="A2350" s="549"/>
      <c r="C2350" s="548"/>
      <c r="D2350" s="550"/>
      <c r="E2350" s="550"/>
      <c r="F2350" s="550"/>
      <c r="G2350" s="550"/>
      <c r="H2350" s="551"/>
      <c r="I2350" s="550"/>
    </row>
    <row r="2351" spans="1:9" x14ac:dyDescent="0.2">
      <c r="A2351" s="549"/>
      <c r="C2351" s="548"/>
      <c r="D2351" s="550"/>
      <c r="E2351" s="550"/>
      <c r="F2351" s="550"/>
      <c r="G2351" s="550"/>
      <c r="H2351" s="551"/>
      <c r="I2351" s="550"/>
    </row>
    <row r="2352" spans="1:9" x14ac:dyDescent="0.2">
      <c r="A2352" s="549"/>
      <c r="C2352" s="548"/>
      <c r="D2352" s="550"/>
      <c r="E2352" s="550"/>
      <c r="F2352" s="550"/>
      <c r="G2352" s="550"/>
      <c r="H2352" s="551"/>
      <c r="I2352" s="550"/>
    </row>
    <row r="2353" spans="1:9" x14ac:dyDescent="0.2">
      <c r="A2353" s="549"/>
      <c r="C2353" s="548"/>
      <c r="D2353" s="550"/>
      <c r="E2353" s="550"/>
      <c r="F2353" s="550"/>
      <c r="G2353" s="550"/>
      <c r="H2353" s="551"/>
      <c r="I2353" s="550"/>
    </row>
    <row r="2354" spans="1:9" x14ac:dyDescent="0.2">
      <c r="A2354" s="549"/>
      <c r="C2354" s="548"/>
      <c r="D2354" s="550"/>
      <c r="E2354" s="550"/>
      <c r="F2354" s="550"/>
      <c r="G2354" s="550"/>
      <c r="H2354" s="551"/>
      <c r="I2354" s="550"/>
    </row>
    <row r="2355" spans="1:9" x14ac:dyDescent="0.2">
      <c r="A2355" s="549"/>
      <c r="C2355" s="548"/>
      <c r="D2355" s="550"/>
      <c r="E2355" s="550"/>
      <c r="F2355" s="550"/>
      <c r="G2355" s="550"/>
      <c r="H2355" s="551"/>
      <c r="I2355" s="550"/>
    </row>
    <row r="2356" spans="1:9" x14ac:dyDescent="0.2">
      <c r="A2356" s="549"/>
      <c r="C2356" s="548"/>
      <c r="D2356" s="550"/>
      <c r="E2356" s="550"/>
      <c r="F2356" s="550"/>
      <c r="G2356" s="550"/>
      <c r="H2356" s="551"/>
      <c r="I2356" s="550"/>
    </row>
    <row r="2357" spans="1:9" x14ac:dyDescent="0.2">
      <c r="A2357" s="549"/>
      <c r="C2357" s="548"/>
      <c r="D2357" s="550"/>
      <c r="E2357" s="550"/>
      <c r="F2357" s="550"/>
      <c r="G2357" s="550"/>
      <c r="H2357" s="551"/>
      <c r="I2357" s="550"/>
    </row>
    <row r="2358" spans="1:9" x14ac:dyDescent="0.2">
      <c r="A2358" s="549"/>
      <c r="C2358" s="548"/>
      <c r="D2358" s="550"/>
      <c r="E2358" s="550"/>
      <c r="F2358" s="550"/>
      <c r="G2358" s="550"/>
      <c r="H2358" s="551"/>
      <c r="I2358" s="550"/>
    </row>
    <row r="2359" spans="1:9" x14ac:dyDescent="0.2">
      <c r="A2359" s="549"/>
      <c r="C2359" s="548"/>
      <c r="D2359" s="550"/>
      <c r="E2359" s="550"/>
      <c r="F2359" s="550"/>
      <c r="G2359" s="550"/>
      <c r="H2359" s="551"/>
      <c r="I2359" s="550"/>
    </row>
    <row r="2360" spans="1:9" x14ac:dyDescent="0.2">
      <c r="A2360" s="549"/>
      <c r="C2360" s="548"/>
      <c r="D2360" s="550"/>
      <c r="E2360" s="550"/>
      <c r="F2360" s="550"/>
      <c r="G2360" s="550"/>
      <c r="H2360" s="551"/>
      <c r="I2360" s="550"/>
    </row>
    <row r="2361" spans="1:9" x14ac:dyDescent="0.2">
      <c r="A2361" s="549"/>
      <c r="C2361" s="548"/>
      <c r="D2361" s="550"/>
      <c r="E2361" s="550"/>
      <c r="F2361" s="550"/>
      <c r="G2361" s="550"/>
      <c r="H2361" s="551"/>
      <c r="I2361" s="550"/>
    </row>
    <row r="2362" spans="1:9" x14ac:dyDescent="0.2">
      <c r="A2362" s="549"/>
      <c r="C2362" s="548"/>
      <c r="D2362" s="550"/>
      <c r="E2362" s="550"/>
      <c r="F2362" s="550"/>
      <c r="G2362" s="550"/>
      <c r="H2362" s="551"/>
      <c r="I2362" s="550"/>
    </row>
    <row r="2363" spans="1:9" x14ac:dyDescent="0.2">
      <c r="A2363" s="549"/>
      <c r="C2363" s="548"/>
      <c r="D2363" s="550"/>
      <c r="E2363" s="550"/>
      <c r="F2363" s="550"/>
      <c r="G2363" s="550"/>
      <c r="H2363" s="551"/>
      <c r="I2363" s="550"/>
    </row>
    <row r="2364" spans="1:9" x14ac:dyDescent="0.2">
      <c r="A2364" s="549"/>
      <c r="C2364" s="548"/>
      <c r="D2364" s="550"/>
      <c r="E2364" s="550"/>
      <c r="F2364" s="550"/>
      <c r="G2364" s="550"/>
      <c r="H2364" s="551"/>
      <c r="I2364" s="550"/>
    </row>
    <row r="2365" spans="1:9" x14ac:dyDescent="0.2">
      <c r="A2365" s="549"/>
      <c r="C2365" s="548"/>
      <c r="D2365" s="550"/>
      <c r="E2365" s="550"/>
      <c r="F2365" s="550"/>
      <c r="G2365" s="550"/>
      <c r="H2365" s="551"/>
      <c r="I2365" s="550"/>
    </row>
    <row r="2366" spans="1:9" x14ac:dyDescent="0.2">
      <c r="A2366" s="549"/>
      <c r="C2366" s="548"/>
      <c r="D2366" s="550"/>
      <c r="E2366" s="550"/>
      <c r="F2366" s="550"/>
      <c r="G2366" s="550"/>
      <c r="H2366" s="551"/>
      <c r="I2366" s="550"/>
    </row>
    <row r="2367" spans="1:9" x14ac:dyDescent="0.2">
      <c r="A2367" s="549"/>
      <c r="C2367" s="548"/>
      <c r="D2367" s="550"/>
      <c r="E2367" s="550"/>
      <c r="F2367" s="550"/>
      <c r="G2367" s="550"/>
      <c r="H2367" s="551"/>
      <c r="I2367" s="550"/>
    </row>
    <row r="2368" spans="1:9" x14ac:dyDescent="0.2">
      <c r="A2368" s="549"/>
      <c r="C2368" s="548"/>
      <c r="D2368" s="550"/>
      <c r="E2368" s="550"/>
      <c r="F2368" s="550"/>
      <c r="G2368" s="550"/>
      <c r="H2368" s="551"/>
      <c r="I2368" s="550"/>
    </row>
    <row r="2369" spans="1:9" x14ac:dyDescent="0.2">
      <c r="A2369" s="549"/>
      <c r="C2369" s="548"/>
      <c r="D2369" s="550"/>
      <c r="E2369" s="550"/>
      <c r="F2369" s="550"/>
      <c r="G2369" s="550"/>
      <c r="H2369" s="551"/>
      <c r="I2369" s="550"/>
    </row>
    <row r="2370" spans="1:9" x14ac:dyDescent="0.2">
      <c r="A2370" s="549"/>
      <c r="C2370" s="548"/>
      <c r="D2370" s="550"/>
      <c r="E2370" s="550"/>
      <c r="F2370" s="550"/>
      <c r="G2370" s="550"/>
      <c r="H2370" s="551"/>
      <c r="I2370" s="550"/>
    </row>
    <row r="2371" spans="1:9" x14ac:dyDescent="0.2">
      <c r="A2371" s="549"/>
      <c r="C2371" s="548"/>
      <c r="D2371" s="550"/>
      <c r="E2371" s="550"/>
      <c r="F2371" s="550"/>
      <c r="G2371" s="550"/>
      <c r="H2371" s="551"/>
      <c r="I2371" s="550"/>
    </row>
    <row r="2372" spans="1:9" x14ac:dyDescent="0.2">
      <c r="A2372" s="549"/>
      <c r="C2372" s="548"/>
      <c r="D2372" s="550"/>
      <c r="E2372" s="550"/>
      <c r="F2372" s="550"/>
      <c r="G2372" s="550"/>
      <c r="H2372" s="551"/>
      <c r="I2372" s="550"/>
    </row>
    <row r="2373" spans="1:9" x14ac:dyDescent="0.2">
      <c r="A2373" s="549"/>
      <c r="C2373" s="548"/>
      <c r="D2373" s="550"/>
      <c r="E2373" s="550"/>
      <c r="F2373" s="550"/>
      <c r="G2373" s="550"/>
      <c r="H2373" s="551"/>
      <c r="I2373" s="550"/>
    </row>
    <row r="2374" spans="1:9" x14ac:dyDescent="0.2">
      <c r="A2374" s="549"/>
      <c r="C2374" s="548"/>
      <c r="D2374" s="550"/>
      <c r="E2374" s="550"/>
      <c r="F2374" s="550"/>
      <c r="G2374" s="550"/>
      <c r="H2374" s="551"/>
      <c r="I2374" s="550"/>
    </row>
    <row r="2375" spans="1:9" x14ac:dyDescent="0.2">
      <c r="A2375" s="549"/>
      <c r="C2375" s="548"/>
      <c r="D2375" s="550"/>
      <c r="E2375" s="550"/>
      <c r="F2375" s="550"/>
      <c r="G2375" s="550"/>
      <c r="H2375" s="551"/>
      <c r="I2375" s="550"/>
    </row>
    <row r="2376" spans="1:9" x14ac:dyDescent="0.2">
      <c r="A2376" s="549"/>
      <c r="C2376" s="548"/>
      <c r="D2376" s="550"/>
      <c r="E2376" s="550"/>
      <c r="F2376" s="550"/>
      <c r="G2376" s="550"/>
      <c r="H2376" s="551"/>
      <c r="I2376" s="550"/>
    </row>
    <row r="2377" spans="1:9" x14ac:dyDescent="0.2">
      <c r="A2377" s="549"/>
      <c r="C2377" s="548"/>
      <c r="D2377" s="550"/>
      <c r="E2377" s="550"/>
      <c r="F2377" s="550"/>
      <c r="G2377" s="550"/>
      <c r="H2377" s="551"/>
      <c r="I2377" s="550"/>
    </row>
    <row r="2378" spans="1:9" x14ac:dyDescent="0.2">
      <c r="A2378" s="549"/>
      <c r="C2378" s="548"/>
      <c r="D2378" s="550"/>
      <c r="E2378" s="550"/>
      <c r="F2378" s="550"/>
      <c r="G2378" s="550"/>
      <c r="H2378" s="551"/>
      <c r="I2378" s="550"/>
    </row>
    <row r="2379" spans="1:9" x14ac:dyDescent="0.2">
      <c r="A2379" s="549"/>
      <c r="C2379" s="548"/>
      <c r="D2379" s="550"/>
      <c r="E2379" s="550"/>
      <c r="F2379" s="550"/>
      <c r="G2379" s="550"/>
      <c r="H2379" s="551"/>
      <c r="I2379" s="550"/>
    </row>
    <row r="2380" spans="1:9" x14ac:dyDescent="0.2">
      <c r="A2380" s="549"/>
      <c r="C2380" s="548"/>
      <c r="D2380" s="550"/>
      <c r="E2380" s="550"/>
      <c r="F2380" s="550"/>
      <c r="G2380" s="550"/>
      <c r="H2380" s="551"/>
      <c r="I2380" s="550"/>
    </row>
    <row r="2381" spans="1:9" x14ac:dyDescent="0.2">
      <c r="A2381" s="549"/>
      <c r="C2381" s="548"/>
      <c r="D2381" s="550"/>
      <c r="E2381" s="550"/>
      <c r="F2381" s="550"/>
      <c r="G2381" s="550"/>
      <c r="H2381" s="551"/>
      <c r="I2381" s="550"/>
    </row>
    <row r="2382" spans="1:9" x14ac:dyDescent="0.2">
      <c r="A2382" s="549"/>
      <c r="C2382" s="548"/>
      <c r="D2382" s="550"/>
      <c r="E2382" s="550"/>
      <c r="F2382" s="550"/>
      <c r="G2382" s="550"/>
      <c r="H2382" s="551"/>
      <c r="I2382" s="550"/>
    </row>
    <row r="2383" spans="1:9" x14ac:dyDescent="0.2">
      <c r="A2383" s="549"/>
      <c r="C2383" s="548"/>
      <c r="D2383" s="550"/>
      <c r="E2383" s="550"/>
      <c r="F2383" s="550"/>
      <c r="G2383" s="550"/>
      <c r="H2383" s="551"/>
      <c r="I2383" s="550"/>
    </row>
    <row r="2384" spans="1:9" x14ac:dyDescent="0.2">
      <c r="A2384" s="549"/>
      <c r="C2384" s="548"/>
      <c r="D2384" s="550"/>
      <c r="E2384" s="550"/>
      <c r="F2384" s="550"/>
      <c r="G2384" s="550"/>
      <c r="H2384" s="551"/>
      <c r="I2384" s="550"/>
    </row>
    <row r="2385" spans="1:9" x14ac:dyDescent="0.2">
      <c r="A2385" s="549"/>
      <c r="C2385" s="548"/>
      <c r="D2385" s="550"/>
      <c r="E2385" s="550"/>
      <c r="F2385" s="550"/>
      <c r="G2385" s="550"/>
      <c r="H2385" s="551"/>
      <c r="I2385" s="550"/>
    </row>
    <row r="2386" spans="1:9" x14ac:dyDescent="0.2">
      <c r="A2386" s="549"/>
      <c r="C2386" s="548"/>
      <c r="D2386" s="550"/>
      <c r="E2386" s="550"/>
      <c r="F2386" s="550"/>
      <c r="G2386" s="550"/>
      <c r="H2386" s="551"/>
      <c r="I2386" s="550"/>
    </row>
    <row r="2387" spans="1:9" x14ac:dyDescent="0.2">
      <c r="A2387" s="549"/>
      <c r="C2387" s="548"/>
      <c r="D2387" s="550"/>
      <c r="E2387" s="550"/>
      <c r="F2387" s="550"/>
      <c r="G2387" s="550"/>
      <c r="H2387" s="551"/>
      <c r="I2387" s="550"/>
    </row>
    <row r="2388" spans="1:9" x14ac:dyDescent="0.2">
      <c r="A2388" s="549"/>
      <c r="C2388" s="548"/>
      <c r="D2388" s="550"/>
      <c r="E2388" s="550"/>
      <c r="F2388" s="550"/>
      <c r="G2388" s="550"/>
      <c r="H2388" s="551"/>
      <c r="I2388" s="550"/>
    </row>
    <row r="2389" spans="1:9" x14ac:dyDescent="0.2">
      <c r="A2389" s="549"/>
      <c r="C2389" s="548"/>
      <c r="D2389" s="550"/>
      <c r="E2389" s="550"/>
      <c r="F2389" s="550"/>
      <c r="G2389" s="550"/>
      <c r="H2389" s="551"/>
      <c r="I2389" s="550"/>
    </row>
    <row r="2390" spans="1:9" x14ac:dyDescent="0.2">
      <c r="A2390" s="549"/>
      <c r="C2390" s="548"/>
      <c r="D2390" s="550"/>
      <c r="E2390" s="550"/>
      <c r="F2390" s="550"/>
      <c r="G2390" s="550"/>
      <c r="H2390" s="551"/>
      <c r="I2390" s="550"/>
    </row>
    <row r="2391" spans="1:9" x14ac:dyDescent="0.2">
      <c r="A2391" s="549"/>
      <c r="C2391" s="548"/>
      <c r="D2391" s="550"/>
      <c r="E2391" s="550"/>
      <c r="F2391" s="550"/>
      <c r="G2391" s="550"/>
      <c r="H2391" s="551"/>
      <c r="I2391" s="550"/>
    </row>
    <row r="2392" spans="1:9" x14ac:dyDescent="0.2">
      <c r="A2392" s="549"/>
      <c r="C2392" s="548"/>
      <c r="D2392" s="550"/>
      <c r="E2392" s="550"/>
      <c r="F2392" s="550"/>
      <c r="G2392" s="550"/>
      <c r="H2392" s="551"/>
      <c r="I2392" s="550"/>
    </row>
    <row r="2393" spans="1:9" x14ac:dyDescent="0.2">
      <c r="A2393" s="549"/>
      <c r="C2393" s="548"/>
      <c r="D2393" s="550"/>
      <c r="E2393" s="550"/>
      <c r="F2393" s="550"/>
      <c r="G2393" s="550"/>
      <c r="H2393" s="551"/>
      <c r="I2393" s="550"/>
    </row>
    <row r="2394" spans="1:9" x14ac:dyDescent="0.2">
      <c r="A2394" s="549"/>
      <c r="C2394" s="548"/>
      <c r="D2394" s="550"/>
      <c r="E2394" s="550"/>
      <c r="F2394" s="550"/>
      <c r="G2394" s="550"/>
      <c r="H2394" s="551"/>
      <c r="I2394" s="550"/>
    </row>
    <row r="2395" spans="1:9" x14ac:dyDescent="0.2">
      <c r="A2395" s="549"/>
      <c r="C2395" s="548"/>
      <c r="D2395" s="550"/>
      <c r="E2395" s="550"/>
      <c r="F2395" s="550"/>
      <c r="G2395" s="550"/>
      <c r="H2395" s="551"/>
      <c r="I2395" s="550"/>
    </row>
    <row r="2396" spans="1:9" x14ac:dyDescent="0.2">
      <c r="A2396" s="549"/>
      <c r="C2396" s="548"/>
      <c r="D2396" s="550"/>
      <c r="E2396" s="550"/>
      <c r="F2396" s="550"/>
      <c r="G2396" s="550"/>
      <c r="H2396" s="551"/>
      <c r="I2396" s="550"/>
    </row>
    <row r="2397" spans="1:9" x14ac:dyDescent="0.2">
      <c r="A2397" s="549"/>
      <c r="C2397" s="548"/>
      <c r="D2397" s="550"/>
      <c r="E2397" s="550"/>
      <c r="F2397" s="550"/>
      <c r="G2397" s="550"/>
      <c r="H2397" s="551"/>
      <c r="I2397" s="550"/>
    </row>
    <row r="2398" spans="1:9" x14ac:dyDescent="0.2">
      <c r="A2398" s="549"/>
      <c r="C2398" s="548"/>
      <c r="D2398" s="550"/>
      <c r="E2398" s="550"/>
      <c r="F2398" s="550"/>
      <c r="G2398" s="550"/>
      <c r="H2398" s="551"/>
      <c r="I2398" s="550"/>
    </row>
    <row r="2399" spans="1:9" x14ac:dyDescent="0.2">
      <c r="A2399" s="549"/>
      <c r="C2399" s="548"/>
      <c r="D2399" s="550"/>
      <c r="E2399" s="550"/>
      <c r="F2399" s="550"/>
      <c r="G2399" s="550"/>
      <c r="H2399" s="551"/>
      <c r="I2399" s="550"/>
    </row>
    <row r="2400" spans="1:9" x14ac:dyDescent="0.2">
      <c r="A2400" s="549"/>
      <c r="C2400" s="548"/>
      <c r="D2400" s="550"/>
      <c r="E2400" s="550"/>
      <c r="F2400" s="550"/>
      <c r="G2400" s="550"/>
      <c r="H2400" s="551"/>
      <c r="I2400" s="550"/>
    </row>
    <row r="2401" spans="1:9" x14ac:dyDescent="0.2">
      <c r="A2401" s="549"/>
      <c r="C2401" s="548"/>
      <c r="D2401" s="550"/>
      <c r="E2401" s="550"/>
      <c r="F2401" s="550"/>
      <c r="G2401" s="550"/>
      <c r="H2401" s="551"/>
      <c r="I2401" s="550"/>
    </row>
    <row r="2402" spans="1:9" x14ac:dyDescent="0.2">
      <c r="A2402" s="549"/>
      <c r="C2402" s="548"/>
      <c r="D2402" s="550"/>
      <c r="E2402" s="550"/>
      <c r="F2402" s="550"/>
      <c r="G2402" s="550"/>
      <c r="H2402" s="551"/>
      <c r="I2402" s="550"/>
    </row>
    <row r="2403" spans="1:9" x14ac:dyDescent="0.2">
      <c r="A2403" s="549"/>
      <c r="C2403" s="548"/>
      <c r="D2403" s="550"/>
      <c r="E2403" s="550"/>
      <c r="F2403" s="550"/>
      <c r="G2403" s="550"/>
      <c r="H2403" s="551"/>
      <c r="I2403" s="550"/>
    </row>
    <row r="2404" spans="1:9" x14ac:dyDescent="0.2">
      <c r="A2404" s="549"/>
      <c r="C2404" s="548"/>
      <c r="D2404" s="550"/>
      <c r="E2404" s="550"/>
      <c r="F2404" s="550"/>
      <c r="G2404" s="550"/>
      <c r="H2404" s="551"/>
      <c r="I2404" s="550"/>
    </row>
    <row r="2405" spans="1:9" x14ac:dyDescent="0.2">
      <c r="A2405" s="549"/>
      <c r="C2405" s="548"/>
      <c r="D2405" s="550"/>
      <c r="E2405" s="550"/>
      <c r="F2405" s="550"/>
      <c r="G2405" s="550"/>
      <c r="H2405" s="551"/>
      <c r="I2405" s="550"/>
    </row>
    <row r="2406" spans="1:9" x14ac:dyDescent="0.2">
      <c r="A2406" s="549"/>
      <c r="C2406" s="548"/>
      <c r="D2406" s="550"/>
      <c r="E2406" s="550"/>
      <c r="F2406" s="550"/>
      <c r="G2406" s="550"/>
      <c r="H2406" s="551"/>
      <c r="I2406" s="550"/>
    </row>
    <row r="2407" spans="1:9" x14ac:dyDescent="0.2">
      <c r="A2407" s="549"/>
      <c r="C2407" s="548"/>
      <c r="D2407" s="550"/>
      <c r="E2407" s="550"/>
      <c r="F2407" s="550"/>
      <c r="G2407" s="550"/>
      <c r="H2407" s="551"/>
      <c r="I2407" s="550"/>
    </row>
    <row r="2408" spans="1:9" x14ac:dyDescent="0.2">
      <c r="A2408" s="549"/>
      <c r="C2408" s="548"/>
      <c r="D2408" s="550"/>
      <c r="E2408" s="550"/>
      <c r="F2408" s="550"/>
      <c r="G2408" s="550"/>
      <c r="H2408" s="551"/>
      <c r="I2408" s="550"/>
    </row>
    <row r="2409" spans="1:9" x14ac:dyDescent="0.2">
      <c r="A2409" s="549"/>
      <c r="C2409" s="548"/>
      <c r="D2409" s="550"/>
      <c r="E2409" s="550"/>
      <c r="F2409" s="550"/>
      <c r="G2409" s="550"/>
      <c r="H2409" s="551"/>
      <c r="I2409" s="550"/>
    </row>
    <row r="2410" spans="1:9" x14ac:dyDescent="0.2">
      <c r="A2410" s="549"/>
      <c r="C2410" s="548"/>
      <c r="D2410" s="550"/>
      <c r="E2410" s="550"/>
      <c r="F2410" s="550"/>
      <c r="G2410" s="550"/>
      <c r="H2410" s="551"/>
      <c r="I2410" s="550"/>
    </row>
    <row r="2411" spans="1:9" x14ac:dyDescent="0.2">
      <c r="A2411" s="549"/>
      <c r="C2411" s="548"/>
      <c r="D2411" s="550"/>
      <c r="E2411" s="550"/>
      <c r="F2411" s="550"/>
      <c r="G2411" s="550"/>
      <c r="H2411" s="551"/>
      <c r="I2411" s="550"/>
    </row>
    <row r="2412" spans="1:9" x14ac:dyDescent="0.2">
      <c r="A2412" s="549"/>
      <c r="C2412" s="548"/>
      <c r="D2412" s="550"/>
      <c r="E2412" s="550"/>
      <c r="F2412" s="550"/>
      <c r="G2412" s="550"/>
      <c r="H2412" s="551"/>
      <c r="I2412" s="550"/>
    </row>
    <row r="2413" spans="1:9" x14ac:dyDescent="0.2">
      <c r="A2413" s="549"/>
      <c r="C2413" s="548"/>
      <c r="D2413" s="550"/>
      <c r="E2413" s="550"/>
      <c r="F2413" s="550"/>
      <c r="G2413" s="550"/>
      <c r="H2413" s="551"/>
      <c r="I2413" s="550"/>
    </row>
    <row r="2414" spans="1:9" x14ac:dyDescent="0.2">
      <c r="A2414" s="549"/>
      <c r="C2414" s="548"/>
      <c r="D2414" s="550"/>
      <c r="E2414" s="550"/>
      <c r="F2414" s="550"/>
      <c r="G2414" s="550"/>
      <c r="H2414" s="551"/>
      <c r="I2414" s="550"/>
    </row>
    <row r="2415" spans="1:9" x14ac:dyDescent="0.2">
      <c r="A2415" s="549"/>
      <c r="C2415" s="548"/>
      <c r="D2415" s="550"/>
      <c r="E2415" s="550"/>
      <c r="F2415" s="550"/>
      <c r="G2415" s="550"/>
      <c r="H2415" s="551"/>
      <c r="I2415" s="550"/>
    </row>
    <row r="2416" spans="1:9" x14ac:dyDescent="0.2">
      <c r="A2416" s="549"/>
      <c r="C2416" s="548"/>
      <c r="D2416" s="550"/>
      <c r="E2416" s="550"/>
      <c r="F2416" s="550"/>
      <c r="G2416" s="550"/>
      <c r="H2416" s="551"/>
      <c r="I2416" s="550"/>
    </row>
    <row r="2417" spans="1:9" x14ac:dyDescent="0.2">
      <c r="A2417" s="549"/>
      <c r="C2417" s="548"/>
      <c r="D2417" s="550"/>
      <c r="E2417" s="550"/>
      <c r="F2417" s="550"/>
      <c r="G2417" s="550"/>
      <c r="H2417" s="551"/>
      <c r="I2417" s="550"/>
    </row>
    <row r="2418" spans="1:9" x14ac:dyDescent="0.2">
      <c r="A2418" s="549"/>
      <c r="C2418" s="548"/>
      <c r="D2418" s="550"/>
      <c r="E2418" s="550"/>
      <c r="F2418" s="550"/>
      <c r="G2418" s="550"/>
      <c r="H2418" s="551"/>
      <c r="I2418" s="550"/>
    </row>
    <row r="2419" spans="1:9" x14ac:dyDescent="0.2">
      <c r="A2419" s="549"/>
      <c r="C2419" s="548"/>
      <c r="D2419" s="550"/>
      <c r="E2419" s="550"/>
      <c r="F2419" s="550"/>
      <c r="G2419" s="550"/>
      <c r="H2419" s="551"/>
      <c r="I2419" s="550"/>
    </row>
    <row r="2420" spans="1:9" x14ac:dyDescent="0.2">
      <c r="A2420" s="549"/>
      <c r="C2420" s="548"/>
      <c r="D2420" s="550"/>
      <c r="E2420" s="550"/>
      <c r="F2420" s="550"/>
      <c r="G2420" s="550"/>
      <c r="H2420" s="551"/>
      <c r="I2420" s="550"/>
    </row>
    <row r="2421" spans="1:9" x14ac:dyDescent="0.2">
      <c r="A2421" s="549"/>
      <c r="C2421" s="548"/>
      <c r="D2421" s="550"/>
      <c r="E2421" s="550"/>
      <c r="F2421" s="550"/>
      <c r="G2421" s="550"/>
      <c r="H2421" s="551"/>
      <c r="I2421" s="550"/>
    </row>
    <row r="2422" spans="1:9" x14ac:dyDescent="0.2">
      <c r="A2422" s="549"/>
      <c r="C2422" s="548"/>
      <c r="D2422" s="550"/>
      <c r="E2422" s="550"/>
      <c r="F2422" s="550"/>
      <c r="G2422" s="550"/>
      <c r="H2422" s="551"/>
      <c r="I2422" s="550"/>
    </row>
    <row r="2423" spans="1:9" x14ac:dyDescent="0.2">
      <c r="A2423" s="549"/>
      <c r="C2423" s="548"/>
      <c r="D2423" s="550"/>
      <c r="E2423" s="550"/>
      <c r="F2423" s="550"/>
      <c r="G2423" s="550"/>
      <c r="H2423" s="551"/>
      <c r="I2423" s="550"/>
    </row>
    <row r="2424" spans="1:9" x14ac:dyDescent="0.2">
      <c r="A2424" s="549"/>
      <c r="C2424" s="548"/>
      <c r="D2424" s="550"/>
      <c r="E2424" s="550"/>
      <c r="F2424" s="550"/>
      <c r="G2424" s="550"/>
      <c r="H2424" s="551"/>
      <c r="I2424" s="550"/>
    </row>
    <row r="2425" spans="1:9" x14ac:dyDescent="0.2">
      <c r="A2425" s="549"/>
      <c r="C2425" s="548"/>
      <c r="D2425" s="550"/>
      <c r="E2425" s="550"/>
      <c r="F2425" s="550"/>
      <c r="G2425" s="550"/>
      <c r="H2425" s="551"/>
      <c r="I2425" s="550"/>
    </row>
    <row r="2426" spans="1:9" x14ac:dyDescent="0.2">
      <c r="A2426" s="549"/>
      <c r="C2426" s="548"/>
      <c r="D2426" s="550"/>
      <c r="E2426" s="550"/>
      <c r="F2426" s="550"/>
      <c r="G2426" s="550"/>
      <c r="H2426" s="551"/>
      <c r="I2426" s="550"/>
    </row>
    <row r="2427" spans="1:9" x14ac:dyDescent="0.2">
      <c r="A2427" s="549"/>
      <c r="C2427" s="548"/>
      <c r="D2427" s="550"/>
      <c r="E2427" s="550"/>
      <c r="F2427" s="550"/>
      <c r="G2427" s="550"/>
      <c r="H2427" s="551"/>
      <c r="I2427" s="550"/>
    </row>
    <row r="2428" spans="1:9" x14ac:dyDescent="0.2">
      <c r="A2428" s="549"/>
      <c r="C2428" s="548"/>
      <c r="D2428" s="550"/>
      <c r="E2428" s="550"/>
      <c r="F2428" s="550"/>
      <c r="G2428" s="550"/>
      <c r="H2428" s="551"/>
      <c r="I2428" s="550"/>
    </row>
    <row r="2429" spans="1:9" x14ac:dyDescent="0.2">
      <c r="A2429" s="549"/>
      <c r="C2429" s="548"/>
      <c r="D2429" s="550"/>
      <c r="E2429" s="550"/>
      <c r="F2429" s="550"/>
      <c r="G2429" s="550"/>
      <c r="H2429" s="551"/>
      <c r="I2429" s="550"/>
    </row>
    <row r="2430" spans="1:9" x14ac:dyDescent="0.2">
      <c r="A2430" s="549"/>
      <c r="C2430" s="548"/>
      <c r="D2430" s="550"/>
      <c r="E2430" s="550"/>
      <c r="F2430" s="550"/>
      <c r="G2430" s="550"/>
      <c r="H2430" s="551"/>
      <c r="I2430" s="550"/>
    </row>
    <row r="2431" spans="1:9" x14ac:dyDescent="0.2">
      <c r="A2431" s="549"/>
      <c r="C2431" s="548"/>
      <c r="D2431" s="550"/>
      <c r="E2431" s="550"/>
      <c r="F2431" s="550"/>
      <c r="G2431" s="550"/>
      <c r="H2431" s="551"/>
      <c r="I2431" s="550"/>
    </row>
    <row r="2432" spans="1:9" x14ac:dyDescent="0.2">
      <c r="A2432" s="549"/>
      <c r="C2432" s="548"/>
      <c r="D2432" s="550"/>
      <c r="E2432" s="550"/>
      <c r="F2432" s="550"/>
      <c r="G2432" s="550"/>
      <c r="H2432" s="551"/>
      <c r="I2432" s="550"/>
    </row>
    <row r="2433" spans="1:9" x14ac:dyDescent="0.2">
      <c r="A2433" s="549"/>
      <c r="C2433" s="548"/>
      <c r="D2433" s="550"/>
      <c r="E2433" s="550"/>
      <c r="F2433" s="550"/>
      <c r="G2433" s="550"/>
      <c r="H2433" s="551"/>
      <c r="I2433" s="550"/>
    </row>
    <row r="2434" spans="1:9" x14ac:dyDescent="0.2">
      <c r="A2434" s="549"/>
      <c r="C2434" s="548"/>
      <c r="D2434" s="550"/>
      <c r="E2434" s="550"/>
      <c r="F2434" s="550"/>
      <c r="G2434" s="550"/>
      <c r="H2434" s="551"/>
      <c r="I2434" s="550"/>
    </row>
    <row r="2435" spans="1:9" x14ac:dyDescent="0.2">
      <c r="A2435" s="549"/>
      <c r="C2435" s="548"/>
      <c r="D2435" s="550"/>
      <c r="E2435" s="550"/>
      <c r="F2435" s="550"/>
      <c r="G2435" s="550"/>
      <c r="H2435" s="551"/>
      <c r="I2435" s="550"/>
    </row>
    <row r="2436" spans="1:9" x14ac:dyDescent="0.2">
      <c r="A2436" s="549"/>
      <c r="C2436" s="548"/>
      <c r="D2436" s="550"/>
      <c r="E2436" s="550"/>
      <c r="F2436" s="550"/>
      <c r="G2436" s="550"/>
      <c r="H2436" s="551"/>
      <c r="I2436" s="550"/>
    </row>
    <row r="2437" spans="1:9" x14ac:dyDescent="0.2">
      <c r="A2437" s="549"/>
      <c r="C2437" s="548"/>
      <c r="D2437" s="550"/>
      <c r="E2437" s="550"/>
      <c r="F2437" s="550"/>
      <c r="G2437" s="550"/>
      <c r="H2437" s="551"/>
      <c r="I2437" s="550"/>
    </row>
    <row r="2438" spans="1:9" x14ac:dyDescent="0.2">
      <c r="A2438" s="549"/>
      <c r="C2438" s="548"/>
      <c r="D2438" s="550"/>
      <c r="E2438" s="550"/>
      <c r="F2438" s="550"/>
      <c r="G2438" s="550"/>
      <c r="H2438" s="551"/>
      <c r="I2438" s="550"/>
    </row>
    <row r="2439" spans="1:9" x14ac:dyDescent="0.2">
      <c r="A2439" s="549"/>
      <c r="C2439" s="548"/>
      <c r="D2439" s="550"/>
      <c r="E2439" s="550"/>
      <c r="F2439" s="550"/>
      <c r="G2439" s="550"/>
      <c r="H2439" s="551"/>
      <c r="I2439" s="550"/>
    </row>
    <row r="2440" spans="1:9" x14ac:dyDescent="0.2">
      <c r="A2440" s="549"/>
      <c r="C2440" s="548"/>
      <c r="D2440" s="550"/>
      <c r="E2440" s="550"/>
      <c r="F2440" s="550"/>
      <c r="G2440" s="550"/>
      <c r="H2440" s="551"/>
      <c r="I2440" s="550"/>
    </row>
    <row r="2441" spans="1:9" x14ac:dyDescent="0.2">
      <c r="A2441" s="549"/>
      <c r="C2441" s="548"/>
      <c r="D2441" s="550"/>
      <c r="E2441" s="550"/>
      <c r="F2441" s="550"/>
      <c r="G2441" s="550"/>
      <c r="H2441" s="551"/>
      <c r="I2441" s="550"/>
    </row>
    <row r="2442" spans="1:9" x14ac:dyDescent="0.2">
      <c r="A2442" s="549"/>
      <c r="C2442" s="548"/>
      <c r="D2442" s="550"/>
      <c r="E2442" s="550"/>
      <c r="F2442" s="550"/>
      <c r="G2442" s="550"/>
      <c r="H2442" s="551"/>
      <c r="I2442" s="550"/>
    </row>
    <row r="2443" spans="1:9" x14ac:dyDescent="0.2">
      <c r="A2443" s="549"/>
      <c r="C2443" s="548"/>
      <c r="D2443" s="550"/>
      <c r="E2443" s="550"/>
      <c r="F2443" s="550"/>
      <c r="G2443" s="550"/>
      <c r="H2443" s="551"/>
      <c r="I2443" s="550"/>
    </row>
    <row r="2444" spans="1:9" x14ac:dyDescent="0.2">
      <c r="A2444" s="549"/>
      <c r="C2444" s="548"/>
      <c r="D2444" s="550"/>
      <c r="E2444" s="550"/>
      <c r="F2444" s="550"/>
      <c r="G2444" s="550"/>
      <c r="H2444" s="551"/>
      <c r="I2444" s="550"/>
    </row>
    <row r="2445" spans="1:9" x14ac:dyDescent="0.2">
      <c r="A2445" s="549"/>
      <c r="C2445" s="548"/>
      <c r="D2445" s="550"/>
      <c r="E2445" s="550"/>
      <c r="F2445" s="550"/>
      <c r="G2445" s="550"/>
      <c r="H2445" s="551"/>
      <c r="I2445" s="550"/>
    </row>
    <row r="2446" spans="1:9" x14ac:dyDescent="0.2">
      <c r="A2446" s="549"/>
      <c r="C2446" s="548"/>
      <c r="D2446" s="550"/>
      <c r="E2446" s="550"/>
      <c r="F2446" s="550"/>
      <c r="G2446" s="550"/>
      <c r="H2446" s="551"/>
      <c r="I2446" s="550"/>
    </row>
    <row r="2447" spans="1:9" x14ac:dyDescent="0.2">
      <c r="A2447" s="549"/>
      <c r="C2447" s="548"/>
      <c r="D2447" s="550"/>
      <c r="E2447" s="550"/>
      <c r="F2447" s="550"/>
      <c r="G2447" s="550"/>
      <c r="H2447" s="551"/>
      <c r="I2447" s="550"/>
    </row>
    <row r="2448" spans="1:9" x14ac:dyDescent="0.2">
      <c r="A2448" s="549"/>
      <c r="C2448" s="548"/>
      <c r="D2448" s="550"/>
      <c r="E2448" s="550"/>
      <c r="F2448" s="550"/>
      <c r="G2448" s="550"/>
      <c r="H2448" s="551"/>
      <c r="I2448" s="550"/>
    </row>
    <row r="2449" spans="1:9" x14ac:dyDescent="0.2">
      <c r="A2449" s="549"/>
      <c r="C2449" s="548"/>
      <c r="D2449" s="550"/>
      <c r="E2449" s="550"/>
      <c r="F2449" s="550"/>
      <c r="G2449" s="550"/>
      <c r="H2449" s="551"/>
      <c r="I2449" s="550"/>
    </row>
    <row r="2450" spans="1:9" x14ac:dyDescent="0.2">
      <c r="A2450" s="549"/>
      <c r="C2450" s="548"/>
      <c r="D2450" s="550"/>
      <c r="E2450" s="550"/>
      <c r="F2450" s="550"/>
      <c r="G2450" s="550"/>
      <c r="H2450" s="551"/>
      <c r="I2450" s="550"/>
    </row>
    <row r="2451" spans="1:9" x14ac:dyDescent="0.2">
      <c r="A2451" s="549"/>
      <c r="C2451" s="548"/>
      <c r="D2451" s="550"/>
      <c r="E2451" s="550"/>
      <c r="F2451" s="550"/>
      <c r="G2451" s="550"/>
      <c r="H2451" s="551"/>
      <c r="I2451" s="550"/>
    </row>
    <row r="2452" spans="1:9" x14ac:dyDescent="0.2">
      <c r="A2452" s="549"/>
      <c r="C2452" s="548"/>
      <c r="D2452" s="550"/>
      <c r="E2452" s="550"/>
      <c r="F2452" s="550"/>
      <c r="G2452" s="550"/>
      <c r="H2452" s="551"/>
      <c r="I2452" s="550"/>
    </row>
    <row r="2453" spans="1:9" x14ac:dyDescent="0.2">
      <c r="A2453" s="549"/>
      <c r="C2453" s="548"/>
      <c r="D2453" s="550"/>
      <c r="E2453" s="550"/>
      <c r="F2453" s="550"/>
      <c r="G2453" s="550"/>
      <c r="H2453" s="551"/>
      <c r="I2453" s="550"/>
    </row>
    <row r="2454" spans="1:9" x14ac:dyDescent="0.2">
      <c r="A2454" s="549"/>
      <c r="C2454" s="548"/>
      <c r="D2454" s="550"/>
      <c r="E2454" s="550"/>
      <c r="F2454" s="550"/>
      <c r="G2454" s="550"/>
      <c r="H2454" s="551"/>
      <c r="I2454" s="550"/>
    </row>
    <row r="2455" spans="1:9" x14ac:dyDescent="0.2">
      <c r="A2455" s="549"/>
      <c r="C2455" s="548"/>
      <c r="D2455" s="550"/>
      <c r="E2455" s="550"/>
      <c r="F2455" s="550"/>
      <c r="G2455" s="550"/>
      <c r="H2455" s="551"/>
      <c r="I2455" s="550"/>
    </row>
    <row r="2456" spans="1:9" x14ac:dyDescent="0.2">
      <c r="A2456" s="549"/>
      <c r="C2456" s="548"/>
      <c r="D2456" s="550"/>
      <c r="E2456" s="550"/>
      <c r="F2456" s="550"/>
      <c r="G2456" s="550"/>
      <c r="H2456" s="551"/>
      <c r="I2456" s="550"/>
    </row>
    <row r="2457" spans="1:9" x14ac:dyDescent="0.2">
      <c r="A2457" s="549"/>
      <c r="C2457" s="548"/>
      <c r="D2457" s="550"/>
      <c r="E2457" s="550"/>
      <c r="F2457" s="550"/>
      <c r="G2457" s="550"/>
      <c r="H2457" s="551"/>
      <c r="I2457" s="550"/>
    </row>
    <row r="2458" spans="1:9" x14ac:dyDescent="0.2">
      <c r="A2458" s="549"/>
      <c r="C2458" s="548"/>
      <c r="D2458" s="550"/>
      <c r="E2458" s="550"/>
      <c r="F2458" s="550"/>
      <c r="G2458" s="550"/>
      <c r="H2458" s="551"/>
      <c r="I2458" s="550"/>
    </row>
    <row r="2459" spans="1:9" x14ac:dyDescent="0.2">
      <c r="A2459" s="549"/>
      <c r="C2459" s="548"/>
      <c r="D2459" s="550"/>
      <c r="E2459" s="550"/>
      <c r="F2459" s="550"/>
      <c r="G2459" s="550"/>
      <c r="H2459" s="551"/>
      <c r="I2459" s="550"/>
    </row>
    <row r="2460" spans="1:9" x14ac:dyDescent="0.2">
      <c r="A2460" s="549"/>
      <c r="C2460" s="548"/>
      <c r="D2460" s="550"/>
      <c r="E2460" s="550"/>
      <c r="F2460" s="550"/>
      <c r="G2460" s="550"/>
      <c r="H2460" s="551"/>
      <c r="I2460" s="550"/>
    </row>
    <row r="2461" spans="1:9" x14ac:dyDescent="0.2">
      <c r="A2461" s="549"/>
      <c r="C2461" s="548"/>
      <c r="D2461" s="550"/>
      <c r="E2461" s="550"/>
      <c r="F2461" s="550"/>
      <c r="G2461" s="550"/>
      <c r="H2461" s="551"/>
      <c r="I2461" s="550"/>
    </row>
    <row r="2462" spans="1:9" x14ac:dyDescent="0.2">
      <c r="A2462" s="549"/>
      <c r="C2462" s="548"/>
      <c r="D2462" s="550"/>
      <c r="E2462" s="550"/>
      <c r="F2462" s="550"/>
      <c r="G2462" s="550"/>
      <c r="H2462" s="551"/>
      <c r="I2462" s="550"/>
    </row>
    <row r="2463" spans="1:9" x14ac:dyDescent="0.2">
      <c r="A2463" s="549"/>
      <c r="C2463" s="548"/>
      <c r="D2463" s="550"/>
      <c r="E2463" s="550"/>
      <c r="F2463" s="550"/>
      <c r="G2463" s="550"/>
      <c r="H2463" s="551"/>
      <c r="I2463" s="550"/>
    </row>
    <row r="2464" spans="1:9" x14ac:dyDescent="0.2">
      <c r="A2464" s="549"/>
      <c r="C2464" s="548"/>
      <c r="D2464" s="550"/>
      <c r="E2464" s="550"/>
      <c r="F2464" s="550"/>
      <c r="G2464" s="550"/>
      <c r="H2464" s="551"/>
      <c r="I2464" s="550"/>
    </row>
    <row r="2465" spans="1:9" x14ac:dyDescent="0.2">
      <c r="A2465" s="549"/>
      <c r="C2465" s="548"/>
      <c r="D2465" s="550"/>
      <c r="E2465" s="550"/>
      <c r="F2465" s="550"/>
      <c r="G2465" s="550"/>
      <c r="H2465" s="551"/>
      <c r="I2465" s="550"/>
    </row>
    <row r="2466" spans="1:9" x14ac:dyDescent="0.2">
      <c r="A2466" s="549"/>
      <c r="C2466" s="548"/>
      <c r="D2466" s="550"/>
      <c r="E2466" s="550"/>
      <c r="F2466" s="550"/>
      <c r="G2466" s="550"/>
      <c r="H2466" s="551"/>
      <c r="I2466" s="550"/>
    </row>
    <row r="2467" spans="1:9" x14ac:dyDescent="0.2">
      <c r="A2467" s="549"/>
      <c r="C2467" s="548"/>
      <c r="D2467" s="550"/>
      <c r="E2467" s="550"/>
      <c r="F2467" s="550"/>
      <c r="G2467" s="550"/>
      <c r="H2467" s="551"/>
      <c r="I2467" s="550"/>
    </row>
    <row r="2468" spans="1:9" x14ac:dyDescent="0.2">
      <c r="A2468" s="549"/>
      <c r="C2468" s="548"/>
      <c r="D2468" s="550"/>
      <c r="E2468" s="550"/>
      <c r="F2468" s="550"/>
      <c r="G2468" s="550"/>
      <c r="H2468" s="551"/>
      <c r="I2468" s="550"/>
    </row>
    <row r="2469" spans="1:9" x14ac:dyDescent="0.2">
      <c r="A2469" s="549"/>
      <c r="C2469" s="548"/>
      <c r="D2469" s="550"/>
      <c r="E2469" s="550"/>
      <c r="F2469" s="550"/>
      <c r="G2469" s="550"/>
      <c r="H2469" s="551"/>
      <c r="I2469" s="550"/>
    </row>
    <row r="2470" spans="1:9" x14ac:dyDescent="0.2">
      <c r="A2470" s="549"/>
      <c r="C2470" s="548"/>
      <c r="D2470" s="550"/>
      <c r="E2470" s="550"/>
      <c r="F2470" s="550"/>
      <c r="G2470" s="550"/>
      <c r="H2470" s="551"/>
      <c r="I2470" s="550"/>
    </row>
    <row r="2471" spans="1:9" x14ac:dyDescent="0.2">
      <c r="A2471" s="549"/>
      <c r="C2471" s="548"/>
      <c r="D2471" s="550"/>
      <c r="E2471" s="550"/>
      <c r="F2471" s="550"/>
      <c r="G2471" s="550"/>
      <c r="H2471" s="551"/>
      <c r="I2471" s="550"/>
    </row>
    <row r="2472" spans="1:9" x14ac:dyDescent="0.2">
      <c r="A2472" s="549"/>
      <c r="C2472" s="548"/>
      <c r="D2472" s="550"/>
      <c r="E2472" s="550"/>
      <c r="F2472" s="550"/>
      <c r="G2472" s="550"/>
      <c r="H2472" s="551"/>
      <c r="I2472" s="550"/>
    </row>
    <row r="2473" spans="1:9" x14ac:dyDescent="0.2">
      <c r="A2473" s="549"/>
      <c r="C2473" s="548"/>
      <c r="D2473" s="550"/>
      <c r="E2473" s="550"/>
      <c r="F2473" s="550"/>
      <c r="G2473" s="550"/>
      <c r="H2473" s="551"/>
      <c r="I2473" s="550"/>
    </row>
    <row r="2474" spans="1:9" x14ac:dyDescent="0.2">
      <c r="A2474" s="549"/>
      <c r="C2474" s="548"/>
      <c r="D2474" s="550"/>
      <c r="E2474" s="550"/>
      <c r="F2474" s="550"/>
      <c r="G2474" s="550"/>
      <c r="H2474" s="551"/>
      <c r="I2474" s="550"/>
    </row>
    <row r="2475" spans="1:9" x14ac:dyDescent="0.2">
      <c r="A2475" s="549"/>
      <c r="C2475" s="548"/>
      <c r="D2475" s="550"/>
      <c r="E2475" s="550"/>
      <c r="F2475" s="550"/>
      <c r="G2475" s="550"/>
      <c r="H2475" s="551"/>
      <c r="I2475" s="550"/>
    </row>
    <row r="2476" spans="1:9" x14ac:dyDescent="0.2">
      <c r="A2476" s="549"/>
      <c r="C2476" s="548"/>
      <c r="D2476" s="550"/>
      <c r="E2476" s="550"/>
      <c r="F2476" s="550"/>
      <c r="G2476" s="550"/>
      <c r="H2476" s="551"/>
      <c r="I2476" s="550"/>
    </row>
    <row r="2477" spans="1:9" x14ac:dyDescent="0.2">
      <c r="A2477" s="549"/>
      <c r="C2477" s="548"/>
      <c r="D2477" s="550"/>
      <c r="E2477" s="550"/>
      <c r="F2477" s="550"/>
      <c r="G2477" s="550"/>
      <c r="H2477" s="551"/>
      <c r="I2477" s="550"/>
    </row>
    <row r="2478" spans="1:9" x14ac:dyDescent="0.2">
      <c r="A2478" s="549"/>
      <c r="C2478" s="548"/>
      <c r="D2478" s="550"/>
      <c r="E2478" s="550"/>
      <c r="F2478" s="550"/>
      <c r="G2478" s="550"/>
      <c r="H2478" s="551"/>
      <c r="I2478" s="550"/>
    </row>
    <row r="2479" spans="1:9" x14ac:dyDescent="0.2">
      <c r="A2479" s="549"/>
      <c r="C2479" s="548"/>
      <c r="D2479" s="550"/>
      <c r="E2479" s="550"/>
      <c r="F2479" s="550"/>
      <c r="G2479" s="550"/>
      <c r="H2479" s="551"/>
      <c r="I2479" s="550"/>
    </row>
    <row r="2480" spans="1:9" x14ac:dyDescent="0.2">
      <c r="A2480" s="549"/>
      <c r="C2480" s="548"/>
      <c r="D2480" s="550"/>
      <c r="E2480" s="550"/>
      <c r="F2480" s="550"/>
      <c r="G2480" s="550"/>
      <c r="H2480" s="551"/>
      <c r="I2480" s="550"/>
    </row>
    <row r="2481" spans="1:9" x14ac:dyDescent="0.2">
      <c r="A2481" s="549"/>
      <c r="C2481" s="548"/>
      <c r="D2481" s="550"/>
      <c r="E2481" s="550"/>
      <c r="F2481" s="550"/>
      <c r="G2481" s="550"/>
      <c r="H2481" s="551"/>
      <c r="I2481" s="550"/>
    </row>
    <row r="2482" spans="1:9" x14ac:dyDescent="0.2">
      <c r="A2482" s="549"/>
      <c r="C2482" s="548"/>
      <c r="D2482" s="550"/>
      <c r="E2482" s="550"/>
      <c r="F2482" s="550"/>
      <c r="G2482" s="550"/>
      <c r="H2482" s="551"/>
      <c r="I2482" s="550"/>
    </row>
    <row r="2483" spans="1:9" x14ac:dyDescent="0.2">
      <c r="A2483" s="549"/>
      <c r="C2483" s="548"/>
      <c r="D2483" s="550"/>
      <c r="E2483" s="550"/>
      <c r="F2483" s="550"/>
      <c r="G2483" s="550"/>
      <c r="H2483" s="551"/>
      <c r="I2483" s="550"/>
    </row>
    <row r="2484" spans="1:9" x14ac:dyDescent="0.2">
      <c r="A2484" s="549"/>
      <c r="C2484" s="548"/>
      <c r="D2484" s="550"/>
      <c r="E2484" s="550"/>
      <c r="F2484" s="550"/>
      <c r="G2484" s="550"/>
      <c r="H2484" s="551"/>
      <c r="I2484" s="550"/>
    </row>
    <row r="2485" spans="1:9" x14ac:dyDescent="0.2">
      <c r="A2485" s="549"/>
      <c r="C2485" s="548"/>
      <c r="D2485" s="550"/>
      <c r="E2485" s="550"/>
      <c r="F2485" s="550"/>
      <c r="G2485" s="550"/>
      <c r="H2485" s="551"/>
      <c r="I2485" s="550"/>
    </row>
    <row r="2486" spans="1:9" x14ac:dyDescent="0.2">
      <c r="A2486" s="549"/>
      <c r="C2486" s="548"/>
      <c r="D2486" s="550"/>
      <c r="E2486" s="550"/>
      <c r="F2486" s="550"/>
      <c r="G2486" s="550"/>
      <c r="H2486" s="551"/>
      <c r="I2486" s="550"/>
    </row>
    <row r="2487" spans="1:9" x14ac:dyDescent="0.2">
      <c r="A2487" s="549"/>
      <c r="C2487" s="548"/>
      <c r="D2487" s="550"/>
      <c r="E2487" s="550"/>
      <c r="F2487" s="550"/>
      <c r="G2487" s="550"/>
      <c r="H2487" s="551"/>
      <c r="I2487" s="550"/>
    </row>
    <row r="2488" spans="1:9" x14ac:dyDescent="0.2">
      <c r="A2488" s="549"/>
      <c r="C2488" s="548"/>
      <c r="D2488" s="550"/>
      <c r="E2488" s="550"/>
      <c r="F2488" s="550"/>
      <c r="G2488" s="550"/>
      <c r="H2488" s="551"/>
      <c r="I2488" s="550"/>
    </row>
    <row r="2489" spans="1:9" x14ac:dyDescent="0.2">
      <c r="A2489" s="549"/>
      <c r="C2489" s="548"/>
      <c r="D2489" s="550"/>
      <c r="E2489" s="550"/>
      <c r="F2489" s="550"/>
      <c r="G2489" s="550"/>
      <c r="H2489" s="551"/>
      <c r="I2489" s="550"/>
    </row>
    <row r="2490" spans="1:9" x14ac:dyDescent="0.2">
      <c r="A2490" s="549"/>
      <c r="C2490" s="548"/>
      <c r="D2490" s="550"/>
      <c r="E2490" s="550"/>
      <c r="F2490" s="550"/>
      <c r="G2490" s="550"/>
      <c r="H2490" s="551"/>
      <c r="I2490" s="550"/>
    </row>
    <row r="2491" spans="1:9" x14ac:dyDescent="0.2">
      <c r="A2491" s="549"/>
      <c r="C2491" s="548"/>
      <c r="D2491" s="550"/>
      <c r="E2491" s="550"/>
      <c r="F2491" s="550"/>
      <c r="G2491" s="550"/>
      <c r="H2491" s="551"/>
      <c r="I2491" s="550"/>
    </row>
    <row r="2492" spans="1:9" x14ac:dyDescent="0.2">
      <c r="A2492" s="549"/>
      <c r="C2492" s="548"/>
      <c r="D2492" s="550"/>
      <c r="E2492" s="550"/>
      <c r="F2492" s="550"/>
      <c r="G2492" s="550"/>
      <c r="H2492" s="551"/>
      <c r="I2492" s="550"/>
    </row>
    <row r="2493" spans="1:9" x14ac:dyDescent="0.2">
      <c r="A2493" s="549"/>
      <c r="C2493" s="548"/>
      <c r="D2493" s="550"/>
      <c r="E2493" s="550"/>
      <c r="F2493" s="550"/>
      <c r="G2493" s="550"/>
      <c r="H2493" s="551"/>
      <c r="I2493" s="550"/>
    </row>
    <row r="2494" spans="1:9" x14ac:dyDescent="0.2">
      <c r="A2494" s="549"/>
      <c r="C2494" s="548"/>
      <c r="D2494" s="550"/>
      <c r="E2494" s="550"/>
      <c r="F2494" s="550"/>
      <c r="G2494" s="550"/>
      <c r="H2494" s="551"/>
      <c r="I2494" s="550"/>
    </row>
    <row r="2495" spans="1:9" x14ac:dyDescent="0.2">
      <c r="A2495" s="549"/>
      <c r="C2495" s="548"/>
      <c r="D2495" s="550"/>
      <c r="E2495" s="550"/>
      <c r="F2495" s="550"/>
      <c r="G2495" s="550"/>
      <c r="H2495" s="551"/>
      <c r="I2495" s="550"/>
    </row>
    <row r="2496" spans="1:9" x14ac:dyDescent="0.2">
      <c r="A2496" s="549"/>
      <c r="C2496" s="548"/>
      <c r="D2496" s="550"/>
      <c r="E2496" s="550"/>
      <c r="F2496" s="550"/>
      <c r="G2496" s="550"/>
      <c r="H2496" s="551"/>
      <c r="I2496" s="550"/>
    </row>
    <row r="2497" spans="1:9" x14ac:dyDescent="0.2">
      <c r="A2497" s="549"/>
      <c r="C2497" s="548"/>
      <c r="D2497" s="550"/>
      <c r="E2497" s="550"/>
      <c r="F2497" s="550"/>
      <c r="G2497" s="550"/>
      <c r="H2497" s="551"/>
      <c r="I2497" s="550"/>
    </row>
    <row r="2498" spans="1:9" x14ac:dyDescent="0.2">
      <c r="A2498" s="549"/>
      <c r="C2498" s="548"/>
      <c r="D2498" s="550"/>
      <c r="E2498" s="550"/>
      <c r="F2498" s="550"/>
      <c r="G2498" s="550"/>
      <c r="H2498" s="551"/>
      <c r="I2498" s="550"/>
    </row>
    <row r="2499" spans="1:9" x14ac:dyDescent="0.2">
      <c r="A2499" s="549"/>
      <c r="C2499" s="548"/>
      <c r="D2499" s="550"/>
      <c r="E2499" s="550"/>
      <c r="F2499" s="550"/>
      <c r="G2499" s="550"/>
      <c r="H2499" s="551"/>
      <c r="I2499" s="550"/>
    </row>
    <row r="2500" spans="1:9" x14ac:dyDescent="0.2">
      <c r="A2500" s="549"/>
      <c r="C2500" s="548"/>
      <c r="D2500" s="550"/>
      <c r="E2500" s="550"/>
      <c r="F2500" s="550"/>
      <c r="G2500" s="550"/>
      <c r="H2500" s="551"/>
      <c r="I2500" s="550"/>
    </row>
    <row r="2501" spans="1:9" x14ac:dyDescent="0.2">
      <c r="A2501" s="549"/>
      <c r="C2501" s="548"/>
      <c r="D2501" s="550"/>
      <c r="E2501" s="550"/>
      <c r="F2501" s="550"/>
      <c r="G2501" s="550"/>
      <c r="H2501" s="551"/>
      <c r="I2501" s="550"/>
    </row>
    <row r="2502" spans="1:9" x14ac:dyDescent="0.2">
      <c r="A2502" s="549"/>
      <c r="C2502" s="548"/>
      <c r="D2502" s="550"/>
      <c r="E2502" s="550"/>
      <c r="F2502" s="550"/>
      <c r="G2502" s="550"/>
      <c r="H2502" s="551"/>
      <c r="I2502" s="550"/>
    </row>
    <row r="2503" spans="1:9" x14ac:dyDescent="0.2">
      <c r="A2503" s="549"/>
      <c r="C2503" s="548"/>
      <c r="D2503" s="550"/>
      <c r="E2503" s="550"/>
      <c r="F2503" s="550"/>
      <c r="G2503" s="550"/>
      <c r="H2503" s="551"/>
      <c r="I2503" s="550"/>
    </row>
    <row r="2504" spans="1:9" x14ac:dyDescent="0.2">
      <c r="A2504" s="549"/>
      <c r="C2504" s="548"/>
      <c r="D2504" s="550"/>
      <c r="E2504" s="550"/>
      <c r="F2504" s="550"/>
      <c r="G2504" s="550"/>
      <c r="H2504" s="551"/>
      <c r="I2504" s="550"/>
    </row>
    <row r="2505" spans="1:9" x14ac:dyDescent="0.2">
      <c r="A2505" s="549"/>
      <c r="C2505" s="548"/>
      <c r="D2505" s="550"/>
      <c r="E2505" s="550"/>
      <c r="F2505" s="550"/>
      <c r="G2505" s="550"/>
      <c r="H2505" s="551"/>
      <c r="I2505" s="550"/>
    </row>
    <row r="2506" spans="1:9" x14ac:dyDescent="0.2">
      <c r="A2506" s="549"/>
      <c r="C2506" s="548"/>
      <c r="D2506" s="550"/>
      <c r="E2506" s="550"/>
      <c r="F2506" s="550"/>
      <c r="G2506" s="550"/>
      <c r="H2506" s="551"/>
      <c r="I2506" s="550"/>
    </row>
    <row r="2507" spans="1:9" x14ac:dyDescent="0.2">
      <c r="A2507" s="549"/>
      <c r="C2507" s="548"/>
      <c r="D2507" s="550"/>
      <c r="E2507" s="550"/>
      <c r="F2507" s="550"/>
      <c r="G2507" s="550"/>
      <c r="H2507" s="551"/>
      <c r="I2507" s="550"/>
    </row>
    <row r="2508" spans="1:9" x14ac:dyDescent="0.2">
      <c r="A2508" s="549"/>
      <c r="C2508" s="548"/>
      <c r="D2508" s="550"/>
      <c r="E2508" s="550"/>
      <c r="F2508" s="550"/>
      <c r="G2508" s="550"/>
      <c r="H2508" s="551"/>
      <c r="I2508" s="550"/>
    </row>
    <row r="2509" spans="1:9" x14ac:dyDescent="0.2">
      <c r="A2509" s="549"/>
      <c r="C2509" s="548"/>
      <c r="D2509" s="550"/>
      <c r="E2509" s="550"/>
      <c r="F2509" s="550"/>
      <c r="G2509" s="550"/>
      <c r="H2509" s="551"/>
      <c r="I2509" s="550"/>
    </row>
    <row r="2510" spans="1:9" x14ac:dyDescent="0.2">
      <c r="A2510" s="549"/>
      <c r="C2510" s="548"/>
      <c r="D2510" s="550"/>
      <c r="E2510" s="550"/>
      <c r="F2510" s="550"/>
      <c r="G2510" s="550"/>
      <c r="H2510" s="551"/>
      <c r="I2510" s="550"/>
    </row>
    <row r="2511" spans="1:9" x14ac:dyDescent="0.2">
      <c r="A2511" s="549"/>
      <c r="C2511" s="548"/>
      <c r="D2511" s="550"/>
      <c r="E2511" s="550"/>
      <c r="F2511" s="550"/>
      <c r="G2511" s="550"/>
      <c r="H2511" s="551"/>
      <c r="I2511" s="550"/>
    </row>
    <row r="2512" spans="1:9" x14ac:dyDescent="0.2">
      <c r="A2512" s="549"/>
      <c r="C2512" s="548"/>
      <c r="D2512" s="550"/>
      <c r="E2512" s="550"/>
      <c r="F2512" s="550"/>
      <c r="G2512" s="550"/>
      <c r="H2512" s="551"/>
      <c r="I2512" s="550"/>
    </row>
    <row r="2513" spans="1:9" x14ac:dyDescent="0.2">
      <c r="A2513" s="549"/>
      <c r="C2513" s="548"/>
      <c r="D2513" s="550"/>
      <c r="E2513" s="550"/>
      <c r="F2513" s="550"/>
      <c r="G2513" s="550"/>
      <c r="H2513" s="551"/>
      <c r="I2513" s="550"/>
    </row>
    <row r="2514" spans="1:9" x14ac:dyDescent="0.2">
      <c r="A2514" s="549"/>
      <c r="C2514" s="548"/>
      <c r="D2514" s="550"/>
      <c r="E2514" s="550"/>
      <c r="F2514" s="550"/>
      <c r="G2514" s="550"/>
      <c r="H2514" s="551"/>
      <c r="I2514" s="550"/>
    </row>
    <row r="2515" spans="1:9" x14ac:dyDescent="0.2">
      <c r="A2515" s="549"/>
      <c r="C2515" s="548"/>
      <c r="D2515" s="550"/>
      <c r="E2515" s="550"/>
      <c r="F2515" s="550"/>
      <c r="G2515" s="550"/>
      <c r="H2515" s="551"/>
      <c r="I2515" s="550"/>
    </row>
    <row r="2516" spans="1:9" x14ac:dyDescent="0.2">
      <c r="A2516" s="549"/>
      <c r="C2516" s="548"/>
      <c r="D2516" s="550"/>
      <c r="E2516" s="550"/>
      <c r="F2516" s="550"/>
      <c r="G2516" s="550"/>
      <c r="H2516" s="551"/>
      <c r="I2516" s="550"/>
    </row>
    <row r="2517" spans="1:9" x14ac:dyDescent="0.2">
      <c r="A2517" s="549"/>
      <c r="C2517" s="548"/>
      <c r="D2517" s="550"/>
      <c r="E2517" s="550"/>
      <c r="F2517" s="550"/>
      <c r="G2517" s="550"/>
      <c r="H2517" s="551"/>
      <c r="I2517" s="550"/>
    </row>
    <row r="2518" spans="1:9" x14ac:dyDescent="0.2">
      <c r="A2518" s="549"/>
      <c r="C2518" s="548"/>
      <c r="D2518" s="550"/>
      <c r="E2518" s="550"/>
      <c r="F2518" s="550"/>
      <c r="G2518" s="550"/>
      <c r="H2518" s="551"/>
      <c r="I2518" s="550"/>
    </row>
    <row r="2519" spans="1:9" x14ac:dyDescent="0.2">
      <c r="A2519" s="549"/>
      <c r="C2519" s="548"/>
      <c r="D2519" s="550"/>
      <c r="E2519" s="550"/>
      <c r="F2519" s="550"/>
      <c r="G2519" s="550"/>
      <c r="H2519" s="551"/>
      <c r="I2519" s="550"/>
    </row>
    <row r="2520" spans="1:9" x14ac:dyDescent="0.2">
      <c r="A2520" s="549"/>
      <c r="C2520" s="548"/>
      <c r="D2520" s="550"/>
      <c r="E2520" s="550"/>
      <c r="F2520" s="550"/>
      <c r="G2520" s="550"/>
      <c r="H2520" s="551"/>
      <c r="I2520" s="550"/>
    </row>
    <row r="2521" spans="1:9" x14ac:dyDescent="0.2">
      <c r="A2521" s="549"/>
      <c r="C2521" s="548"/>
      <c r="D2521" s="550"/>
      <c r="E2521" s="550"/>
      <c r="F2521" s="550"/>
      <c r="G2521" s="550"/>
      <c r="H2521" s="551"/>
      <c r="I2521" s="550"/>
    </row>
    <row r="2522" spans="1:9" x14ac:dyDescent="0.2">
      <c r="A2522" s="549"/>
      <c r="C2522" s="548"/>
      <c r="D2522" s="550"/>
      <c r="E2522" s="550"/>
      <c r="F2522" s="550"/>
      <c r="G2522" s="550"/>
      <c r="H2522" s="551"/>
      <c r="I2522" s="550"/>
    </row>
    <row r="2523" spans="1:9" x14ac:dyDescent="0.2">
      <c r="A2523" s="549"/>
      <c r="C2523" s="548"/>
      <c r="D2523" s="550"/>
      <c r="E2523" s="550"/>
      <c r="F2523" s="550"/>
      <c r="G2523" s="550"/>
      <c r="H2523" s="551"/>
      <c r="I2523" s="550"/>
    </row>
    <row r="2524" spans="1:9" x14ac:dyDescent="0.2">
      <c r="A2524" s="549"/>
      <c r="C2524" s="548"/>
      <c r="D2524" s="550"/>
      <c r="E2524" s="550"/>
      <c r="F2524" s="550"/>
      <c r="G2524" s="550"/>
      <c r="H2524" s="551"/>
      <c r="I2524" s="550"/>
    </row>
    <row r="2525" spans="1:9" x14ac:dyDescent="0.2">
      <c r="A2525" s="549"/>
      <c r="C2525" s="548"/>
      <c r="D2525" s="550"/>
      <c r="E2525" s="550"/>
      <c r="F2525" s="550"/>
      <c r="G2525" s="550"/>
      <c r="H2525" s="551"/>
      <c r="I2525" s="550"/>
    </row>
    <row r="2526" spans="1:9" x14ac:dyDescent="0.2">
      <c r="A2526" s="549"/>
      <c r="C2526" s="548"/>
      <c r="D2526" s="550"/>
      <c r="E2526" s="550"/>
      <c r="F2526" s="550"/>
      <c r="G2526" s="550"/>
      <c r="H2526" s="551"/>
      <c r="I2526" s="550"/>
    </row>
    <row r="2527" spans="1:9" x14ac:dyDescent="0.2">
      <c r="A2527" s="549"/>
      <c r="C2527" s="548"/>
      <c r="D2527" s="550"/>
      <c r="E2527" s="550"/>
      <c r="F2527" s="550"/>
      <c r="G2527" s="550"/>
      <c r="H2527" s="551"/>
      <c r="I2527" s="550"/>
    </row>
    <row r="2528" spans="1:9" x14ac:dyDescent="0.2">
      <c r="A2528" s="549"/>
      <c r="C2528" s="548"/>
      <c r="D2528" s="550"/>
      <c r="E2528" s="550"/>
      <c r="F2528" s="550"/>
      <c r="G2528" s="550"/>
      <c r="H2528" s="551"/>
      <c r="I2528" s="550"/>
    </row>
    <row r="2529" spans="1:9" x14ac:dyDescent="0.2">
      <c r="A2529" s="549"/>
      <c r="C2529" s="548"/>
      <c r="D2529" s="550"/>
      <c r="E2529" s="550"/>
      <c r="F2529" s="550"/>
      <c r="G2529" s="550"/>
      <c r="H2529" s="551"/>
      <c r="I2529" s="550"/>
    </row>
    <row r="2530" spans="1:9" x14ac:dyDescent="0.2">
      <c r="A2530" s="549"/>
      <c r="C2530" s="548"/>
      <c r="D2530" s="550"/>
      <c r="E2530" s="550"/>
      <c r="F2530" s="550"/>
      <c r="G2530" s="550"/>
      <c r="H2530" s="551"/>
      <c r="I2530" s="550"/>
    </row>
    <row r="2531" spans="1:9" x14ac:dyDescent="0.2">
      <c r="A2531" s="549"/>
      <c r="C2531" s="548"/>
      <c r="D2531" s="550"/>
      <c r="E2531" s="550"/>
      <c r="F2531" s="550"/>
      <c r="G2531" s="550"/>
      <c r="H2531" s="551"/>
      <c r="I2531" s="550"/>
    </row>
    <row r="2532" spans="1:9" x14ac:dyDescent="0.2">
      <c r="A2532" s="549"/>
      <c r="C2532" s="548"/>
      <c r="D2532" s="550"/>
      <c r="E2532" s="550"/>
      <c r="F2532" s="550"/>
      <c r="G2532" s="550"/>
      <c r="H2532" s="551"/>
      <c r="I2532" s="550"/>
    </row>
    <row r="2533" spans="1:9" x14ac:dyDescent="0.2">
      <c r="A2533" s="549"/>
      <c r="C2533" s="548"/>
      <c r="D2533" s="550"/>
      <c r="E2533" s="550"/>
      <c r="F2533" s="550"/>
      <c r="G2533" s="550"/>
      <c r="H2533" s="551"/>
      <c r="I2533" s="550"/>
    </row>
    <row r="2534" spans="1:9" x14ac:dyDescent="0.2">
      <c r="A2534" s="549"/>
      <c r="C2534" s="548"/>
      <c r="D2534" s="550"/>
      <c r="E2534" s="550"/>
      <c r="F2534" s="550"/>
      <c r="G2534" s="550"/>
      <c r="H2534" s="551"/>
      <c r="I2534" s="550"/>
    </row>
    <row r="2535" spans="1:9" x14ac:dyDescent="0.2">
      <c r="A2535" s="549"/>
      <c r="C2535" s="548"/>
      <c r="D2535" s="550"/>
      <c r="E2535" s="550"/>
      <c r="F2535" s="550"/>
      <c r="G2535" s="550"/>
      <c r="H2535" s="551"/>
      <c r="I2535" s="550"/>
    </row>
    <row r="2536" spans="1:9" x14ac:dyDescent="0.2">
      <c r="A2536" s="549"/>
      <c r="C2536" s="548"/>
      <c r="D2536" s="550"/>
      <c r="E2536" s="550"/>
      <c r="F2536" s="550"/>
      <c r="G2536" s="550"/>
      <c r="H2536" s="551"/>
      <c r="I2536" s="550"/>
    </row>
    <row r="2537" spans="1:9" x14ac:dyDescent="0.2">
      <c r="A2537" s="549"/>
      <c r="C2537" s="548"/>
      <c r="D2537" s="550"/>
      <c r="E2537" s="550"/>
      <c r="F2537" s="550"/>
      <c r="G2537" s="550"/>
      <c r="H2537" s="551"/>
      <c r="I2537" s="550"/>
    </row>
    <row r="2538" spans="1:9" x14ac:dyDescent="0.2">
      <c r="A2538" s="549"/>
      <c r="C2538" s="548"/>
      <c r="D2538" s="550"/>
      <c r="E2538" s="550"/>
      <c r="F2538" s="550"/>
      <c r="G2538" s="550"/>
      <c r="H2538" s="551"/>
      <c r="I2538" s="550"/>
    </row>
    <row r="2539" spans="1:9" x14ac:dyDescent="0.2">
      <c r="A2539" s="549"/>
      <c r="C2539" s="548"/>
      <c r="D2539" s="550"/>
      <c r="E2539" s="550"/>
      <c r="F2539" s="550"/>
      <c r="G2539" s="550"/>
      <c r="H2539" s="551"/>
      <c r="I2539" s="550"/>
    </row>
    <row r="2540" spans="1:9" x14ac:dyDescent="0.2">
      <c r="A2540" s="549"/>
      <c r="C2540" s="548"/>
      <c r="D2540" s="550"/>
      <c r="E2540" s="550"/>
      <c r="F2540" s="550"/>
      <c r="G2540" s="550"/>
      <c r="H2540" s="551"/>
      <c r="I2540" s="550"/>
    </row>
    <row r="2541" spans="1:9" x14ac:dyDescent="0.2">
      <c r="A2541" s="549"/>
      <c r="C2541" s="548"/>
      <c r="D2541" s="550"/>
      <c r="E2541" s="550"/>
      <c r="F2541" s="550"/>
      <c r="G2541" s="550"/>
      <c r="H2541" s="551"/>
      <c r="I2541" s="550"/>
    </row>
    <row r="2542" spans="1:9" x14ac:dyDescent="0.2">
      <c r="A2542" s="549"/>
      <c r="C2542" s="548"/>
      <c r="D2542" s="550"/>
      <c r="E2542" s="550"/>
      <c r="F2542" s="550"/>
      <c r="G2542" s="550"/>
      <c r="H2542" s="551"/>
      <c r="I2542" s="550"/>
    </row>
    <row r="2543" spans="1:9" x14ac:dyDescent="0.2">
      <c r="A2543" s="549"/>
      <c r="C2543" s="548"/>
      <c r="D2543" s="550"/>
      <c r="E2543" s="550"/>
      <c r="F2543" s="550"/>
      <c r="G2543" s="550"/>
      <c r="H2543" s="551"/>
      <c r="I2543" s="550"/>
    </row>
    <row r="2544" spans="1:9" x14ac:dyDescent="0.2">
      <c r="A2544" s="549"/>
      <c r="C2544" s="548"/>
      <c r="D2544" s="550"/>
      <c r="E2544" s="550"/>
      <c r="F2544" s="550"/>
      <c r="G2544" s="550"/>
      <c r="H2544" s="551"/>
      <c r="I2544" s="550"/>
    </row>
    <row r="2545" spans="1:9" x14ac:dyDescent="0.2">
      <c r="A2545" s="549"/>
      <c r="C2545" s="548"/>
      <c r="D2545" s="550"/>
      <c r="E2545" s="550"/>
      <c r="F2545" s="550"/>
      <c r="G2545" s="550"/>
      <c r="H2545" s="551"/>
      <c r="I2545" s="550"/>
    </row>
    <row r="2546" spans="1:9" x14ac:dyDescent="0.2">
      <c r="A2546" s="549"/>
      <c r="C2546" s="548"/>
      <c r="D2546" s="550"/>
      <c r="E2546" s="550"/>
      <c r="F2546" s="550"/>
      <c r="G2546" s="550"/>
      <c r="H2546" s="551"/>
      <c r="I2546" s="550"/>
    </row>
    <row r="2547" spans="1:9" x14ac:dyDescent="0.2">
      <c r="A2547" s="549"/>
      <c r="C2547" s="548"/>
      <c r="D2547" s="550"/>
      <c r="E2547" s="550"/>
      <c r="F2547" s="550"/>
      <c r="G2547" s="550"/>
      <c r="H2547" s="551"/>
      <c r="I2547" s="550"/>
    </row>
    <row r="2548" spans="1:9" x14ac:dyDescent="0.2">
      <c r="A2548" s="549"/>
      <c r="C2548" s="548"/>
      <c r="D2548" s="550"/>
      <c r="E2548" s="550"/>
      <c r="F2548" s="550"/>
      <c r="G2548" s="550"/>
      <c r="H2548" s="551"/>
      <c r="I2548" s="550"/>
    </row>
    <row r="2549" spans="1:9" x14ac:dyDescent="0.2">
      <c r="A2549" s="549"/>
      <c r="C2549" s="548"/>
      <c r="D2549" s="550"/>
      <c r="E2549" s="550"/>
      <c r="F2549" s="550"/>
      <c r="G2549" s="550"/>
      <c r="H2549" s="551"/>
      <c r="I2549" s="550"/>
    </row>
    <row r="2550" spans="1:9" x14ac:dyDescent="0.2">
      <c r="A2550" s="549"/>
      <c r="C2550" s="548"/>
      <c r="D2550" s="550"/>
      <c r="E2550" s="550"/>
      <c r="F2550" s="550"/>
      <c r="G2550" s="550"/>
      <c r="H2550" s="551"/>
      <c r="I2550" s="550"/>
    </row>
    <row r="2551" spans="1:9" x14ac:dyDescent="0.2">
      <c r="A2551" s="549"/>
      <c r="C2551" s="548"/>
      <c r="D2551" s="550"/>
      <c r="E2551" s="550"/>
      <c r="F2551" s="550"/>
      <c r="G2551" s="550"/>
      <c r="H2551" s="551"/>
      <c r="I2551" s="550"/>
    </row>
    <row r="2552" spans="1:9" x14ac:dyDescent="0.2">
      <c r="A2552" s="549"/>
      <c r="C2552" s="548"/>
      <c r="D2552" s="550"/>
      <c r="E2552" s="550"/>
      <c r="F2552" s="550"/>
      <c r="G2552" s="550"/>
      <c r="H2552" s="551"/>
      <c r="I2552" s="550"/>
    </row>
    <row r="2553" spans="1:9" x14ac:dyDescent="0.2">
      <c r="A2553" s="549"/>
      <c r="C2553" s="548"/>
      <c r="D2553" s="550"/>
      <c r="E2553" s="550"/>
      <c r="F2553" s="550"/>
      <c r="G2553" s="550"/>
      <c r="H2553" s="551"/>
      <c r="I2553" s="550"/>
    </row>
    <row r="2554" spans="1:9" x14ac:dyDescent="0.2">
      <c r="A2554" s="549"/>
      <c r="C2554" s="548"/>
      <c r="D2554" s="550"/>
      <c r="E2554" s="550"/>
      <c r="F2554" s="550"/>
      <c r="G2554" s="550"/>
      <c r="H2554" s="551"/>
      <c r="I2554" s="550"/>
    </row>
    <row r="2555" spans="1:9" x14ac:dyDescent="0.2">
      <c r="A2555" s="549"/>
      <c r="C2555" s="548"/>
      <c r="D2555" s="550"/>
      <c r="E2555" s="550"/>
      <c r="F2555" s="550"/>
      <c r="G2555" s="550"/>
      <c r="H2555" s="551"/>
      <c r="I2555" s="550"/>
    </row>
    <row r="2556" spans="1:9" x14ac:dyDescent="0.2">
      <c r="A2556" s="549"/>
      <c r="C2556" s="548"/>
      <c r="D2556" s="550"/>
      <c r="E2556" s="550"/>
      <c r="F2556" s="550"/>
      <c r="G2556" s="550"/>
      <c r="H2556" s="551"/>
      <c r="I2556" s="550"/>
    </row>
    <row r="2557" spans="1:9" x14ac:dyDescent="0.2">
      <c r="A2557" s="549"/>
      <c r="C2557" s="548"/>
      <c r="D2557" s="550"/>
      <c r="E2557" s="550"/>
      <c r="F2557" s="550"/>
      <c r="G2557" s="550"/>
      <c r="H2557" s="551"/>
      <c r="I2557" s="550"/>
    </row>
    <row r="2558" spans="1:9" x14ac:dyDescent="0.2">
      <c r="A2558" s="549"/>
      <c r="C2558" s="548"/>
      <c r="D2558" s="550"/>
      <c r="E2558" s="550"/>
      <c r="F2558" s="550"/>
      <c r="G2558" s="550"/>
      <c r="H2558" s="551"/>
      <c r="I2558" s="550"/>
    </row>
    <row r="2559" spans="1:9" x14ac:dyDescent="0.2">
      <c r="A2559" s="549"/>
      <c r="C2559" s="548"/>
      <c r="D2559" s="550"/>
      <c r="E2559" s="550"/>
      <c r="F2559" s="550"/>
      <c r="G2559" s="550"/>
      <c r="H2559" s="551"/>
      <c r="I2559" s="550"/>
    </row>
    <row r="2560" spans="1:9" x14ac:dyDescent="0.2">
      <c r="A2560" s="549"/>
      <c r="C2560" s="548"/>
      <c r="D2560" s="550"/>
      <c r="E2560" s="550"/>
      <c r="F2560" s="550"/>
      <c r="G2560" s="550"/>
      <c r="H2560" s="551"/>
      <c r="I2560" s="550"/>
    </row>
    <row r="2561" spans="1:9" x14ac:dyDescent="0.2">
      <c r="A2561" s="549"/>
      <c r="C2561" s="548"/>
      <c r="D2561" s="550"/>
      <c r="E2561" s="550"/>
      <c r="F2561" s="550"/>
      <c r="G2561" s="550"/>
      <c r="H2561" s="551"/>
      <c r="I2561" s="550"/>
    </row>
    <row r="2562" spans="1:9" x14ac:dyDescent="0.2">
      <c r="A2562" s="549"/>
      <c r="C2562" s="548"/>
      <c r="D2562" s="550"/>
      <c r="E2562" s="550"/>
      <c r="F2562" s="550"/>
      <c r="G2562" s="550"/>
      <c r="H2562" s="551"/>
      <c r="I2562" s="550"/>
    </row>
    <row r="2563" spans="1:9" x14ac:dyDescent="0.2">
      <c r="A2563" s="549"/>
      <c r="C2563" s="548"/>
      <c r="D2563" s="550"/>
      <c r="E2563" s="550"/>
      <c r="F2563" s="550"/>
      <c r="G2563" s="550"/>
      <c r="H2563" s="551"/>
      <c r="I2563" s="550"/>
    </row>
    <row r="2564" spans="1:9" x14ac:dyDescent="0.2">
      <c r="A2564" s="549"/>
      <c r="C2564" s="548"/>
      <c r="D2564" s="550"/>
      <c r="E2564" s="550"/>
      <c r="F2564" s="550"/>
      <c r="G2564" s="550"/>
      <c r="H2564" s="551"/>
      <c r="I2564" s="550"/>
    </row>
    <row r="2565" spans="1:9" x14ac:dyDescent="0.2">
      <c r="A2565" s="549"/>
      <c r="C2565" s="548"/>
      <c r="D2565" s="550"/>
      <c r="E2565" s="550"/>
      <c r="F2565" s="550"/>
      <c r="G2565" s="550"/>
      <c r="H2565" s="551"/>
      <c r="I2565" s="550"/>
    </row>
    <row r="2566" spans="1:9" x14ac:dyDescent="0.2">
      <c r="A2566" s="549"/>
      <c r="C2566" s="548"/>
      <c r="D2566" s="550"/>
      <c r="E2566" s="550"/>
      <c r="F2566" s="550"/>
      <c r="G2566" s="550"/>
      <c r="H2566" s="551"/>
      <c r="I2566" s="550"/>
    </row>
    <row r="2567" spans="1:9" x14ac:dyDescent="0.2">
      <c r="A2567" s="549"/>
      <c r="C2567" s="548"/>
      <c r="D2567" s="550"/>
      <c r="E2567" s="550"/>
      <c r="F2567" s="550"/>
      <c r="G2567" s="550"/>
      <c r="H2567" s="551"/>
      <c r="I2567" s="550"/>
    </row>
    <row r="2568" spans="1:9" x14ac:dyDescent="0.2">
      <c r="A2568" s="549"/>
      <c r="C2568" s="548"/>
      <c r="D2568" s="550"/>
      <c r="E2568" s="550"/>
      <c r="F2568" s="550"/>
      <c r="G2568" s="550"/>
      <c r="H2568" s="551"/>
      <c r="I2568" s="550"/>
    </row>
    <row r="2569" spans="1:9" x14ac:dyDescent="0.2">
      <c r="A2569" s="549"/>
      <c r="C2569" s="548"/>
      <c r="D2569" s="550"/>
      <c r="E2569" s="550"/>
      <c r="F2569" s="550"/>
      <c r="G2569" s="550"/>
      <c r="H2569" s="551"/>
      <c r="I2569" s="550"/>
    </row>
    <row r="2570" spans="1:9" x14ac:dyDescent="0.2">
      <c r="A2570" s="549"/>
      <c r="C2570" s="548"/>
      <c r="D2570" s="550"/>
      <c r="E2570" s="550"/>
      <c r="F2570" s="550"/>
      <c r="G2570" s="550"/>
      <c r="H2570" s="551"/>
      <c r="I2570" s="550"/>
    </row>
    <row r="2571" spans="1:9" x14ac:dyDescent="0.2">
      <c r="A2571" s="549"/>
      <c r="C2571" s="548"/>
      <c r="D2571" s="550"/>
      <c r="E2571" s="550"/>
      <c r="F2571" s="550"/>
      <c r="G2571" s="550"/>
      <c r="H2571" s="551"/>
      <c r="I2571" s="550"/>
    </row>
    <row r="2572" spans="1:9" x14ac:dyDescent="0.2">
      <c r="A2572" s="549"/>
      <c r="C2572" s="548"/>
      <c r="D2572" s="550"/>
      <c r="E2572" s="550"/>
      <c r="F2572" s="550"/>
      <c r="G2572" s="550"/>
      <c r="H2572" s="551"/>
      <c r="I2572" s="550"/>
    </row>
    <row r="2573" spans="1:9" x14ac:dyDescent="0.2">
      <c r="A2573" s="549"/>
      <c r="C2573" s="548"/>
      <c r="D2573" s="550"/>
      <c r="E2573" s="550"/>
      <c r="F2573" s="550"/>
      <c r="G2573" s="550"/>
      <c r="H2573" s="551"/>
      <c r="I2573" s="550"/>
    </row>
    <row r="2574" spans="1:9" x14ac:dyDescent="0.2">
      <c r="A2574" s="549"/>
      <c r="C2574" s="548"/>
      <c r="D2574" s="550"/>
      <c r="E2574" s="550"/>
      <c r="F2574" s="550"/>
      <c r="G2574" s="550"/>
      <c r="H2574" s="551"/>
      <c r="I2574" s="550"/>
    </row>
    <row r="2575" spans="1:9" x14ac:dyDescent="0.2">
      <c r="A2575" s="549"/>
      <c r="C2575" s="548"/>
      <c r="D2575" s="550"/>
      <c r="E2575" s="550"/>
      <c r="F2575" s="550"/>
      <c r="G2575" s="550"/>
      <c r="H2575" s="551"/>
      <c r="I2575" s="550"/>
    </row>
    <row r="2576" spans="1:9" x14ac:dyDescent="0.2">
      <c r="A2576" s="549"/>
      <c r="C2576" s="548"/>
      <c r="D2576" s="550"/>
      <c r="E2576" s="550"/>
      <c r="F2576" s="550"/>
      <c r="G2576" s="550"/>
      <c r="H2576" s="551"/>
      <c r="I2576" s="550"/>
    </row>
    <row r="2577" spans="1:9" x14ac:dyDescent="0.2">
      <c r="A2577" s="549"/>
      <c r="C2577" s="548"/>
      <c r="D2577" s="550"/>
      <c r="E2577" s="550"/>
      <c r="F2577" s="550"/>
      <c r="G2577" s="550"/>
      <c r="H2577" s="551"/>
      <c r="I2577" s="550"/>
    </row>
    <row r="2578" spans="1:9" x14ac:dyDescent="0.2">
      <c r="A2578" s="549"/>
      <c r="C2578" s="548"/>
      <c r="D2578" s="550"/>
      <c r="E2578" s="550"/>
      <c r="F2578" s="550"/>
      <c r="G2578" s="550"/>
      <c r="H2578" s="551"/>
      <c r="I2578" s="550"/>
    </row>
    <row r="2579" spans="1:9" x14ac:dyDescent="0.2">
      <c r="A2579" s="549"/>
      <c r="C2579" s="548"/>
      <c r="D2579" s="550"/>
      <c r="E2579" s="550"/>
      <c r="F2579" s="550"/>
      <c r="G2579" s="550"/>
      <c r="H2579" s="551"/>
      <c r="I2579" s="550"/>
    </row>
    <row r="2580" spans="1:9" x14ac:dyDescent="0.2">
      <c r="A2580" s="549"/>
      <c r="C2580" s="548"/>
      <c r="D2580" s="550"/>
      <c r="E2580" s="550"/>
      <c r="F2580" s="550"/>
      <c r="G2580" s="550"/>
      <c r="H2580" s="551"/>
      <c r="I2580" s="550"/>
    </row>
    <row r="2581" spans="1:9" x14ac:dyDescent="0.2">
      <c r="A2581" s="549"/>
      <c r="C2581" s="548"/>
      <c r="D2581" s="550"/>
      <c r="E2581" s="550"/>
      <c r="F2581" s="550"/>
      <c r="G2581" s="550"/>
      <c r="H2581" s="551"/>
      <c r="I2581" s="550"/>
    </row>
    <row r="2582" spans="1:9" x14ac:dyDescent="0.2">
      <c r="A2582" s="549"/>
      <c r="C2582" s="548"/>
      <c r="D2582" s="550"/>
      <c r="E2582" s="550"/>
      <c r="F2582" s="550"/>
      <c r="G2582" s="550"/>
      <c r="H2582" s="551"/>
      <c r="I2582" s="550"/>
    </row>
    <row r="2583" spans="1:9" x14ac:dyDescent="0.2">
      <c r="A2583" s="549"/>
      <c r="C2583" s="548"/>
      <c r="D2583" s="550"/>
      <c r="E2583" s="550"/>
      <c r="F2583" s="550"/>
      <c r="G2583" s="550"/>
      <c r="H2583" s="551"/>
      <c r="I2583" s="550"/>
    </row>
    <row r="2584" spans="1:9" x14ac:dyDescent="0.2">
      <c r="A2584" s="549"/>
      <c r="C2584" s="548"/>
      <c r="D2584" s="550"/>
      <c r="E2584" s="550"/>
      <c r="F2584" s="550"/>
      <c r="G2584" s="550"/>
      <c r="H2584" s="551"/>
      <c r="I2584" s="550"/>
    </row>
    <row r="2585" spans="1:9" x14ac:dyDescent="0.2">
      <c r="A2585" s="549"/>
      <c r="C2585" s="548"/>
      <c r="D2585" s="550"/>
      <c r="E2585" s="550"/>
      <c r="F2585" s="550"/>
      <c r="G2585" s="550"/>
      <c r="H2585" s="551"/>
      <c r="I2585" s="550"/>
    </row>
    <row r="2586" spans="1:9" x14ac:dyDescent="0.2">
      <c r="A2586" s="549"/>
      <c r="C2586" s="548"/>
      <c r="D2586" s="550"/>
      <c r="E2586" s="550"/>
      <c r="F2586" s="550"/>
      <c r="G2586" s="550"/>
      <c r="H2586" s="551"/>
      <c r="I2586" s="550"/>
    </row>
    <row r="2587" spans="1:9" x14ac:dyDescent="0.2">
      <c r="A2587" s="549"/>
      <c r="C2587" s="548"/>
      <c r="D2587" s="550"/>
      <c r="E2587" s="550"/>
      <c r="F2587" s="550"/>
      <c r="G2587" s="550"/>
      <c r="H2587" s="551"/>
      <c r="I2587" s="550"/>
    </row>
    <row r="2588" spans="1:9" x14ac:dyDescent="0.2">
      <c r="A2588" s="549"/>
      <c r="C2588" s="548"/>
      <c r="D2588" s="550"/>
      <c r="E2588" s="550"/>
      <c r="F2588" s="550"/>
      <c r="G2588" s="550"/>
      <c r="H2588" s="551"/>
      <c r="I2588" s="550"/>
    </row>
    <row r="2589" spans="1:9" x14ac:dyDescent="0.2">
      <c r="A2589" s="549"/>
      <c r="C2589" s="548"/>
      <c r="D2589" s="550"/>
      <c r="E2589" s="550"/>
      <c r="F2589" s="550"/>
      <c r="G2589" s="550"/>
      <c r="H2589" s="551"/>
      <c r="I2589" s="550"/>
    </row>
    <row r="2590" spans="1:9" x14ac:dyDescent="0.2">
      <c r="A2590" s="549"/>
      <c r="C2590" s="548"/>
      <c r="D2590" s="550"/>
      <c r="E2590" s="550"/>
      <c r="F2590" s="550"/>
      <c r="G2590" s="550"/>
      <c r="H2590" s="551"/>
      <c r="I2590" s="550"/>
    </row>
    <row r="2591" spans="1:9" x14ac:dyDescent="0.2">
      <c r="A2591" s="549"/>
      <c r="C2591" s="548"/>
      <c r="D2591" s="550"/>
      <c r="E2591" s="550"/>
      <c r="F2591" s="550"/>
      <c r="G2591" s="550"/>
      <c r="H2591" s="551"/>
      <c r="I2591" s="550"/>
    </row>
    <row r="2592" spans="1:9" x14ac:dyDescent="0.2">
      <c r="A2592" s="549"/>
      <c r="C2592" s="548"/>
      <c r="D2592" s="550"/>
      <c r="E2592" s="550"/>
      <c r="F2592" s="550"/>
      <c r="G2592" s="550"/>
      <c r="H2592" s="551"/>
      <c r="I2592" s="550"/>
    </row>
    <row r="2593" spans="1:9" x14ac:dyDescent="0.2">
      <c r="A2593" s="549"/>
      <c r="C2593" s="548"/>
      <c r="D2593" s="550"/>
      <c r="E2593" s="550"/>
      <c r="F2593" s="550"/>
      <c r="G2593" s="550"/>
      <c r="H2593" s="551"/>
      <c r="I2593" s="550"/>
    </row>
    <row r="2594" spans="1:9" x14ac:dyDescent="0.2">
      <c r="A2594" s="549"/>
      <c r="C2594" s="548"/>
      <c r="D2594" s="550"/>
      <c r="E2594" s="550"/>
      <c r="F2594" s="550"/>
      <c r="G2594" s="550"/>
      <c r="H2594" s="551"/>
      <c r="I2594" s="550"/>
    </row>
    <row r="2595" spans="1:9" x14ac:dyDescent="0.2">
      <c r="A2595" s="549"/>
      <c r="C2595" s="548"/>
      <c r="D2595" s="550"/>
      <c r="E2595" s="550"/>
      <c r="F2595" s="550"/>
      <c r="G2595" s="550"/>
      <c r="H2595" s="551"/>
      <c r="I2595" s="550"/>
    </row>
    <row r="2596" spans="1:9" x14ac:dyDescent="0.2">
      <c r="A2596" s="549"/>
      <c r="C2596" s="548"/>
      <c r="D2596" s="550"/>
      <c r="E2596" s="550"/>
      <c r="F2596" s="550"/>
      <c r="G2596" s="550"/>
      <c r="H2596" s="551"/>
      <c r="I2596" s="550"/>
    </row>
    <row r="2597" spans="1:9" x14ac:dyDescent="0.2">
      <c r="A2597" s="549"/>
      <c r="C2597" s="548"/>
      <c r="D2597" s="550"/>
      <c r="E2597" s="550"/>
      <c r="F2597" s="550"/>
      <c r="G2597" s="550"/>
      <c r="H2597" s="551"/>
      <c r="I2597" s="550"/>
    </row>
    <row r="2598" spans="1:9" x14ac:dyDescent="0.2">
      <c r="A2598" s="549"/>
      <c r="C2598" s="548"/>
      <c r="D2598" s="550"/>
      <c r="E2598" s="550"/>
      <c r="F2598" s="550"/>
      <c r="G2598" s="550"/>
      <c r="H2598" s="551"/>
      <c r="I2598" s="550"/>
    </row>
    <row r="2599" spans="1:9" x14ac:dyDescent="0.2">
      <c r="A2599" s="549"/>
      <c r="C2599" s="548"/>
      <c r="D2599" s="550"/>
      <c r="E2599" s="550"/>
      <c r="F2599" s="550"/>
      <c r="G2599" s="550"/>
      <c r="H2599" s="551"/>
      <c r="I2599" s="550"/>
    </row>
    <row r="2600" spans="1:9" x14ac:dyDescent="0.2">
      <c r="A2600" s="549"/>
      <c r="C2600" s="548"/>
      <c r="D2600" s="550"/>
      <c r="E2600" s="550"/>
      <c r="F2600" s="550"/>
      <c r="G2600" s="550"/>
      <c r="H2600" s="551"/>
      <c r="I2600" s="550"/>
    </row>
    <row r="2601" spans="1:9" x14ac:dyDescent="0.2">
      <c r="A2601" s="549"/>
      <c r="C2601" s="548"/>
      <c r="D2601" s="550"/>
      <c r="E2601" s="550"/>
      <c r="F2601" s="550"/>
      <c r="G2601" s="550"/>
      <c r="H2601" s="551"/>
      <c r="I2601" s="550"/>
    </row>
    <row r="2602" spans="1:9" x14ac:dyDescent="0.2">
      <c r="A2602" s="549"/>
      <c r="C2602" s="548"/>
      <c r="D2602" s="550"/>
      <c r="E2602" s="550"/>
      <c r="F2602" s="550"/>
      <c r="G2602" s="550"/>
      <c r="H2602" s="551"/>
      <c r="I2602" s="550"/>
    </row>
    <row r="2603" spans="1:9" x14ac:dyDescent="0.2">
      <c r="A2603" s="549"/>
      <c r="C2603" s="548"/>
      <c r="D2603" s="550"/>
      <c r="E2603" s="550"/>
      <c r="F2603" s="550"/>
      <c r="G2603" s="550"/>
      <c r="H2603" s="551"/>
      <c r="I2603" s="550"/>
    </row>
    <row r="2604" spans="1:9" x14ac:dyDescent="0.2">
      <c r="A2604" s="549"/>
      <c r="C2604" s="548"/>
      <c r="D2604" s="550"/>
      <c r="E2604" s="550"/>
      <c r="F2604" s="550"/>
      <c r="G2604" s="550"/>
      <c r="H2604" s="551"/>
      <c r="I2604" s="550"/>
    </row>
    <row r="2605" spans="1:9" x14ac:dyDescent="0.2">
      <c r="A2605" s="549"/>
      <c r="C2605" s="548"/>
      <c r="D2605" s="550"/>
      <c r="E2605" s="550"/>
      <c r="F2605" s="550"/>
      <c r="G2605" s="550"/>
      <c r="H2605" s="551"/>
      <c r="I2605" s="550"/>
    </row>
    <row r="2606" spans="1:9" x14ac:dyDescent="0.2">
      <c r="A2606" s="549"/>
      <c r="C2606" s="548"/>
      <c r="D2606" s="550"/>
      <c r="E2606" s="550"/>
      <c r="F2606" s="550"/>
      <c r="G2606" s="550"/>
      <c r="H2606" s="551"/>
      <c r="I2606" s="550"/>
    </row>
    <row r="2607" spans="1:9" x14ac:dyDescent="0.2">
      <c r="A2607" s="549"/>
      <c r="C2607" s="548"/>
      <c r="D2607" s="550"/>
      <c r="E2607" s="550"/>
      <c r="F2607" s="550"/>
      <c r="G2607" s="550"/>
      <c r="H2607" s="551"/>
      <c r="I2607" s="550"/>
    </row>
    <row r="2608" spans="1:9" x14ac:dyDescent="0.2">
      <c r="A2608" s="549"/>
      <c r="C2608" s="548"/>
      <c r="D2608" s="550"/>
      <c r="E2608" s="550"/>
      <c r="F2608" s="550"/>
      <c r="G2608" s="550"/>
      <c r="H2608" s="551"/>
      <c r="I2608" s="550"/>
    </row>
    <row r="2609" spans="1:9" x14ac:dyDescent="0.2">
      <c r="A2609" s="549"/>
      <c r="C2609" s="548"/>
      <c r="D2609" s="550"/>
      <c r="E2609" s="550"/>
      <c r="F2609" s="550"/>
      <c r="G2609" s="550"/>
      <c r="H2609" s="551"/>
      <c r="I2609" s="550"/>
    </row>
    <row r="2610" spans="1:9" x14ac:dyDescent="0.2">
      <c r="A2610" s="549"/>
      <c r="C2610" s="548"/>
      <c r="D2610" s="550"/>
      <c r="E2610" s="550"/>
      <c r="F2610" s="550"/>
      <c r="G2610" s="550"/>
      <c r="H2610" s="551"/>
      <c r="I2610" s="550"/>
    </row>
    <row r="2611" spans="1:9" x14ac:dyDescent="0.2">
      <c r="A2611" s="549"/>
      <c r="C2611" s="548"/>
      <c r="D2611" s="550"/>
      <c r="E2611" s="550"/>
      <c r="F2611" s="550"/>
      <c r="G2611" s="550"/>
      <c r="H2611" s="551"/>
      <c r="I2611" s="550"/>
    </row>
    <row r="2612" spans="1:9" x14ac:dyDescent="0.2">
      <c r="A2612" s="549"/>
      <c r="C2612" s="548"/>
      <c r="D2612" s="550"/>
      <c r="E2612" s="550"/>
      <c r="F2612" s="550"/>
      <c r="G2612" s="550"/>
      <c r="H2612" s="551"/>
      <c r="I2612" s="550"/>
    </row>
    <row r="2613" spans="1:9" x14ac:dyDescent="0.2">
      <c r="A2613" s="549"/>
      <c r="C2613" s="548"/>
      <c r="D2613" s="550"/>
      <c r="E2613" s="550"/>
      <c r="F2613" s="550"/>
      <c r="G2613" s="550"/>
      <c r="H2613" s="551"/>
      <c r="I2613" s="550"/>
    </row>
    <row r="2614" spans="1:9" x14ac:dyDescent="0.2">
      <c r="A2614" s="549"/>
      <c r="C2614" s="548"/>
      <c r="D2614" s="550"/>
      <c r="E2614" s="550"/>
      <c r="F2614" s="550"/>
      <c r="G2614" s="550"/>
      <c r="H2614" s="551"/>
      <c r="I2614" s="550"/>
    </row>
    <row r="2615" spans="1:9" x14ac:dyDescent="0.2">
      <c r="A2615" s="549"/>
      <c r="C2615" s="548"/>
      <c r="D2615" s="550"/>
      <c r="E2615" s="550"/>
      <c r="F2615" s="550"/>
      <c r="G2615" s="550"/>
      <c r="H2615" s="551"/>
      <c r="I2615" s="550"/>
    </row>
    <row r="2616" spans="1:9" x14ac:dyDescent="0.2">
      <c r="A2616" s="549"/>
      <c r="C2616" s="548"/>
      <c r="D2616" s="550"/>
      <c r="E2616" s="550"/>
      <c r="F2616" s="550"/>
      <c r="G2616" s="550"/>
      <c r="H2616" s="551"/>
      <c r="I2616" s="550"/>
    </row>
    <row r="2617" spans="1:9" x14ac:dyDescent="0.2">
      <c r="A2617" s="549"/>
      <c r="C2617" s="548"/>
      <c r="D2617" s="550"/>
      <c r="E2617" s="550"/>
      <c r="F2617" s="550"/>
      <c r="G2617" s="550"/>
      <c r="H2617" s="551"/>
      <c r="I2617" s="550"/>
    </row>
    <row r="2618" spans="1:9" x14ac:dyDescent="0.2">
      <c r="A2618" s="549"/>
      <c r="C2618" s="548"/>
      <c r="D2618" s="550"/>
      <c r="E2618" s="550"/>
      <c r="F2618" s="550"/>
      <c r="G2618" s="550"/>
      <c r="H2618" s="551"/>
      <c r="I2618" s="550"/>
    </row>
    <row r="2619" spans="1:9" x14ac:dyDescent="0.2">
      <c r="A2619" s="549"/>
      <c r="C2619" s="548"/>
      <c r="D2619" s="550"/>
      <c r="E2619" s="550"/>
      <c r="F2619" s="550"/>
      <c r="G2619" s="550"/>
      <c r="H2619" s="551"/>
      <c r="I2619" s="550"/>
    </row>
    <row r="2620" spans="1:9" x14ac:dyDescent="0.2">
      <c r="A2620" s="549"/>
      <c r="C2620" s="548"/>
      <c r="D2620" s="550"/>
      <c r="E2620" s="550"/>
      <c r="F2620" s="550"/>
      <c r="G2620" s="550"/>
      <c r="H2620" s="551"/>
      <c r="I2620" s="550"/>
    </row>
    <row r="2621" spans="1:9" x14ac:dyDescent="0.2">
      <c r="A2621" s="549"/>
      <c r="C2621" s="548"/>
      <c r="D2621" s="550"/>
      <c r="E2621" s="550"/>
      <c r="F2621" s="550"/>
      <c r="G2621" s="550"/>
      <c r="H2621" s="551"/>
      <c r="I2621" s="550"/>
    </row>
    <row r="2622" spans="1:9" x14ac:dyDescent="0.2">
      <c r="A2622" s="549"/>
      <c r="C2622" s="548"/>
      <c r="D2622" s="550"/>
      <c r="E2622" s="550"/>
      <c r="F2622" s="550"/>
      <c r="G2622" s="550"/>
      <c r="H2622" s="551"/>
      <c r="I2622" s="550"/>
    </row>
    <row r="2623" spans="1:9" x14ac:dyDescent="0.2">
      <c r="A2623" s="549"/>
      <c r="C2623" s="548"/>
      <c r="D2623" s="550"/>
      <c r="E2623" s="550"/>
      <c r="F2623" s="550"/>
      <c r="G2623" s="550"/>
      <c r="H2623" s="551"/>
      <c r="I2623" s="550"/>
    </row>
    <row r="2624" spans="1:9" x14ac:dyDescent="0.2">
      <c r="A2624" s="549"/>
      <c r="C2624" s="548"/>
      <c r="D2624" s="550"/>
      <c r="E2624" s="550"/>
      <c r="F2624" s="550"/>
      <c r="G2624" s="550"/>
      <c r="H2624" s="551"/>
      <c r="I2624" s="550"/>
    </row>
    <row r="2625" spans="1:9" x14ac:dyDescent="0.2">
      <c r="A2625" s="549"/>
      <c r="C2625" s="548"/>
      <c r="D2625" s="550"/>
      <c r="E2625" s="550"/>
      <c r="F2625" s="550"/>
      <c r="G2625" s="550"/>
      <c r="H2625" s="551"/>
      <c r="I2625" s="550"/>
    </row>
    <row r="2626" spans="1:9" x14ac:dyDescent="0.2">
      <c r="A2626" s="549"/>
      <c r="C2626" s="548"/>
      <c r="D2626" s="550"/>
      <c r="E2626" s="550"/>
      <c r="F2626" s="550"/>
      <c r="G2626" s="550"/>
      <c r="H2626" s="551"/>
      <c r="I2626" s="550"/>
    </row>
    <row r="2627" spans="1:9" x14ac:dyDescent="0.2">
      <c r="A2627" s="549"/>
      <c r="C2627" s="548"/>
      <c r="D2627" s="550"/>
      <c r="E2627" s="550"/>
      <c r="F2627" s="550"/>
      <c r="G2627" s="550"/>
      <c r="H2627" s="551"/>
      <c r="I2627" s="550"/>
    </row>
    <row r="2628" spans="1:9" x14ac:dyDescent="0.2">
      <c r="A2628" s="549"/>
      <c r="C2628" s="548"/>
      <c r="D2628" s="550"/>
      <c r="E2628" s="550"/>
      <c r="F2628" s="550"/>
      <c r="G2628" s="550"/>
      <c r="H2628" s="551"/>
      <c r="I2628" s="550"/>
    </row>
    <row r="2629" spans="1:9" x14ac:dyDescent="0.2">
      <c r="A2629" s="549"/>
      <c r="C2629" s="548"/>
      <c r="D2629" s="550"/>
      <c r="E2629" s="550"/>
      <c r="F2629" s="550"/>
      <c r="G2629" s="550"/>
      <c r="H2629" s="551"/>
      <c r="I2629" s="550"/>
    </row>
    <row r="2630" spans="1:9" x14ac:dyDescent="0.2">
      <c r="A2630" s="549"/>
      <c r="C2630" s="548"/>
      <c r="D2630" s="550"/>
      <c r="E2630" s="550"/>
      <c r="F2630" s="550"/>
      <c r="G2630" s="550"/>
      <c r="H2630" s="551"/>
      <c r="I2630" s="550"/>
    </row>
    <row r="2631" spans="1:9" x14ac:dyDescent="0.2">
      <c r="A2631" s="549"/>
      <c r="C2631" s="548"/>
      <c r="D2631" s="550"/>
      <c r="E2631" s="550"/>
      <c r="F2631" s="550"/>
      <c r="G2631" s="550"/>
      <c r="H2631" s="551"/>
      <c r="I2631" s="550"/>
    </row>
    <row r="2632" spans="1:9" x14ac:dyDescent="0.2">
      <c r="A2632" s="549"/>
      <c r="C2632" s="548"/>
      <c r="D2632" s="550"/>
      <c r="E2632" s="550"/>
      <c r="F2632" s="550"/>
      <c r="G2632" s="550"/>
      <c r="H2632" s="551"/>
      <c r="I2632" s="550"/>
    </row>
    <row r="2633" spans="1:9" x14ac:dyDescent="0.2">
      <c r="A2633" s="549"/>
      <c r="C2633" s="548"/>
      <c r="D2633" s="550"/>
      <c r="E2633" s="550"/>
      <c r="F2633" s="550"/>
      <c r="G2633" s="550"/>
      <c r="H2633" s="551"/>
      <c r="I2633" s="550"/>
    </row>
    <row r="2634" spans="1:9" x14ac:dyDescent="0.2">
      <c r="A2634" s="549"/>
      <c r="C2634" s="548"/>
      <c r="D2634" s="550"/>
      <c r="E2634" s="550"/>
      <c r="F2634" s="550"/>
      <c r="G2634" s="550"/>
      <c r="H2634" s="551"/>
      <c r="I2634" s="550"/>
    </row>
    <row r="2635" spans="1:9" x14ac:dyDescent="0.2">
      <c r="A2635" s="549"/>
      <c r="C2635" s="548"/>
      <c r="D2635" s="550"/>
      <c r="E2635" s="550"/>
      <c r="F2635" s="550"/>
      <c r="G2635" s="550"/>
      <c r="H2635" s="551"/>
      <c r="I2635" s="550"/>
    </row>
    <row r="2636" spans="1:9" x14ac:dyDescent="0.2">
      <c r="A2636" s="549"/>
      <c r="C2636" s="548"/>
      <c r="D2636" s="550"/>
      <c r="E2636" s="550"/>
      <c r="F2636" s="550"/>
      <c r="G2636" s="550"/>
      <c r="H2636" s="551"/>
      <c r="I2636" s="550"/>
    </row>
    <row r="2637" spans="1:9" x14ac:dyDescent="0.2">
      <c r="A2637" s="549"/>
      <c r="C2637" s="548"/>
      <c r="D2637" s="550"/>
      <c r="E2637" s="550"/>
      <c r="F2637" s="550"/>
      <c r="G2637" s="550"/>
      <c r="H2637" s="551"/>
      <c r="I2637" s="550"/>
    </row>
    <row r="2638" spans="1:9" x14ac:dyDescent="0.2">
      <c r="A2638" s="549"/>
      <c r="C2638" s="548"/>
      <c r="D2638" s="550"/>
      <c r="E2638" s="550"/>
      <c r="F2638" s="550"/>
      <c r="G2638" s="550"/>
      <c r="H2638" s="551"/>
      <c r="I2638" s="550"/>
    </row>
    <row r="2639" spans="1:9" x14ac:dyDescent="0.2">
      <c r="A2639" s="549"/>
      <c r="C2639" s="548"/>
      <c r="D2639" s="550"/>
      <c r="E2639" s="550"/>
      <c r="F2639" s="550"/>
      <c r="G2639" s="550"/>
      <c r="H2639" s="551"/>
      <c r="I2639" s="550"/>
    </row>
    <row r="2640" spans="1:9" x14ac:dyDescent="0.2">
      <c r="A2640" s="549"/>
      <c r="C2640" s="548"/>
      <c r="D2640" s="550"/>
      <c r="E2640" s="550"/>
      <c r="F2640" s="550"/>
      <c r="G2640" s="550"/>
      <c r="H2640" s="551"/>
      <c r="I2640" s="550"/>
    </row>
    <row r="2641" spans="1:9" x14ac:dyDescent="0.2">
      <c r="A2641" s="549"/>
      <c r="C2641" s="548"/>
      <c r="D2641" s="550"/>
      <c r="E2641" s="550"/>
      <c r="F2641" s="550"/>
      <c r="G2641" s="550"/>
      <c r="H2641" s="551"/>
      <c r="I2641" s="550"/>
    </row>
    <row r="2642" spans="1:9" x14ac:dyDescent="0.2">
      <c r="A2642" s="549"/>
      <c r="C2642" s="548"/>
      <c r="D2642" s="550"/>
      <c r="E2642" s="550"/>
      <c r="F2642" s="550"/>
      <c r="G2642" s="550"/>
      <c r="H2642" s="551"/>
      <c r="I2642" s="550"/>
    </row>
    <row r="2643" spans="1:9" x14ac:dyDescent="0.2">
      <c r="A2643" s="549"/>
      <c r="C2643" s="548"/>
      <c r="D2643" s="550"/>
      <c r="E2643" s="550"/>
      <c r="F2643" s="550"/>
      <c r="G2643" s="550"/>
      <c r="H2643" s="551"/>
      <c r="I2643" s="550"/>
    </row>
    <row r="2644" spans="1:9" x14ac:dyDescent="0.2">
      <c r="A2644" s="549"/>
      <c r="C2644" s="548"/>
      <c r="D2644" s="550"/>
      <c r="E2644" s="550"/>
      <c r="F2644" s="550"/>
      <c r="G2644" s="550"/>
      <c r="H2644" s="551"/>
      <c r="I2644" s="550"/>
    </row>
    <row r="2645" spans="1:9" x14ac:dyDescent="0.2">
      <c r="A2645" s="549"/>
      <c r="C2645" s="548"/>
      <c r="D2645" s="550"/>
      <c r="E2645" s="550"/>
      <c r="F2645" s="550"/>
      <c r="G2645" s="550"/>
      <c r="H2645" s="551"/>
      <c r="I2645" s="550"/>
    </row>
    <row r="2646" spans="1:9" x14ac:dyDescent="0.2">
      <c r="A2646" s="549"/>
      <c r="C2646" s="548"/>
      <c r="D2646" s="550"/>
      <c r="E2646" s="550"/>
      <c r="F2646" s="550"/>
      <c r="G2646" s="550"/>
      <c r="H2646" s="551"/>
      <c r="I2646" s="550"/>
    </row>
    <row r="2647" spans="1:9" x14ac:dyDescent="0.2">
      <c r="A2647" s="549"/>
      <c r="C2647" s="548"/>
      <c r="D2647" s="550"/>
      <c r="E2647" s="550"/>
      <c r="F2647" s="550"/>
      <c r="G2647" s="550"/>
      <c r="H2647" s="551"/>
      <c r="I2647" s="550"/>
    </row>
    <row r="2648" spans="1:9" x14ac:dyDescent="0.2">
      <c r="A2648" s="549"/>
      <c r="C2648" s="548"/>
      <c r="D2648" s="550"/>
      <c r="E2648" s="550"/>
      <c r="F2648" s="550"/>
      <c r="G2648" s="550"/>
      <c r="H2648" s="551"/>
      <c r="I2648" s="550"/>
    </row>
    <row r="2649" spans="1:9" x14ac:dyDescent="0.2">
      <c r="A2649" s="549"/>
      <c r="C2649" s="548"/>
      <c r="D2649" s="550"/>
      <c r="E2649" s="550"/>
      <c r="F2649" s="550"/>
      <c r="G2649" s="550"/>
      <c r="H2649" s="551"/>
      <c r="I2649" s="550"/>
    </row>
    <row r="2650" spans="1:9" x14ac:dyDescent="0.2">
      <c r="A2650" s="549"/>
      <c r="C2650" s="548"/>
      <c r="D2650" s="550"/>
      <c r="E2650" s="550"/>
      <c r="F2650" s="550"/>
      <c r="G2650" s="550"/>
      <c r="H2650" s="551"/>
      <c r="I2650" s="550"/>
    </row>
    <row r="2651" spans="1:9" x14ac:dyDescent="0.2">
      <c r="A2651" s="549"/>
      <c r="C2651" s="548"/>
      <c r="D2651" s="550"/>
      <c r="E2651" s="550"/>
      <c r="F2651" s="550"/>
      <c r="G2651" s="550"/>
      <c r="H2651" s="551"/>
      <c r="I2651" s="550"/>
    </row>
    <row r="2652" spans="1:9" x14ac:dyDescent="0.2">
      <c r="A2652" s="549"/>
      <c r="C2652" s="548"/>
      <c r="D2652" s="550"/>
      <c r="E2652" s="550"/>
      <c r="F2652" s="550"/>
      <c r="G2652" s="550"/>
      <c r="H2652" s="551"/>
      <c r="I2652" s="550"/>
    </row>
    <row r="2653" spans="1:9" x14ac:dyDescent="0.2">
      <c r="A2653" s="549"/>
      <c r="C2653" s="548"/>
      <c r="D2653" s="550"/>
      <c r="E2653" s="550"/>
      <c r="F2653" s="550"/>
      <c r="G2653" s="550"/>
      <c r="H2653" s="551"/>
      <c r="I2653" s="550"/>
    </row>
    <row r="2654" spans="1:9" x14ac:dyDescent="0.2">
      <c r="A2654" s="549"/>
      <c r="C2654" s="548"/>
      <c r="D2654" s="550"/>
      <c r="E2654" s="550"/>
      <c r="F2654" s="550"/>
      <c r="G2654" s="550"/>
      <c r="H2654" s="551"/>
      <c r="I2654" s="550"/>
    </row>
    <row r="2655" spans="1:9" x14ac:dyDescent="0.2">
      <c r="A2655" s="549"/>
      <c r="C2655" s="548"/>
      <c r="D2655" s="550"/>
      <c r="E2655" s="550"/>
      <c r="F2655" s="550"/>
      <c r="G2655" s="550"/>
      <c r="H2655" s="551"/>
      <c r="I2655" s="550"/>
    </row>
    <row r="2656" spans="1:9" x14ac:dyDescent="0.2">
      <c r="A2656" s="549"/>
      <c r="C2656" s="548"/>
      <c r="D2656" s="550"/>
      <c r="E2656" s="550"/>
      <c r="F2656" s="550"/>
      <c r="G2656" s="550"/>
      <c r="H2656" s="551"/>
      <c r="I2656" s="550"/>
    </row>
    <row r="2657" spans="1:9" x14ac:dyDescent="0.2">
      <c r="A2657" s="549"/>
      <c r="C2657" s="548"/>
      <c r="D2657" s="550"/>
      <c r="E2657" s="550"/>
      <c r="F2657" s="550"/>
      <c r="G2657" s="550"/>
      <c r="H2657" s="551"/>
      <c r="I2657" s="550"/>
    </row>
    <row r="2658" spans="1:9" x14ac:dyDescent="0.2">
      <c r="A2658" s="549"/>
      <c r="C2658" s="548"/>
      <c r="D2658" s="550"/>
      <c r="E2658" s="550"/>
      <c r="F2658" s="550"/>
      <c r="G2658" s="550"/>
      <c r="H2658" s="551"/>
      <c r="I2658" s="550"/>
    </row>
    <row r="2659" spans="1:9" x14ac:dyDescent="0.2">
      <c r="A2659" s="549"/>
      <c r="C2659" s="548"/>
      <c r="D2659" s="550"/>
      <c r="E2659" s="550"/>
      <c r="F2659" s="550"/>
      <c r="G2659" s="550"/>
      <c r="H2659" s="551"/>
      <c r="I2659" s="550"/>
    </row>
    <row r="2660" spans="1:9" x14ac:dyDescent="0.2">
      <c r="A2660" s="549"/>
      <c r="C2660" s="548"/>
      <c r="D2660" s="550"/>
      <c r="E2660" s="550"/>
      <c r="F2660" s="550"/>
      <c r="G2660" s="550"/>
      <c r="H2660" s="551"/>
      <c r="I2660" s="550"/>
    </row>
    <row r="2661" spans="1:9" x14ac:dyDescent="0.2">
      <c r="A2661" s="549"/>
      <c r="C2661" s="548"/>
      <c r="D2661" s="550"/>
      <c r="E2661" s="550"/>
      <c r="F2661" s="550"/>
      <c r="G2661" s="550"/>
      <c r="H2661" s="551"/>
      <c r="I2661" s="550"/>
    </row>
    <row r="2662" spans="1:9" x14ac:dyDescent="0.2">
      <c r="A2662" s="549"/>
      <c r="C2662" s="548"/>
      <c r="D2662" s="550"/>
      <c r="E2662" s="550"/>
      <c r="F2662" s="550"/>
      <c r="G2662" s="550"/>
      <c r="H2662" s="551"/>
      <c r="I2662" s="550"/>
    </row>
    <row r="2663" spans="1:9" x14ac:dyDescent="0.2">
      <c r="A2663" s="549"/>
      <c r="C2663" s="548"/>
      <c r="D2663" s="550"/>
      <c r="E2663" s="550"/>
      <c r="F2663" s="550"/>
      <c r="G2663" s="550"/>
      <c r="H2663" s="551"/>
      <c r="I2663" s="550"/>
    </row>
    <row r="2664" spans="1:9" x14ac:dyDescent="0.2">
      <c r="A2664" s="549"/>
      <c r="C2664" s="548"/>
      <c r="D2664" s="550"/>
      <c r="E2664" s="550"/>
      <c r="F2664" s="550"/>
      <c r="G2664" s="550"/>
      <c r="H2664" s="551"/>
      <c r="I2664" s="550"/>
    </row>
    <row r="2665" spans="1:9" x14ac:dyDescent="0.2">
      <c r="A2665" s="549"/>
      <c r="C2665" s="548"/>
      <c r="D2665" s="550"/>
      <c r="E2665" s="550"/>
      <c r="F2665" s="550"/>
      <c r="G2665" s="550"/>
      <c r="H2665" s="551"/>
      <c r="I2665" s="550"/>
    </row>
    <row r="2666" spans="1:9" x14ac:dyDescent="0.2">
      <c r="A2666" s="549"/>
      <c r="C2666" s="548"/>
      <c r="D2666" s="550"/>
      <c r="E2666" s="550"/>
      <c r="F2666" s="550"/>
      <c r="G2666" s="550"/>
      <c r="H2666" s="551"/>
      <c r="I2666" s="550"/>
    </row>
    <row r="2667" spans="1:9" x14ac:dyDescent="0.2">
      <c r="A2667" s="549"/>
      <c r="C2667" s="548"/>
      <c r="D2667" s="550"/>
      <c r="E2667" s="550"/>
      <c r="F2667" s="550"/>
      <c r="G2667" s="550"/>
      <c r="H2667" s="551"/>
      <c r="I2667" s="550"/>
    </row>
    <row r="2668" spans="1:9" x14ac:dyDescent="0.2">
      <c r="A2668" s="549"/>
      <c r="C2668" s="548"/>
      <c r="D2668" s="550"/>
      <c r="E2668" s="550"/>
      <c r="F2668" s="550"/>
      <c r="G2668" s="550"/>
      <c r="H2668" s="551"/>
      <c r="I2668" s="550"/>
    </row>
    <row r="2669" spans="1:9" x14ac:dyDescent="0.2">
      <c r="A2669" s="549"/>
      <c r="C2669" s="548"/>
      <c r="D2669" s="550"/>
      <c r="E2669" s="550"/>
      <c r="F2669" s="550"/>
      <c r="G2669" s="550"/>
      <c r="H2669" s="551"/>
      <c r="I2669" s="550"/>
    </row>
    <row r="2670" spans="1:9" x14ac:dyDescent="0.2">
      <c r="A2670" s="549"/>
      <c r="C2670" s="548"/>
      <c r="D2670" s="550"/>
      <c r="E2670" s="550"/>
      <c r="F2670" s="550"/>
      <c r="G2670" s="550"/>
      <c r="H2670" s="551"/>
      <c r="I2670" s="550"/>
    </row>
    <row r="2671" spans="1:9" x14ac:dyDescent="0.2">
      <c r="A2671" s="549"/>
      <c r="C2671" s="548"/>
      <c r="D2671" s="550"/>
      <c r="E2671" s="550"/>
      <c r="F2671" s="550"/>
      <c r="G2671" s="550"/>
      <c r="H2671" s="551"/>
      <c r="I2671" s="550"/>
    </row>
    <row r="2672" spans="1:9" x14ac:dyDescent="0.2">
      <c r="A2672" s="549"/>
      <c r="C2672" s="548"/>
      <c r="D2672" s="550"/>
      <c r="E2672" s="550"/>
      <c r="F2672" s="550"/>
      <c r="G2672" s="550"/>
      <c r="H2672" s="551"/>
      <c r="I2672" s="550"/>
    </row>
    <row r="2673" spans="1:9" x14ac:dyDescent="0.2">
      <c r="A2673" s="549"/>
      <c r="C2673" s="548"/>
      <c r="D2673" s="550"/>
      <c r="E2673" s="550"/>
      <c r="F2673" s="550"/>
      <c r="G2673" s="550"/>
      <c r="H2673" s="551"/>
      <c r="I2673" s="550"/>
    </row>
    <row r="2674" spans="1:9" x14ac:dyDescent="0.2">
      <c r="A2674" s="549"/>
      <c r="C2674" s="548"/>
      <c r="D2674" s="550"/>
      <c r="E2674" s="550"/>
      <c r="F2674" s="550"/>
      <c r="G2674" s="550"/>
      <c r="H2674" s="551"/>
      <c r="I2674" s="550"/>
    </row>
    <row r="2675" spans="1:9" x14ac:dyDescent="0.2">
      <c r="A2675" s="549"/>
      <c r="C2675" s="548"/>
      <c r="D2675" s="550"/>
      <c r="E2675" s="550"/>
      <c r="F2675" s="550"/>
      <c r="G2675" s="550"/>
      <c r="H2675" s="551"/>
      <c r="I2675" s="550"/>
    </row>
    <row r="2676" spans="1:9" x14ac:dyDescent="0.2">
      <c r="A2676" s="549"/>
      <c r="C2676" s="548"/>
      <c r="D2676" s="550"/>
      <c r="E2676" s="550"/>
      <c r="F2676" s="550"/>
      <c r="G2676" s="550"/>
      <c r="H2676" s="551"/>
      <c r="I2676" s="550"/>
    </row>
    <row r="2677" spans="1:9" x14ac:dyDescent="0.2">
      <c r="A2677" s="549"/>
      <c r="C2677" s="548"/>
      <c r="D2677" s="550"/>
      <c r="E2677" s="550"/>
      <c r="F2677" s="550"/>
      <c r="G2677" s="550"/>
      <c r="H2677" s="551"/>
      <c r="I2677" s="550"/>
    </row>
    <row r="2678" spans="1:9" x14ac:dyDescent="0.2">
      <c r="A2678" s="549"/>
      <c r="C2678" s="548"/>
      <c r="D2678" s="550"/>
      <c r="E2678" s="550"/>
      <c r="F2678" s="550"/>
      <c r="G2678" s="550"/>
      <c r="H2678" s="551"/>
      <c r="I2678" s="550"/>
    </row>
    <row r="2679" spans="1:9" x14ac:dyDescent="0.2">
      <c r="A2679" s="549"/>
      <c r="C2679" s="548"/>
      <c r="D2679" s="550"/>
      <c r="E2679" s="550"/>
      <c r="F2679" s="550"/>
      <c r="G2679" s="550"/>
      <c r="H2679" s="551"/>
      <c r="I2679" s="550"/>
    </row>
    <row r="2680" spans="1:9" x14ac:dyDescent="0.2">
      <c r="A2680" s="549"/>
      <c r="C2680" s="548"/>
      <c r="D2680" s="550"/>
      <c r="E2680" s="550"/>
      <c r="F2680" s="550"/>
      <c r="G2680" s="550"/>
      <c r="H2680" s="551"/>
      <c r="I2680" s="550"/>
    </row>
    <row r="2681" spans="1:9" x14ac:dyDescent="0.2">
      <c r="A2681" s="549"/>
      <c r="C2681" s="548"/>
      <c r="D2681" s="550"/>
      <c r="E2681" s="550"/>
      <c r="F2681" s="550"/>
      <c r="G2681" s="550"/>
      <c r="H2681" s="551"/>
      <c r="I2681" s="550"/>
    </row>
    <row r="2682" spans="1:9" x14ac:dyDescent="0.2">
      <c r="A2682" s="549"/>
      <c r="C2682" s="548"/>
      <c r="D2682" s="550"/>
      <c r="E2682" s="550"/>
      <c r="F2682" s="550"/>
      <c r="G2682" s="550"/>
      <c r="H2682" s="551"/>
      <c r="I2682" s="550"/>
    </row>
    <row r="2683" spans="1:9" x14ac:dyDescent="0.2">
      <c r="A2683" s="549"/>
      <c r="C2683" s="548"/>
      <c r="D2683" s="550"/>
      <c r="E2683" s="550"/>
      <c r="F2683" s="550"/>
      <c r="G2683" s="550"/>
      <c r="H2683" s="551"/>
      <c r="I2683" s="550"/>
    </row>
    <row r="2684" spans="1:9" x14ac:dyDescent="0.2">
      <c r="A2684" s="549"/>
      <c r="C2684" s="548"/>
      <c r="D2684" s="550"/>
      <c r="E2684" s="550"/>
      <c r="F2684" s="550"/>
      <c r="G2684" s="550"/>
      <c r="H2684" s="551"/>
      <c r="I2684" s="550"/>
    </row>
    <row r="2685" spans="1:9" x14ac:dyDescent="0.2">
      <c r="A2685" s="549"/>
      <c r="C2685" s="548"/>
      <c r="D2685" s="550"/>
      <c r="E2685" s="550"/>
      <c r="F2685" s="550"/>
      <c r="G2685" s="550"/>
      <c r="H2685" s="551"/>
      <c r="I2685" s="550"/>
    </row>
    <row r="2686" spans="1:9" x14ac:dyDescent="0.2">
      <c r="A2686" s="549"/>
      <c r="C2686" s="548"/>
      <c r="D2686" s="550"/>
      <c r="E2686" s="550"/>
      <c r="F2686" s="550"/>
      <c r="G2686" s="550"/>
      <c r="H2686" s="551"/>
      <c r="I2686" s="550"/>
    </row>
    <row r="2687" spans="1:9" x14ac:dyDescent="0.2">
      <c r="A2687" s="549"/>
      <c r="C2687" s="548"/>
      <c r="D2687" s="550"/>
      <c r="E2687" s="550"/>
      <c r="F2687" s="550"/>
      <c r="G2687" s="550"/>
      <c r="H2687" s="551"/>
      <c r="I2687" s="550"/>
    </row>
    <row r="2688" spans="1:9" x14ac:dyDescent="0.2">
      <c r="A2688" s="549"/>
      <c r="C2688" s="548"/>
      <c r="D2688" s="550"/>
      <c r="E2688" s="550"/>
      <c r="F2688" s="550"/>
      <c r="G2688" s="550"/>
      <c r="H2688" s="551"/>
      <c r="I2688" s="550"/>
    </row>
    <row r="2689" spans="1:9" x14ac:dyDescent="0.2">
      <c r="A2689" s="549"/>
      <c r="C2689" s="548"/>
      <c r="D2689" s="550"/>
      <c r="E2689" s="550"/>
      <c r="F2689" s="550"/>
      <c r="G2689" s="550"/>
      <c r="H2689" s="551"/>
      <c r="I2689" s="550"/>
    </row>
    <row r="2690" spans="1:9" x14ac:dyDescent="0.2">
      <c r="A2690" s="549"/>
      <c r="C2690" s="548"/>
      <c r="D2690" s="550"/>
      <c r="E2690" s="550"/>
      <c r="F2690" s="550"/>
      <c r="G2690" s="550"/>
      <c r="H2690" s="551"/>
      <c r="I2690" s="550"/>
    </row>
    <row r="2691" spans="1:9" x14ac:dyDescent="0.2">
      <c r="A2691" s="549"/>
      <c r="C2691" s="548"/>
      <c r="D2691" s="550"/>
      <c r="E2691" s="550"/>
      <c r="F2691" s="550"/>
      <c r="G2691" s="550"/>
      <c r="H2691" s="551"/>
      <c r="I2691" s="550"/>
    </row>
    <row r="2692" spans="1:9" x14ac:dyDescent="0.2">
      <c r="A2692" s="549"/>
      <c r="C2692" s="548"/>
      <c r="D2692" s="550"/>
      <c r="E2692" s="550"/>
      <c r="F2692" s="550"/>
      <c r="G2692" s="550"/>
      <c r="H2692" s="551"/>
      <c r="I2692" s="550"/>
    </row>
    <row r="2693" spans="1:9" x14ac:dyDescent="0.2">
      <c r="A2693" s="549"/>
      <c r="C2693" s="548"/>
      <c r="D2693" s="550"/>
      <c r="E2693" s="550"/>
      <c r="F2693" s="550"/>
      <c r="G2693" s="550"/>
      <c r="H2693" s="551"/>
      <c r="I2693" s="550"/>
    </row>
    <row r="2694" spans="1:9" x14ac:dyDescent="0.2">
      <c r="A2694" s="549"/>
      <c r="C2694" s="548"/>
      <c r="D2694" s="550"/>
      <c r="E2694" s="550"/>
      <c r="F2694" s="550"/>
      <c r="G2694" s="550"/>
      <c r="H2694" s="551"/>
      <c r="I2694" s="550"/>
    </row>
    <row r="2695" spans="1:9" x14ac:dyDescent="0.2">
      <c r="A2695" s="549"/>
      <c r="C2695" s="548"/>
      <c r="D2695" s="550"/>
      <c r="E2695" s="550"/>
      <c r="F2695" s="550"/>
      <c r="G2695" s="550"/>
      <c r="H2695" s="551"/>
      <c r="I2695" s="550"/>
    </row>
    <row r="2696" spans="1:9" x14ac:dyDescent="0.2">
      <c r="A2696" s="549"/>
      <c r="C2696" s="548"/>
      <c r="D2696" s="550"/>
      <c r="E2696" s="550"/>
      <c r="F2696" s="550"/>
      <c r="G2696" s="550"/>
      <c r="H2696" s="551"/>
      <c r="I2696" s="550"/>
    </row>
    <row r="2697" spans="1:9" x14ac:dyDescent="0.2">
      <c r="A2697" s="549"/>
      <c r="C2697" s="548"/>
      <c r="D2697" s="550"/>
      <c r="E2697" s="550"/>
      <c r="F2697" s="550"/>
      <c r="G2697" s="550"/>
      <c r="H2697" s="551"/>
      <c r="I2697" s="550"/>
    </row>
    <row r="2698" spans="1:9" x14ac:dyDescent="0.2">
      <c r="A2698" s="549"/>
      <c r="C2698" s="548"/>
      <c r="D2698" s="550"/>
      <c r="E2698" s="550"/>
      <c r="F2698" s="550"/>
      <c r="G2698" s="550"/>
      <c r="H2698" s="551"/>
      <c r="I2698" s="550"/>
    </row>
    <row r="2699" spans="1:9" x14ac:dyDescent="0.2">
      <c r="A2699" s="549"/>
      <c r="C2699" s="548"/>
      <c r="D2699" s="550"/>
      <c r="E2699" s="550"/>
      <c r="F2699" s="550"/>
      <c r="G2699" s="550"/>
      <c r="H2699" s="551"/>
      <c r="I2699" s="550"/>
    </row>
    <row r="2700" spans="1:9" x14ac:dyDescent="0.2">
      <c r="A2700" s="549"/>
      <c r="C2700" s="548"/>
      <c r="D2700" s="550"/>
      <c r="E2700" s="550"/>
      <c r="F2700" s="550"/>
      <c r="G2700" s="550"/>
      <c r="H2700" s="551"/>
      <c r="I2700" s="550"/>
    </row>
    <row r="2701" spans="1:9" x14ac:dyDescent="0.2">
      <c r="A2701" s="549"/>
      <c r="C2701" s="548"/>
      <c r="D2701" s="550"/>
      <c r="E2701" s="550"/>
      <c r="F2701" s="550"/>
      <c r="G2701" s="550"/>
      <c r="H2701" s="551"/>
      <c r="I2701" s="550"/>
    </row>
    <row r="2702" spans="1:9" x14ac:dyDescent="0.2">
      <c r="A2702" s="549"/>
      <c r="C2702" s="548"/>
      <c r="D2702" s="550"/>
      <c r="E2702" s="550"/>
      <c r="F2702" s="550"/>
      <c r="G2702" s="550"/>
      <c r="H2702" s="551"/>
      <c r="I2702" s="550"/>
    </row>
    <row r="2703" spans="1:9" x14ac:dyDescent="0.2">
      <c r="A2703" s="549"/>
      <c r="C2703" s="548"/>
      <c r="D2703" s="550"/>
      <c r="E2703" s="550"/>
      <c r="F2703" s="550"/>
      <c r="G2703" s="550"/>
      <c r="H2703" s="551"/>
      <c r="I2703" s="550"/>
    </row>
    <row r="2704" spans="1:9" x14ac:dyDescent="0.2">
      <c r="A2704" s="549"/>
      <c r="C2704" s="548"/>
      <c r="D2704" s="550"/>
      <c r="E2704" s="550"/>
      <c r="F2704" s="550"/>
      <c r="G2704" s="550"/>
      <c r="H2704" s="551"/>
      <c r="I2704" s="550"/>
    </row>
    <row r="2705" spans="1:9" x14ac:dyDescent="0.2">
      <c r="A2705" s="549"/>
      <c r="C2705" s="548"/>
      <c r="D2705" s="550"/>
      <c r="E2705" s="550"/>
      <c r="F2705" s="550"/>
      <c r="G2705" s="550"/>
      <c r="H2705" s="551"/>
      <c r="I2705" s="550"/>
    </row>
    <row r="2706" spans="1:9" x14ac:dyDescent="0.2">
      <c r="A2706" s="549"/>
      <c r="C2706" s="548"/>
      <c r="D2706" s="550"/>
      <c r="E2706" s="550"/>
      <c r="F2706" s="550"/>
      <c r="G2706" s="550"/>
      <c r="H2706" s="551"/>
      <c r="I2706" s="550"/>
    </row>
    <row r="2707" spans="1:9" x14ac:dyDescent="0.2">
      <c r="A2707" s="549"/>
      <c r="C2707" s="548"/>
      <c r="D2707" s="550"/>
      <c r="E2707" s="550"/>
      <c r="F2707" s="550"/>
      <c r="G2707" s="550"/>
      <c r="H2707" s="551"/>
      <c r="I2707" s="550"/>
    </row>
    <row r="2708" spans="1:9" x14ac:dyDescent="0.2">
      <c r="A2708" s="549"/>
      <c r="C2708" s="548"/>
      <c r="D2708" s="550"/>
      <c r="E2708" s="550"/>
      <c r="F2708" s="550"/>
      <c r="G2708" s="550"/>
      <c r="H2708" s="551"/>
      <c r="I2708" s="550"/>
    </row>
    <row r="2709" spans="1:9" x14ac:dyDescent="0.2">
      <c r="A2709" s="549"/>
      <c r="C2709" s="548"/>
      <c r="D2709" s="550"/>
      <c r="E2709" s="550"/>
      <c r="F2709" s="550"/>
      <c r="G2709" s="550"/>
      <c r="H2709" s="551"/>
      <c r="I2709" s="550"/>
    </row>
    <row r="2710" spans="1:9" x14ac:dyDescent="0.2">
      <c r="A2710" s="549"/>
      <c r="C2710" s="548"/>
      <c r="D2710" s="550"/>
      <c r="E2710" s="550"/>
      <c r="F2710" s="550"/>
      <c r="G2710" s="550"/>
      <c r="H2710" s="551"/>
      <c r="I2710" s="550"/>
    </row>
    <row r="2711" spans="1:9" x14ac:dyDescent="0.2">
      <c r="A2711" s="549"/>
      <c r="C2711" s="548"/>
      <c r="D2711" s="550"/>
      <c r="E2711" s="550"/>
      <c r="F2711" s="550"/>
      <c r="G2711" s="550"/>
      <c r="H2711" s="551"/>
      <c r="I2711" s="550"/>
    </row>
    <row r="2712" spans="1:9" x14ac:dyDescent="0.2">
      <c r="A2712" s="549"/>
      <c r="C2712" s="548"/>
      <c r="D2712" s="550"/>
      <c r="E2712" s="550"/>
      <c r="F2712" s="550"/>
      <c r="G2712" s="550"/>
      <c r="H2712" s="551"/>
      <c r="I2712" s="550"/>
    </row>
    <row r="2713" spans="1:9" x14ac:dyDescent="0.2">
      <c r="A2713" s="549"/>
      <c r="C2713" s="548"/>
      <c r="D2713" s="550"/>
      <c r="E2713" s="550"/>
      <c r="F2713" s="550"/>
      <c r="G2713" s="550"/>
      <c r="H2713" s="551"/>
      <c r="I2713" s="550"/>
    </row>
    <row r="2714" spans="1:9" x14ac:dyDescent="0.2">
      <c r="A2714" s="549"/>
      <c r="C2714" s="548"/>
      <c r="D2714" s="550"/>
      <c r="E2714" s="550"/>
      <c r="F2714" s="550"/>
      <c r="G2714" s="550"/>
      <c r="H2714" s="551"/>
      <c r="I2714" s="550"/>
    </row>
    <row r="2715" spans="1:9" x14ac:dyDescent="0.2">
      <c r="A2715" s="549"/>
      <c r="C2715" s="548"/>
      <c r="D2715" s="550"/>
      <c r="E2715" s="550"/>
      <c r="F2715" s="550"/>
      <c r="G2715" s="550"/>
      <c r="H2715" s="551"/>
      <c r="I2715" s="550"/>
    </row>
    <row r="2716" spans="1:9" x14ac:dyDescent="0.2">
      <c r="A2716" s="549"/>
      <c r="C2716" s="548"/>
      <c r="D2716" s="550"/>
      <c r="E2716" s="550"/>
      <c r="F2716" s="550"/>
      <c r="G2716" s="550"/>
      <c r="H2716" s="551"/>
      <c r="I2716" s="550"/>
    </row>
    <row r="2717" spans="1:9" x14ac:dyDescent="0.2">
      <c r="A2717" s="549"/>
      <c r="C2717" s="548"/>
      <c r="D2717" s="550"/>
      <c r="E2717" s="550"/>
      <c r="F2717" s="550"/>
      <c r="G2717" s="550"/>
      <c r="H2717" s="551"/>
      <c r="I2717" s="550"/>
    </row>
    <row r="2718" spans="1:9" x14ac:dyDescent="0.2">
      <c r="A2718" s="549"/>
      <c r="C2718" s="548"/>
      <c r="D2718" s="550"/>
      <c r="E2718" s="550"/>
      <c r="F2718" s="550"/>
      <c r="G2718" s="550"/>
      <c r="H2718" s="551"/>
      <c r="I2718" s="550"/>
    </row>
    <row r="2719" spans="1:9" x14ac:dyDescent="0.2">
      <c r="A2719" s="549"/>
      <c r="C2719" s="548"/>
      <c r="D2719" s="550"/>
      <c r="E2719" s="550"/>
      <c r="F2719" s="550"/>
      <c r="G2719" s="550"/>
      <c r="H2719" s="551"/>
      <c r="I2719" s="550"/>
    </row>
    <row r="2720" spans="1:9" x14ac:dyDescent="0.2">
      <c r="A2720" s="549"/>
      <c r="C2720" s="548"/>
      <c r="D2720" s="550"/>
      <c r="E2720" s="550"/>
      <c r="F2720" s="550"/>
      <c r="G2720" s="550"/>
      <c r="H2720" s="551"/>
      <c r="I2720" s="550"/>
    </row>
    <row r="2721" spans="1:9" x14ac:dyDescent="0.2">
      <c r="A2721" s="549"/>
      <c r="C2721" s="548"/>
      <c r="D2721" s="550"/>
      <c r="E2721" s="550"/>
      <c r="F2721" s="550"/>
      <c r="G2721" s="550"/>
      <c r="H2721" s="551"/>
      <c r="I2721" s="550"/>
    </row>
    <row r="2722" spans="1:9" x14ac:dyDescent="0.2">
      <c r="A2722" s="549"/>
      <c r="C2722" s="548"/>
      <c r="D2722" s="550"/>
      <c r="E2722" s="550"/>
      <c r="F2722" s="550"/>
      <c r="G2722" s="550"/>
      <c r="H2722" s="551"/>
      <c r="I2722" s="550"/>
    </row>
    <row r="2723" spans="1:9" x14ac:dyDescent="0.2">
      <c r="A2723" s="549"/>
      <c r="C2723" s="548"/>
      <c r="D2723" s="550"/>
      <c r="E2723" s="550"/>
      <c r="F2723" s="550"/>
      <c r="G2723" s="550"/>
      <c r="H2723" s="551"/>
      <c r="I2723" s="550"/>
    </row>
    <row r="2724" spans="1:9" x14ac:dyDescent="0.2">
      <c r="A2724" s="549"/>
      <c r="C2724" s="548"/>
      <c r="D2724" s="550"/>
      <c r="E2724" s="550"/>
      <c r="F2724" s="550"/>
      <c r="G2724" s="550"/>
      <c r="H2724" s="551"/>
      <c r="I2724" s="550"/>
    </row>
    <row r="2725" spans="1:9" x14ac:dyDescent="0.2">
      <c r="A2725" s="549"/>
      <c r="C2725" s="548"/>
      <c r="D2725" s="550"/>
      <c r="E2725" s="550"/>
      <c r="F2725" s="550"/>
      <c r="G2725" s="550"/>
      <c r="H2725" s="551"/>
      <c r="I2725" s="550"/>
    </row>
    <row r="2726" spans="1:9" x14ac:dyDescent="0.2">
      <c r="A2726" s="549"/>
      <c r="C2726" s="548"/>
      <c r="D2726" s="550"/>
      <c r="E2726" s="550"/>
      <c r="F2726" s="550"/>
      <c r="G2726" s="550"/>
      <c r="H2726" s="551"/>
      <c r="I2726" s="550"/>
    </row>
    <row r="2727" spans="1:9" x14ac:dyDescent="0.2">
      <c r="A2727" s="549"/>
      <c r="C2727" s="548"/>
      <c r="D2727" s="550"/>
      <c r="E2727" s="550"/>
      <c r="F2727" s="550"/>
      <c r="G2727" s="550"/>
      <c r="H2727" s="551"/>
      <c r="I2727" s="550"/>
    </row>
    <row r="2728" spans="1:9" x14ac:dyDescent="0.2">
      <c r="A2728" s="549"/>
      <c r="C2728" s="548"/>
      <c r="D2728" s="550"/>
      <c r="E2728" s="550"/>
      <c r="F2728" s="550"/>
      <c r="G2728" s="550"/>
      <c r="H2728" s="551"/>
      <c r="I2728" s="550"/>
    </row>
    <row r="2729" spans="1:9" x14ac:dyDescent="0.2">
      <c r="A2729" s="549"/>
      <c r="C2729" s="548"/>
      <c r="D2729" s="550"/>
      <c r="E2729" s="550"/>
      <c r="F2729" s="550"/>
      <c r="G2729" s="550"/>
      <c r="H2729" s="551"/>
      <c r="I2729" s="550"/>
    </row>
    <row r="2730" spans="1:9" x14ac:dyDescent="0.2">
      <c r="A2730" s="549"/>
      <c r="C2730" s="548"/>
      <c r="D2730" s="550"/>
      <c r="E2730" s="550"/>
      <c r="F2730" s="550"/>
      <c r="G2730" s="550"/>
      <c r="H2730" s="551"/>
      <c r="I2730" s="550"/>
    </row>
    <row r="2731" spans="1:9" x14ac:dyDescent="0.2">
      <c r="A2731" s="549"/>
      <c r="C2731" s="548"/>
      <c r="D2731" s="550"/>
      <c r="E2731" s="550"/>
      <c r="F2731" s="550"/>
      <c r="G2731" s="550"/>
      <c r="H2731" s="551"/>
      <c r="I2731" s="550"/>
    </row>
    <row r="2732" spans="1:9" x14ac:dyDescent="0.2">
      <c r="A2732" s="549"/>
      <c r="C2732" s="548"/>
      <c r="D2732" s="550"/>
      <c r="E2732" s="550"/>
      <c r="F2732" s="550"/>
      <c r="G2732" s="550"/>
      <c r="H2732" s="551"/>
      <c r="I2732" s="550"/>
    </row>
    <row r="2733" spans="1:9" x14ac:dyDescent="0.2">
      <c r="A2733" s="549"/>
      <c r="C2733" s="548"/>
      <c r="D2733" s="550"/>
      <c r="E2733" s="550"/>
      <c r="F2733" s="550"/>
      <c r="G2733" s="550"/>
      <c r="H2733" s="551"/>
      <c r="I2733" s="550"/>
    </row>
    <row r="2734" spans="1:9" x14ac:dyDescent="0.2">
      <c r="A2734" s="549"/>
      <c r="C2734" s="548"/>
      <c r="D2734" s="550"/>
      <c r="E2734" s="550"/>
      <c r="F2734" s="550"/>
      <c r="G2734" s="550"/>
      <c r="H2734" s="551"/>
      <c r="I2734" s="550"/>
    </row>
    <row r="2735" spans="1:9" x14ac:dyDescent="0.2">
      <c r="A2735" s="549"/>
      <c r="C2735" s="548"/>
      <c r="D2735" s="550"/>
      <c r="E2735" s="550"/>
      <c r="F2735" s="550"/>
      <c r="G2735" s="550"/>
      <c r="H2735" s="551"/>
      <c r="I2735" s="550"/>
    </row>
    <row r="2736" spans="1:9" x14ac:dyDescent="0.2">
      <c r="A2736" s="549"/>
      <c r="C2736" s="548"/>
      <c r="D2736" s="550"/>
      <c r="E2736" s="550"/>
      <c r="F2736" s="550"/>
      <c r="G2736" s="550"/>
      <c r="H2736" s="551"/>
      <c r="I2736" s="550"/>
    </row>
    <row r="2737" spans="1:9" x14ac:dyDescent="0.2">
      <c r="A2737" s="549"/>
      <c r="C2737" s="548"/>
      <c r="D2737" s="550"/>
      <c r="E2737" s="550"/>
      <c r="F2737" s="550"/>
      <c r="G2737" s="550"/>
      <c r="H2737" s="551"/>
      <c r="I2737" s="550"/>
    </row>
    <row r="2738" spans="1:9" x14ac:dyDescent="0.2">
      <c r="A2738" s="549"/>
      <c r="C2738" s="548"/>
      <c r="D2738" s="550"/>
      <c r="E2738" s="550"/>
      <c r="F2738" s="550"/>
      <c r="G2738" s="550"/>
      <c r="H2738" s="551"/>
      <c r="I2738" s="550"/>
    </row>
    <row r="2739" spans="1:9" x14ac:dyDescent="0.2">
      <c r="A2739" s="549"/>
      <c r="C2739" s="548"/>
      <c r="D2739" s="550"/>
      <c r="E2739" s="550"/>
      <c r="F2739" s="550"/>
      <c r="G2739" s="550"/>
      <c r="H2739" s="551"/>
      <c r="I2739" s="550"/>
    </row>
    <row r="2740" spans="1:9" x14ac:dyDescent="0.2">
      <c r="A2740" s="549"/>
      <c r="C2740" s="548"/>
      <c r="D2740" s="550"/>
      <c r="E2740" s="550"/>
      <c r="F2740" s="550"/>
      <c r="G2740" s="550"/>
      <c r="H2740" s="551"/>
      <c r="I2740" s="550"/>
    </row>
    <row r="2741" spans="1:9" x14ac:dyDescent="0.2">
      <c r="A2741" s="549"/>
      <c r="C2741" s="548"/>
      <c r="D2741" s="550"/>
      <c r="E2741" s="550"/>
      <c r="F2741" s="550"/>
      <c r="G2741" s="550"/>
      <c r="H2741" s="551"/>
      <c r="I2741" s="550"/>
    </row>
    <row r="2742" spans="1:9" x14ac:dyDescent="0.2">
      <c r="A2742" s="549"/>
      <c r="C2742" s="548"/>
      <c r="D2742" s="550"/>
      <c r="E2742" s="550"/>
      <c r="F2742" s="550"/>
      <c r="G2742" s="550"/>
      <c r="H2742" s="551"/>
      <c r="I2742" s="550"/>
    </row>
    <row r="2743" spans="1:9" x14ac:dyDescent="0.2">
      <c r="A2743" s="549"/>
      <c r="C2743" s="548"/>
      <c r="D2743" s="550"/>
      <c r="E2743" s="550"/>
      <c r="F2743" s="550"/>
      <c r="G2743" s="550"/>
      <c r="H2743" s="551"/>
      <c r="I2743" s="550"/>
    </row>
    <row r="2744" spans="1:9" x14ac:dyDescent="0.2">
      <c r="A2744" s="549"/>
      <c r="C2744" s="548"/>
      <c r="D2744" s="550"/>
      <c r="E2744" s="550"/>
      <c r="F2744" s="550"/>
      <c r="G2744" s="550"/>
      <c r="H2744" s="551"/>
      <c r="I2744" s="550"/>
    </row>
    <row r="2745" spans="1:9" x14ac:dyDescent="0.2">
      <c r="A2745" s="549"/>
      <c r="C2745" s="548"/>
      <c r="D2745" s="550"/>
      <c r="E2745" s="550"/>
      <c r="F2745" s="550"/>
      <c r="G2745" s="550"/>
      <c r="H2745" s="551"/>
      <c r="I2745" s="550"/>
    </row>
    <row r="2746" spans="1:9" x14ac:dyDescent="0.2">
      <c r="A2746" s="549"/>
      <c r="C2746" s="548"/>
      <c r="D2746" s="550"/>
      <c r="E2746" s="550"/>
      <c r="F2746" s="550"/>
      <c r="G2746" s="550"/>
      <c r="H2746" s="551"/>
      <c r="I2746" s="550"/>
    </row>
    <row r="2747" spans="1:9" x14ac:dyDescent="0.2">
      <c r="A2747" s="549"/>
      <c r="C2747" s="548"/>
      <c r="D2747" s="550"/>
      <c r="E2747" s="550"/>
      <c r="F2747" s="550"/>
      <c r="G2747" s="550"/>
      <c r="H2747" s="551"/>
      <c r="I2747" s="550"/>
    </row>
    <row r="2748" spans="1:9" x14ac:dyDescent="0.2">
      <c r="A2748" s="549"/>
      <c r="C2748" s="548"/>
      <c r="D2748" s="550"/>
      <c r="E2748" s="550"/>
      <c r="F2748" s="550"/>
      <c r="G2748" s="550"/>
      <c r="H2748" s="551"/>
      <c r="I2748" s="550"/>
    </row>
    <row r="2749" spans="1:9" x14ac:dyDescent="0.2">
      <c r="A2749" s="549"/>
      <c r="C2749" s="548"/>
      <c r="D2749" s="550"/>
      <c r="E2749" s="550"/>
      <c r="F2749" s="550"/>
      <c r="G2749" s="550"/>
      <c r="H2749" s="551"/>
      <c r="I2749" s="550"/>
    </row>
    <row r="2750" spans="1:9" x14ac:dyDescent="0.2">
      <c r="A2750" s="549"/>
      <c r="C2750" s="548"/>
      <c r="D2750" s="550"/>
      <c r="E2750" s="550"/>
      <c r="F2750" s="550"/>
      <c r="G2750" s="550"/>
      <c r="H2750" s="551"/>
      <c r="I2750" s="550"/>
    </row>
    <row r="2751" spans="1:9" x14ac:dyDescent="0.2">
      <c r="A2751" s="549"/>
      <c r="C2751" s="548"/>
      <c r="D2751" s="550"/>
      <c r="E2751" s="550"/>
      <c r="F2751" s="550"/>
      <c r="G2751" s="550"/>
      <c r="H2751" s="551"/>
      <c r="I2751" s="550"/>
    </row>
    <row r="2752" spans="1:9" x14ac:dyDescent="0.2">
      <c r="A2752" s="549"/>
      <c r="C2752" s="548"/>
      <c r="D2752" s="550"/>
      <c r="E2752" s="550"/>
      <c r="F2752" s="550"/>
      <c r="G2752" s="550"/>
      <c r="H2752" s="551"/>
      <c r="I2752" s="550"/>
    </row>
    <row r="2753" spans="1:9" x14ac:dyDescent="0.2">
      <c r="A2753" s="549"/>
      <c r="C2753" s="548"/>
      <c r="D2753" s="550"/>
      <c r="E2753" s="550"/>
      <c r="F2753" s="550"/>
      <c r="G2753" s="550"/>
      <c r="H2753" s="551"/>
      <c r="I2753" s="550"/>
    </row>
    <row r="2754" spans="1:9" x14ac:dyDescent="0.2">
      <c r="A2754" s="549"/>
      <c r="C2754" s="548"/>
      <c r="D2754" s="550"/>
      <c r="E2754" s="550"/>
      <c r="F2754" s="550"/>
      <c r="G2754" s="550"/>
      <c r="H2754" s="551"/>
      <c r="I2754" s="550"/>
    </row>
    <row r="2755" spans="1:9" x14ac:dyDescent="0.2">
      <c r="A2755" s="549"/>
      <c r="C2755" s="548"/>
      <c r="D2755" s="550"/>
      <c r="E2755" s="550"/>
      <c r="F2755" s="550"/>
      <c r="G2755" s="550"/>
      <c r="H2755" s="551"/>
      <c r="I2755" s="550"/>
    </row>
    <row r="2756" spans="1:9" x14ac:dyDescent="0.2">
      <c r="A2756" s="549"/>
      <c r="C2756" s="548"/>
      <c r="D2756" s="550"/>
      <c r="E2756" s="550"/>
      <c r="F2756" s="550"/>
      <c r="G2756" s="550"/>
      <c r="H2756" s="551"/>
      <c r="I2756" s="550"/>
    </row>
    <row r="2757" spans="1:9" x14ac:dyDescent="0.2">
      <c r="A2757" s="549"/>
      <c r="C2757" s="548"/>
      <c r="D2757" s="550"/>
      <c r="E2757" s="550"/>
      <c r="F2757" s="550"/>
      <c r="G2757" s="550"/>
      <c r="H2757" s="551"/>
      <c r="I2757" s="550"/>
    </row>
    <row r="2758" spans="1:9" x14ac:dyDescent="0.2">
      <c r="A2758" s="549"/>
      <c r="C2758" s="548"/>
      <c r="D2758" s="550"/>
      <c r="E2758" s="550"/>
      <c r="F2758" s="550"/>
      <c r="G2758" s="550"/>
      <c r="H2758" s="551"/>
      <c r="I2758" s="550"/>
    </row>
    <row r="2759" spans="1:9" x14ac:dyDescent="0.2">
      <c r="A2759" s="549"/>
      <c r="C2759" s="548"/>
      <c r="D2759" s="550"/>
      <c r="E2759" s="550"/>
      <c r="F2759" s="550"/>
      <c r="G2759" s="550"/>
      <c r="H2759" s="551"/>
      <c r="I2759" s="550"/>
    </row>
    <row r="2760" spans="1:9" x14ac:dyDescent="0.2">
      <c r="A2760" s="549"/>
      <c r="C2760" s="548"/>
      <c r="D2760" s="550"/>
      <c r="E2760" s="550"/>
      <c r="F2760" s="550"/>
      <c r="G2760" s="550"/>
      <c r="H2760" s="551"/>
      <c r="I2760" s="550"/>
    </row>
    <row r="2761" spans="1:9" x14ac:dyDescent="0.2">
      <c r="A2761" s="549"/>
      <c r="C2761" s="548"/>
      <c r="D2761" s="550"/>
      <c r="E2761" s="550"/>
      <c r="F2761" s="550"/>
      <c r="G2761" s="550"/>
      <c r="H2761" s="551"/>
      <c r="I2761" s="550"/>
    </row>
    <row r="2762" spans="1:9" x14ac:dyDescent="0.2">
      <c r="A2762" s="549"/>
      <c r="C2762" s="548"/>
      <c r="D2762" s="550"/>
      <c r="E2762" s="550"/>
      <c r="F2762" s="550"/>
      <c r="G2762" s="550"/>
      <c r="H2762" s="551"/>
      <c r="I2762" s="550"/>
    </row>
    <row r="2763" spans="1:9" x14ac:dyDescent="0.2">
      <c r="A2763" s="549"/>
      <c r="C2763" s="548"/>
      <c r="D2763" s="550"/>
      <c r="E2763" s="550"/>
      <c r="F2763" s="550"/>
      <c r="G2763" s="550"/>
      <c r="H2763" s="551"/>
      <c r="I2763" s="550"/>
    </row>
    <row r="2764" spans="1:9" x14ac:dyDescent="0.2">
      <c r="A2764" s="549"/>
      <c r="C2764" s="548"/>
      <c r="D2764" s="550"/>
      <c r="E2764" s="550"/>
      <c r="F2764" s="550"/>
      <c r="G2764" s="550"/>
      <c r="H2764" s="551"/>
      <c r="I2764" s="550"/>
    </row>
    <row r="2765" spans="1:9" x14ac:dyDescent="0.2">
      <c r="A2765" s="549"/>
      <c r="C2765" s="548"/>
      <c r="D2765" s="550"/>
      <c r="E2765" s="550"/>
      <c r="F2765" s="550"/>
      <c r="G2765" s="550"/>
      <c r="H2765" s="551"/>
      <c r="I2765" s="550"/>
    </row>
    <row r="2766" spans="1:9" x14ac:dyDescent="0.2">
      <c r="A2766" s="549"/>
      <c r="C2766" s="548"/>
      <c r="D2766" s="550"/>
      <c r="E2766" s="550"/>
      <c r="F2766" s="550"/>
      <c r="G2766" s="550"/>
      <c r="H2766" s="551"/>
      <c r="I2766" s="550"/>
    </row>
    <row r="2767" spans="1:9" x14ac:dyDescent="0.2">
      <c r="A2767" s="549"/>
      <c r="C2767" s="548"/>
      <c r="D2767" s="550"/>
      <c r="E2767" s="550"/>
      <c r="F2767" s="550"/>
      <c r="G2767" s="550"/>
      <c r="H2767" s="551"/>
      <c r="I2767" s="550"/>
    </row>
    <row r="2768" spans="1:9" x14ac:dyDescent="0.2">
      <c r="A2768" s="549"/>
      <c r="C2768" s="548"/>
      <c r="D2768" s="550"/>
      <c r="E2768" s="550"/>
      <c r="F2768" s="550"/>
      <c r="G2768" s="550"/>
      <c r="H2768" s="551"/>
      <c r="I2768" s="550"/>
    </row>
    <row r="2769" spans="1:9" x14ac:dyDescent="0.2">
      <c r="A2769" s="549"/>
      <c r="C2769" s="548"/>
      <c r="D2769" s="550"/>
      <c r="E2769" s="550"/>
      <c r="F2769" s="550"/>
      <c r="G2769" s="550"/>
      <c r="H2769" s="551"/>
      <c r="I2769" s="550"/>
    </row>
    <row r="2770" spans="1:9" x14ac:dyDescent="0.2">
      <c r="A2770" s="549"/>
      <c r="C2770" s="548"/>
      <c r="D2770" s="550"/>
      <c r="E2770" s="550"/>
      <c r="F2770" s="550"/>
      <c r="G2770" s="550"/>
      <c r="H2770" s="551"/>
      <c r="I2770" s="550"/>
    </row>
    <row r="2771" spans="1:9" x14ac:dyDescent="0.2">
      <c r="A2771" s="549"/>
      <c r="C2771" s="548"/>
      <c r="D2771" s="550"/>
      <c r="E2771" s="550"/>
      <c r="F2771" s="550"/>
      <c r="G2771" s="550"/>
      <c r="H2771" s="551"/>
      <c r="I2771" s="550"/>
    </row>
    <row r="2772" spans="1:9" x14ac:dyDescent="0.2">
      <c r="A2772" s="549"/>
      <c r="C2772" s="548"/>
      <c r="D2772" s="550"/>
      <c r="E2772" s="550"/>
      <c r="F2772" s="550"/>
      <c r="G2772" s="550"/>
      <c r="H2772" s="551"/>
      <c r="I2772" s="550"/>
    </row>
    <row r="2773" spans="1:9" x14ac:dyDescent="0.2">
      <c r="A2773" s="549"/>
      <c r="C2773" s="548"/>
      <c r="D2773" s="550"/>
      <c r="E2773" s="550"/>
      <c r="F2773" s="550"/>
      <c r="G2773" s="550"/>
      <c r="H2773" s="551"/>
      <c r="I2773" s="550"/>
    </row>
    <row r="2774" spans="1:9" x14ac:dyDescent="0.2">
      <c r="A2774" s="549"/>
      <c r="C2774" s="548"/>
      <c r="D2774" s="550"/>
      <c r="E2774" s="550"/>
      <c r="F2774" s="550"/>
      <c r="G2774" s="550"/>
      <c r="H2774" s="551"/>
      <c r="I2774" s="550"/>
    </row>
    <row r="2775" spans="1:9" x14ac:dyDescent="0.2">
      <c r="A2775" s="549"/>
      <c r="C2775" s="548"/>
      <c r="D2775" s="550"/>
      <c r="E2775" s="550"/>
      <c r="F2775" s="550"/>
      <c r="G2775" s="550"/>
      <c r="H2775" s="551"/>
      <c r="I2775" s="550"/>
    </row>
    <row r="2776" spans="1:9" x14ac:dyDescent="0.2">
      <c r="A2776" s="549"/>
      <c r="C2776" s="548"/>
      <c r="D2776" s="550"/>
      <c r="E2776" s="550"/>
      <c r="F2776" s="550"/>
      <c r="G2776" s="550"/>
      <c r="H2776" s="551"/>
      <c r="I2776" s="550"/>
    </row>
    <row r="2777" spans="1:9" x14ac:dyDescent="0.2">
      <c r="A2777" s="549"/>
      <c r="C2777" s="548"/>
      <c r="D2777" s="550"/>
      <c r="E2777" s="550"/>
      <c r="F2777" s="550"/>
      <c r="G2777" s="550"/>
      <c r="H2777" s="551"/>
      <c r="I2777" s="550"/>
    </row>
    <row r="2778" spans="1:9" x14ac:dyDescent="0.2">
      <c r="A2778" s="549"/>
      <c r="C2778" s="548"/>
      <c r="D2778" s="550"/>
      <c r="E2778" s="550"/>
      <c r="F2778" s="550"/>
      <c r="G2778" s="550"/>
      <c r="H2778" s="551"/>
      <c r="I2778" s="550"/>
    </row>
    <row r="2779" spans="1:9" x14ac:dyDescent="0.2">
      <c r="A2779" s="549"/>
      <c r="C2779" s="548"/>
      <c r="D2779" s="550"/>
      <c r="E2779" s="550"/>
      <c r="F2779" s="550"/>
      <c r="G2779" s="550"/>
      <c r="H2779" s="551"/>
      <c r="I2779" s="550"/>
    </row>
    <row r="2780" spans="1:9" x14ac:dyDescent="0.2">
      <c r="A2780" s="549"/>
      <c r="C2780" s="548"/>
      <c r="D2780" s="550"/>
      <c r="E2780" s="550"/>
      <c r="F2780" s="550"/>
      <c r="G2780" s="550"/>
      <c r="H2780" s="551"/>
      <c r="I2780" s="550"/>
    </row>
    <row r="2781" spans="1:9" x14ac:dyDescent="0.2">
      <c r="A2781" s="549"/>
      <c r="C2781" s="548"/>
      <c r="D2781" s="550"/>
      <c r="E2781" s="550"/>
      <c r="F2781" s="550"/>
      <c r="G2781" s="550"/>
      <c r="H2781" s="551"/>
      <c r="I2781" s="550"/>
    </row>
    <row r="2782" spans="1:9" x14ac:dyDescent="0.2">
      <c r="A2782" s="549"/>
      <c r="C2782" s="548"/>
      <c r="D2782" s="550"/>
      <c r="E2782" s="550"/>
      <c r="F2782" s="550"/>
      <c r="G2782" s="550"/>
      <c r="H2782" s="551"/>
      <c r="I2782" s="550"/>
    </row>
    <row r="2783" spans="1:9" x14ac:dyDescent="0.2">
      <c r="A2783" s="549"/>
      <c r="C2783" s="548"/>
      <c r="D2783" s="550"/>
      <c r="E2783" s="550"/>
      <c r="F2783" s="550"/>
      <c r="G2783" s="550"/>
      <c r="H2783" s="551"/>
      <c r="I2783" s="550"/>
    </row>
    <row r="2784" spans="1:9" x14ac:dyDescent="0.2">
      <c r="A2784" s="549"/>
      <c r="C2784" s="548"/>
      <c r="D2784" s="550"/>
      <c r="E2784" s="550"/>
      <c r="F2784" s="550"/>
      <c r="G2784" s="550"/>
      <c r="H2784" s="551"/>
      <c r="I2784" s="550"/>
    </row>
    <row r="2785" spans="1:9" x14ac:dyDescent="0.2">
      <c r="A2785" s="549"/>
      <c r="C2785" s="548"/>
      <c r="D2785" s="550"/>
      <c r="E2785" s="550"/>
      <c r="F2785" s="550"/>
      <c r="G2785" s="550"/>
      <c r="H2785" s="551"/>
      <c r="I2785" s="550"/>
    </row>
    <row r="2786" spans="1:9" x14ac:dyDescent="0.2">
      <c r="A2786" s="549"/>
      <c r="C2786" s="548"/>
      <c r="D2786" s="550"/>
      <c r="E2786" s="550"/>
      <c r="F2786" s="550"/>
      <c r="G2786" s="550"/>
      <c r="H2786" s="551"/>
      <c r="I2786" s="550"/>
    </row>
    <row r="2787" spans="1:9" x14ac:dyDescent="0.2">
      <c r="A2787" s="549"/>
      <c r="C2787" s="548"/>
      <c r="D2787" s="550"/>
      <c r="E2787" s="550"/>
      <c r="F2787" s="550"/>
      <c r="G2787" s="550"/>
      <c r="H2787" s="551"/>
      <c r="I2787" s="550"/>
    </row>
    <row r="2788" spans="1:9" x14ac:dyDescent="0.2">
      <c r="A2788" s="549"/>
      <c r="C2788" s="548"/>
      <c r="D2788" s="550"/>
      <c r="E2788" s="550"/>
      <c r="F2788" s="550"/>
      <c r="G2788" s="550"/>
      <c r="H2788" s="551"/>
      <c r="I2788" s="550"/>
    </row>
    <row r="2789" spans="1:9" x14ac:dyDescent="0.2">
      <c r="A2789" s="549"/>
      <c r="C2789" s="548"/>
      <c r="D2789" s="550"/>
      <c r="E2789" s="550"/>
      <c r="F2789" s="550"/>
      <c r="G2789" s="550"/>
      <c r="H2789" s="551"/>
      <c r="I2789" s="550"/>
    </row>
    <row r="2790" spans="1:9" x14ac:dyDescent="0.2">
      <c r="A2790" s="549"/>
      <c r="C2790" s="548"/>
      <c r="D2790" s="550"/>
      <c r="E2790" s="550"/>
      <c r="F2790" s="550"/>
      <c r="G2790" s="550"/>
      <c r="H2790" s="551"/>
      <c r="I2790" s="550"/>
    </row>
    <row r="2791" spans="1:9" x14ac:dyDescent="0.2">
      <c r="A2791" s="549"/>
      <c r="C2791" s="548"/>
      <c r="D2791" s="550"/>
      <c r="E2791" s="550"/>
      <c r="F2791" s="550"/>
      <c r="G2791" s="550"/>
      <c r="H2791" s="551"/>
      <c r="I2791" s="550"/>
    </row>
    <row r="2792" spans="1:9" x14ac:dyDescent="0.2">
      <c r="A2792" s="549"/>
      <c r="C2792" s="548"/>
      <c r="D2792" s="550"/>
      <c r="E2792" s="550"/>
      <c r="F2792" s="550"/>
      <c r="G2792" s="550"/>
      <c r="H2792" s="551"/>
      <c r="I2792" s="550"/>
    </row>
    <row r="2793" spans="1:9" x14ac:dyDescent="0.2">
      <c r="A2793" s="549"/>
      <c r="C2793" s="548"/>
      <c r="D2793" s="550"/>
      <c r="E2793" s="550"/>
      <c r="F2793" s="550"/>
      <c r="G2793" s="550"/>
      <c r="H2793" s="551"/>
      <c r="I2793" s="550"/>
    </row>
    <row r="2794" spans="1:9" x14ac:dyDescent="0.2">
      <c r="A2794" s="549"/>
      <c r="C2794" s="548"/>
      <c r="D2794" s="550"/>
      <c r="E2794" s="550"/>
      <c r="F2794" s="550"/>
      <c r="G2794" s="550"/>
      <c r="H2794" s="551"/>
      <c r="I2794" s="550"/>
    </row>
    <row r="2795" spans="1:9" x14ac:dyDescent="0.2">
      <c r="A2795" s="549"/>
      <c r="C2795" s="548"/>
      <c r="D2795" s="550"/>
      <c r="E2795" s="550"/>
      <c r="F2795" s="550"/>
      <c r="G2795" s="550"/>
      <c r="H2795" s="551"/>
      <c r="I2795" s="550"/>
    </row>
    <row r="2796" spans="1:9" x14ac:dyDescent="0.2">
      <c r="A2796" s="549"/>
      <c r="C2796" s="548"/>
      <c r="D2796" s="550"/>
      <c r="E2796" s="550"/>
      <c r="F2796" s="550"/>
      <c r="G2796" s="550"/>
      <c r="H2796" s="551"/>
      <c r="I2796" s="550"/>
    </row>
    <row r="2797" spans="1:9" x14ac:dyDescent="0.2">
      <c r="A2797" s="549"/>
      <c r="C2797" s="548"/>
      <c r="D2797" s="550"/>
      <c r="E2797" s="550"/>
      <c r="F2797" s="550"/>
      <c r="G2797" s="550"/>
      <c r="H2797" s="551"/>
      <c r="I2797" s="550"/>
    </row>
    <row r="2798" spans="1:9" x14ac:dyDescent="0.2">
      <c r="A2798" s="549"/>
      <c r="C2798" s="548"/>
      <c r="D2798" s="550"/>
      <c r="E2798" s="550"/>
      <c r="F2798" s="550"/>
      <c r="G2798" s="550"/>
      <c r="H2798" s="551"/>
      <c r="I2798" s="550"/>
    </row>
    <row r="2799" spans="1:9" x14ac:dyDescent="0.2">
      <c r="A2799" s="549"/>
      <c r="C2799" s="548"/>
      <c r="D2799" s="550"/>
      <c r="E2799" s="550"/>
      <c r="F2799" s="550"/>
      <c r="G2799" s="550"/>
      <c r="H2799" s="551"/>
      <c r="I2799" s="550"/>
    </row>
    <row r="2800" spans="1:9" x14ac:dyDescent="0.2">
      <c r="A2800" s="549"/>
      <c r="C2800" s="548"/>
      <c r="D2800" s="550"/>
      <c r="E2800" s="550"/>
      <c r="F2800" s="550"/>
      <c r="G2800" s="550"/>
      <c r="H2800" s="551"/>
      <c r="I2800" s="550"/>
    </row>
    <row r="2801" spans="1:9" x14ac:dyDescent="0.2">
      <c r="A2801" s="549"/>
      <c r="C2801" s="548"/>
      <c r="D2801" s="550"/>
      <c r="E2801" s="550"/>
      <c r="F2801" s="550"/>
      <c r="G2801" s="550"/>
      <c r="H2801" s="551"/>
      <c r="I2801" s="550"/>
    </row>
    <row r="2802" spans="1:9" x14ac:dyDescent="0.2">
      <c r="A2802" s="549"/>
      <c r="C2802" s="548"/>
      <c r="D2802" s="550"/>
      <c r="E2802" s="550"/>
      <c r="F2802" s="550"/>
      <c r="G2802" s="550"/>
      <c r="H2802" s="551"/>
      <c r="I2802" s="550"/>
    </row>
    <row r="2803" spans="1:9" x14ac:dyDescent="0.2">
      <c r="A2803" s="549"/>
      <c r="C2803" s="548"/>
      <c r="D2803" s="550"/>
      <c r="E2803" s="550"/>
      <c r="F2803" s="550"/>
      <c r="G2803" s="550"/>
      <c r="H2803" s="551"/>
      <c r="I2803" s="550"/>
    </row>
    <row r="2804" spans="1:9" x14ac:dyDescent="0.2">
      <c r="A2804" s="549"/>
      <c r="C2804" s="548"/>
      <c r="D2804" s="550"/>
      <c r="E2804" s="550"/>
      <c r="F2804" s="550"/>
      <c r="G2804" s="550"/>
      <c r="H2804" s="551"/>
      <c r="I2804" s="550"/>
    </row>
    <row r="2805" spans="1:9" x14ac:dyDescent="0.2">
      <c r="A2805" s="549"/>
      <c r="C2805" s="548"/>
      <c r="D2805" s="550"/>
      <c r="E2805" s="550"/>
      <c r="F2805" s="550"/>
      <c r="G2805" s="550"/>
      <c r="H2805" s="551"/>
      <c r="I2805" s="550"/>
    </row>
    <row r="2806" spans="1:9" x14ac:dyDescent="0.2">
      <c r="A2806" s="549"/>
      <c r="C2806" s="548"/>
      <c r="D2806" s="550"/>
      <c r="E2806" s="550"/>
      <c r="F2806" s="550"/>
      <c r="G2806" s="550"/>
      <c r="H2806" s="551"/>
      <c r="I2806" s="550"/>
    </row>
    <row r="2807" spans="1:9" x14ac:dyDescent="0.2">
      <c r="A2807" s="549"/>
      <c r="C2807" s="548"/>
      <c r="D2807" s="550"/>
      <c r="E2807" s="550"/>
      <c r="F2807" s="550"/>
      <c r="G2807" s="550"/>
      <c r="H2807" s="551"/>
      <c r="I2807" s="550"/>
    </row>
    <row r="2808" spans="1:9" x14ac:dyDescent="0.2">
      <c r="A2808" s="549"/>
      <c r="C2808" s="548"/>
      <c r="D2808" s="550"/>
      <c r="E2808" s="550"/>
      <c r="F2808" s="550"/>
      <c r="G2808" s="550"/>
      <c r="H2808" s="551"/>
      <c r="I2808" s="550"/>
    </row>
    <row r="2809" spans="1:9" x14ac:dyDescent="0.2">
      <c r="A2809" s="549"/>
      <c r="C2809" s="548"/>
      <c r="D2809" s="550"/>
      <c r="E2809" s="550"/>
      <c r="F2809" s="550"/>
      <c r="G2809" s="550"/>
      <c r="H2809" s="551"/>
      <c r="I2809" s="550"/>
    </row>
    <row r="2810" spans="1:9" x14ac:dyDescent="0.2">
      <c r="A2810" s="549"/>
      <c r="C2810" s="548"/>
      <c r="D2810" s="550"/>
      <c r="E2810" s="550"/>
      <c r="F2810" s="550"/>
      <c r="G2810" s="550"/>
      <c r="H2810" s="551"/>
      <c r="I2810" s="550"/>
    </row>
    <row r="2811" spans="1:9" x14ac:dyDescent="0.2">
      <c r="A2811" s="549"/>
      <c r="C2811" s="548"/>
      <c r="D2811" s="550"/>
      <c r="E2811" s="550"/>
      <c r="F2811" s="550"/>
      <c r="G2811" s="550"/>
      <c r="H2811" s="551"/>
      <c r="I2811" s="550"/>
    </row>
    <row r="2812" spans="1:9" x14ac:dyDescent="0.2">
      <c r="A2812" s="549"/>
      <c r="C2812" s="548"/>
      <c r="D2812" s="550"/>
      <c r="E2812" s="550"/>
      <c r="F2812" s="550"/>
      <c r="G2812" s="550"/>
      <c r="H2812" s="551"/>
      <c r="I2812" s="550"/>
    </row>
    <row r="2813" spans="1:9" x14ac:dyDescent="0.2">
      <c r="A2813" s="549"/>
      <c r="C2813" s="548"/>
      <c r="D2813" s="550"/>
      <c r="E2813" s="550"/>
      <c r="F2813" s="550"/>
      <c r="G2813" s="550"/>
      <c r="H2813" s="551"/>
      <c r="I2813" s="550"/>
    </row>
    <row r="2814" spans="1:9" x14ac:dyDescent="0.2">
      <c r="A2814" s="549"/>
      <c r="C2814" s="548"/>
      <c r="D2814" s="550"/>
      <c r="E2814" s="550"/>
      <c r="F2814" s="550"/>
      <c r="G2814" s="550"/>
      <c r="H2814" s="551"/>
      <c r="I2814" s="550"/>
    </row>
    <row r="2815" spans="1:9" x14ac:dyDescent="0.2">
      <c r="A2815" s="549"/>
      <c r="C2815" s="548"/>
      <c r="D2815" s="550"/>
      <c r="E2815" s="550"/>
      <c r="F2815" s="550"/>
      <c r="G2815" s="550"/>
      <c r="H2815" s="551"/>
      <c r="I2815" s="550"/>
    </row>
    <row r="2816" spans="1:9" x14ac:dyDescent="0.2">
      <c r="A2816" s="549"/>
      <c r="C2816" s="548"/>
      <c r="D2816" s="550"/>
      <c r="E2816" s="550"/>
      <c r="F2816" s="550"/>
      <c r="G2816" s="550"/>
      <c r="H2816" s="551"/>
      <c r="I2816" s="550"/>
    </row>
    <row r="2817" spans="1:9" x14ac:dyDescent="0.2">
      <c r="A2817" s="549"/>
      <c r="C2817" s="548"/>
      <c r="D2817" s="550"/>
      <c r="E2817" s="550"/>
      <c r="F2817" s="550"/>
      <c r="G2817" s="550"/>
      <c r="H2817" s="551"/>
      <c r="I2817" s="550"/>
    </row>
    <row r="2818" spans="1:9" x14ac:dyDescent="0.2">
      <c r="A2818" s="549"/>
      <c r="C2818" s="548"/>
      <c r="D2818" s="550"/>
      <c r="E2818" s="550"/>
      <c r="F2818" s="550"/>
      <c r="G2818" s="550"/>
      <c r="H2818" s="551"/>
      <c r="I2818" s="550"/>
    </row>
    <row r="2819" spans="1:9" x14ac:dyDescent="0.2">
      <c r="A2819" s="549"/>
      <c r="C2819" s="548"/>
      <c r="D2819" s="550"/>
      <c r="E2819" s="550"/>
      <c r="F2819" s="550"/>
      <c r="G2819" s="550"/>
      <c r="H2819" s="551"/>
      <c r="I2819" s="550"/>
    </row>
    <row r="2820" spans="1:9" x14ac:dyDescent="0.2">
      <c r="A2820" s="549"/>
      <c r="C2820" s="548"/>
      <c r="D2820" s="550"/>
      <c r="E2820" s="550"/>
      <c r="F2820" s="550"/>
      <c r="G2820" s="550"/>
      <c r="H2820" s="551"/>
      <c r="I2820" s="550"/>
    </row>
    <row r="2821" spans="1:9" x14ac:dyDescent="0.2">
      <c r="A2821" s="549"/>
      <c r="C2821" s="548"/>
      <c r="D2821" s="550"/>
      <c r="E2821" s="550"/>
      <c r="F2821" s="550"/>
      <c r="G2821" s="550"/>
      <c r="H2821" s="551"/>
      <c r="I2821" s="550"/>
    </row>
    <row r="2822" spans="1:9" x14ac:dyDescent="0.2">
      <c r="A2822" s="549"/>
      <c r="C2822" s="548"/>
      <c r="D2822" s="550"/>
      <c r="E2822" s="550"/>
      <c r="F2822" s="550"/>
      <c r="G2822" s="550"/>
      <c r="H2822" s="551"/>
      <c r="I2822" s="550"/>
    </row>
    <row r="2823" spans="1:9" x14ac:dyDescent="0.2">
      <c r="A2823" s="549"/>
      <c r="C2823" s="548"/>
      <c r="D2823" s="550"/>
      <c r="E2823" s="550"/>
      <c r="F2823" s="550"/>
      <c r="G2823" s="550"/>
      <c r="H2823" s="551"/>
      <c r="I2823" s="550"/>
    </row>
    <row r="2824" spans="1:9" x14ac:dyDescent="0.2">
      <c r="A2824" s="549"/>
      <c r="C2824" s="548"/>
      <c r="D2824" s="550"/>
      <c r="E2824" s="550"/>
      <c r="F2824" s="550"/>
      <c r="G2824" s="550"/>
      <c r="H2824" s="551"/>
      <c r="I2824" s="550"/>
    </row>
    <row r="2825" spans="1:9" x14ac:dyDescent="0.2">
      <c r="A2825" s="549"/>
      <c r="C2825" s="548"/>
      <c r="D2825" s="550"/>
      <c r="E2825" s="550"/>
      <c r="F2825" s="550"/>
      <c r="G2825" s="550"/>
      <c r="H2825" s="551"/>
      <c r="I2825" s="550"/>
    </row>
    <row r="2826" spans="1:9" x14ac:dyDescent="0.2">
      <c r="A2826" s="549"/>
      <c r="C2826" s="548"/>
      <c r="D2826" s="550"/>
      <c r="E2826" s="550"/>
      <c r="F2826" s="550"/>
      <c r="G2826" s="550"/>
      <c r="H2826" s="551"/>
      <c r="I2826" s="550"/>
    </row>
    <row r="2827" spans="1:9" x14ac:dyDescent="0.2">
      <c r="A2827" s="549"/>
      <c r="C2827" s="548"/>
      <c r="D2827" s="550"/>
      <c r="E2827" s="550"/>
      <c r="F2827" s="550"/>
      <c r="G2827" s="550"/>
      <c r="H2827" s="551"/>
      <c r="I2827" s="550"/>
    </row>
    <row r="2828" spans="1:9" x14ac:dyDescent="0.2">
      <c r="A2828" s="549"/>
      <c r="C2828" s="548"/>
      <c r="D2828" s="550"/>
      <c r="E2828" s="550"/>
      <c r="F2828" s="550"/>
      <c r="G2828" s="550"/>
      <c r="H2828" s="551"/>
      <c r="I2828" s="550"/>
    </row>
    <row r="2829" spans="1:9" x14ac:dyDescent="0.2">
      <c r="A2829" s="549"/>
      <c r="C2829" s="548"/>
      <c r="D2829" s="550"/>
      <c r="E2829" s="550"/>
      <c r="F2829" s="550"/>
      <c r="G2829" s="550"/>
      <c r="H2829" s="551"/>
      <c r="I2829" s="550"/>
    </row>
    <row r="2830" spans="1:9" x14ac:dyDescent="0.2">
      <c r="A2830" s="549"/>
      <c r="C2830" s="548"/>
      <c r="D2830" s="550"/>
      <c r="E2830" s="550"/>
      <c r="F2830" s="550"/>
      <c r="G2830" s="550"/>
      <c r="H2830" s="551"/>
      <c r="I2830" s="550"/>
    </row>
    <row r="2831" spans="1:9" x14ac:dyDescent="0.2">
      <c r="A2831" s="549"/>
      <c r="C2831" s="548"/>
      <c r="D2831" s="550"/>
      <c r="E2831" s="550"/>
      <c r="F2831" s="550"/>
      <c r="G2831" s="550"/>
      <c r="H2831" s="551"/>
      <c r="I2831" s="550"/>
    </row>
    <row r="2832" spans="1:9" x14ac:dyDescent="0.2">
      <c r="A2832" s="549"/>
      <c r="C2832" s="548"/>
      <c r="D2832" s="550"/>
      <c r="E2832" s="550"/>
      <c r="F2832" s="550"/>
      <c r="G2832" s="550"/>
      <c r="H2832" s="551"/>
      <c r="I2832" s="550"/>
    </row>
    <row r="2833" spans="1:9" x14ac:dyDescent="0.2">
      <c r="A2833" s="549"/>
      <c r="C2833" s="548"/>
      <c r="D2833" s="550"/>
      <c r="E2833" s="550"/>
      <c r="F2833" s="550"/>
      <c r="G2833" s="550"/>
      <c r="H2833" s="551"/>
      <c r="I2833" s="550"/>
    </row>
    <row r="2834" spans="1:9" x14ac:dyDescent="0.2">
      <c r="A2834" s="549"/>
      <c r="C2834" s="548"/>
      <c r="D2834" s="550"/>
      <c r="E2834" s="550"/>
      <c r="F2834" s="550"/>
      <c r="G2834" s="550"/>
      <c r="H2834" s="551"/>
      <c r="I2834" s="550"/>
    </row>
    <row r="2835" spans="1:9" x14ac:dyDescent="0.2">
      <c r="A2835" s="549"/>
      <c r="C2835" s="548"/>
      <c r="D2835" s="550"/>
      <c r="E2835" s="550"/>
      <c r="F2835" s="550"/>
      <c r="G2835" s="550"/>
      <c r="H2835" s="551"/>
      <c r="I2835" s="550"/>
    </row>
    <row r="2836" spans="1:9" x14ac:dyDescent="0.2">
      <c r="A2836" s="549"/>
      <c r="C2836" s="548"/>
      <c r="D2836" s="550"/>
      <c r="E2836" s="550"/>
      <c r="F2836" s="550"/>
      <c r="G2836" s="550"/>
      <c r="H2836" s="551"/>
      <c r="I2836" s="550"/>
    </row>
    <row r="2837" spans="1:9" x14ac:dyDescent="0.2">
      <c r="A2837" s="549"/>
      <c r="C2837" s="548"/>
      <c r="D2837" s="550"/>
      <c r="E2837" s="550"/>
      <c r="F2837" s="550"/>
      <c r="G2837" s="550"/>
      <c r="H2837" s="551"/>
      <c r="I2837" s="550"/>
    </row>
    <row r="2838" spans="1:9" x14ac:dyDescent="0.2">
      <c r="A2838" s="549"/>
      <c r="C2838" s="548"/>
      <c r="D2838" s="550"/>
      <c r="E2838" s="550"/>
      <c r="F2838" s="550"/>
      <c r="G2838" s="550"/>
      <c r="H2838" s="551"/>
      <c r="I2838" s="550"/>
    </row>
    <row r="2839" spans="1:9" x14ac:dyDescent="0.2">
      <c r="A2839" s="549"/>
      <c r="C2839" s="548"/>
      <c r="D2839" s="550"/>
      <c r="E2839" s="550"/>
      <c r="F2839" s="550"/>
      <c r="G2839" s="550"/>
      <c r="H2839" s="551"/>
      <c r="I2839" s="550"/>
    </row>
    <row r="2840" spans="1:9" x14ac:dyDescent="0.2">
      <c r="A2840" s="549"/>
      <c r="C2840" s="548"/>
      <c r="D2840" s="550"/>
      <c r="E2840" s="550"/>
      <c r="F2840" s="550"/>
      <c r="G2840" s="550"/>
      <c r="H2840" s="551"/>
      <c r="I2840" s="550"/>
    </row>
    <row r="2841" spans="1:9" x14ac:dyDescent="0.2">
      <c r="A2841" s="549"/>
      <c r="C2841" s="548"/>
      <c r="D2841" s="550"/>
      <c r="E2841" s="550"/>
      <c r="F2841" s="550"/>
      <c r="G2841" s="550"/>
      <c r="H2841" s="551"/>
      <c r="I2841" s="550"/>
    </row>
    <row r="2842" spans="1:9" x14ac:dyDescent="0.2">
      <c r="A2842" s="549"/>
      <c r="C2842" s="548"/>
      <c r="D2842" s="550"/>
      <c r="E2842" s="550"/>
      <c r="F2842" s="550"/>
      <c r="G2842" s="550"/>
      <c r="H2842" s="551"/>
      <c r="I2842" s="550"/>
    </row>
    <row r="2843" spans="1:9" x14ac:dyDescent="0.2">
      <c r="A2843" s="549"/>
      <c r="C2843" s="548"/>
      <c r="D2843" s="550"/>
      <c r="E2843" s="550"/>
      <c r="F2843" s="550"/>
      <c r="G2843" s="550"/>
      <c r="H2843" s="551"/>
      <c r="I2843" s="550"/>
    </row>
    <row r="2844" spans="1:9" x14ac:dyDescent="0.2">
      <c r="A2844" s="549"/>
      <c r="C2844" s="548"/>
      <c r="D2844" s="550"/>
      <c r="E2844" s="550"/>
      <c r="F2844" s="550"/>
      <c r="G2844" s="550"/>
      <c r="H2844" s="551"/>
      <c r="I2844" s="550"/>
    </row>
    <row r="2845" spans="1:9" x14ac:dyDescent="0.2">
      <c r="A2845" s="549"/>
      <c r="C2845" s="548"/>
      <c r="D2845" s="550"/>
      <c r="E2845" s="550"/>
      <c r="F2845" s="550"/>
      <c r="G2845" s="550"/>
      <c r="H2845" s="551"/>
      <c r="I2845" s="550"/>
    </row>
    <row r="2846" spans="1:9" x14ac:dyDescent="0.2">
      <c r="A2846" s="549"/>
      <c r="C2846" s="548"/>
      <c r="D2846" s="550"/>
      <c r="E2846" s="550"/>
      <c r="F2846" s="550"/>
      <c r="G2846" s="550"/>
      <c r="H2846" s="551"/>
      <c r="I2846" s="550"/>
    </row>
    <row r="2847" spans="1:9" x14ac:dyDescent="0.2">
      <c r="A2847" s="549"/>
      <c r="C2847" s="548"/>
      <c r="D2847" s="550"/>
      <c r="E2847" s="550"/>
      <c r="F2847" s="550"/>
      <c r="G2847" s="550"/>
      <c r="H2847" s="551"/>
      <c r="I2847" s="550"/>
    </row>
    <row r="2848" spans="1:9" x14ac:dyDescent="0.2">
      <c r="A2848" s="549"/>
      <c r="C2848" s="548"/>
      <c r="D2848" s="550"/>
      <c r="E2848" s="550"/>
      <c r="F2848" s="550"/>
      <c r="G2848" s="550"/>
      <c r="H2848" s="551"/>
      <c r="I2848" s="550"/>
    </row>
    <row r="2849" spans="1:9" x14ac:dyDescent="0.2">
      <c r="A2849" s="549"/>
      <c r="C2849" s="548"/>
      <c r="D2849" s="550"/>
      <c r="E2849" s="550"/>
      <c r="F2849" s="550"/>
      <c r="G2849" s="550"/>
      <c r="H2849" s="551"/>
      <c r="I2849" s="550"/>
    </row>
    <row r="2850" spans="1:9" x14ac:dyDescent="0.2">
      <c r="A2850" s="549"/>
      <c r="C2850" s="548"/>
      <c r="D2850" s="550"/>
      <c r="E2850" s="550"/>
      <c r="F2850" s="550"/>
      <c r="G2850" s="550"/>
      <c r="H2850" s="551"/>
      <c r="I2850" s="550"/>
    </row>
    <row r="2851" spans="1:9" x14ac:dyDescent="0.2">
      <c r="A2851" s="549"/>
      <c r="C2851" s="548"/>
      <c r="D2851" s="550"/>
      <c r="E2851" s="550"/>
      <c r="F2851" s="550"/>
      <c r="G2851" s="550"/>
      <c r="H2851" s="551"/>
      <c r="I2851" s="550"/>
    </row>
    <row r="2852" spans="1:9" x14ac:dyDescent="0.2">
      <c r="A2852" s="549"/>
      <c r="C2852" s="548"/>
      <c r="D2852" s="550"/>
      <c r="E2852" s="550"/>
      <c r="F2852" s="550"/>
      <c r="G2852" s="550"/>
      <c r="H2852" s="551"/>
      <c r="I2852" s="550"/>
    </row>
    <row r="2853" spans="1:9" x14ac:dyDescent="0.2">
      <c r="A2853" s="549"/>
      <c r="C2853" s="548"/>
      <c r="D2853" s="550"/>
      <c r="E2853" s="550"/>
      <c r="F2853" s="550"/>
      <c r="G2853" s="550"/>
      <c r="H2853" s="551"/>
      <c r="I2853" s="550"/>
    </row>
    <row r="2854" spans="1:9" x14ac:dyDescent="0.2">
      <c r="A2854" s="549"/>
      <c r="C2854" s="548"/>
      <c r="D2854" s="550"/>
      <c r="E2854" s="550"/>
      <c r="F2854" s="550"/>
      <c r="G2854" s="550"/>
      <c r="H2854" s="551"/>
      <c r="I2854" s="550"/>
    </row>
    <row r="2855" spans="1:9" x14ac:dyDescent="0.2">
      <c r="A2855" s="549"/>
      <c r="C2855" s="548"/>
      <c r="D2855" s="550"/>
      <c r="E2855" s="550"/>
      <c r="F2855" s="550"/>
      <c r="G2855" s="550"/>
      <c r="H2855" s="551"/>
      <c r="I2855" s="550"/>
    </row>
    <row r="2856" spans="1:9" x14ac:dyDescent="0.2">
      <c r="A2856" s="549"/>
      <c r="C2856" s="548"/>
      <c r="D2856" s="550"/>
      <c r="E2856" s="550"/>
      <c r="F2856" s="550"/>
      <c r="G2856" s="550"/>
      <c r="H2856" s="551"/>
      <c r="I2856" s="550"/>
    </row>
    <row r="2857" spans="1:9" x14ac:dyDescent="0.2">
      <c r="A2857" s="549"/>
      <c r="C2857" s="548"/>
      <c r="D2857" s="550"/>
      <c r="E2857" s="550"/>
      <c r="F2857" s="550"/>
      <c r="G2857" s="550"/>
      <c r="H2857" s="551"/>
      <c r="I2857" s="550"/>
    </row>
    <row r="2858" spans="1:9" x14ac:dyDescent="0.2">
      <c r="A2858" s="549"/>
      <c r="C2858" s="548"/>
      <c r="D2858" s="550"/>
      <c r="E2858" s="550"/>
      <c r="F2858" s="550"/>
      <c r="G2858" s="550"/>
      <c r="H2858" s="551"/>
      <c r="I2858" s="550"/>
    </row>
    <row r="2859" spans="1:9" x14ac:dyDescent="0.2">
      <c r="A2859" s="549"/>
      <c r="C2859" s="548"/>
      <c r="D2859" s="550"/>
      <c r="E2859" s="550"/>
      <c r="F2859" s="550"/>
      <c r="G2859" s="550"/>
      <c r="H2859" s="551"/>
      <c r="I2859" s="550"/>
    </row>
    <row r="2860" spans="1:9" x14ac:dyDescent="0.2">
      <c r="A2860" s="549"/>
      <c r="C2860" s="548"/>
      <c r="D2860" s="550"/>
      <c r="E2860" s="550"/>
      <c r="F2860" s="550"/>
      <c r="G2860" s="550"/>
      <c r="H2860" s="551"/>
      <c r="I2860" s="550"/>
    </row>
    <row r="2861" spans="1:9" x14ac:dyDescent="0.2">
      <c r="A2861" s="549"/>
      <c r="C2861" s="548"/>
      <c r="D2861" s="550"/>
      <c r="E2861" s="550"/>
      <c r="F2861" s="550"/>
      <c r="G2861" s="550"/>
      <c r="H2861" s="551"/>
      <c r="I2861" s="550"/>
    </row>
    <row r="2862" spans="1:9" x14ac:dyDescent="0.2">
      <c r="A2862" s="549"/>
      <c r="C2862" s="548"/>
      <c r="D2862" s="550"/>
      <c r="E2862" s="550"/>
      <c r="F2862" s="550"/>
      <c r="G2862" s="550"/>
      <c r="H2862" s="551"/>
      <c r="I2862" s="550"/>
    </row>
    <row r="2863" spans="1:9" x14ac:dyDescent="0.2">
      <c r="A2863" s="549"/>
      <c r="C2863" s="548"/>
      <c r="D2863" s="550"/>
      <c r="E2863" s="550"/>
      <c r="F2863" s="550"/>
      <c r="G2863" s="550"/>
      <c r="H2863" s="551"/>
      <c r="I2863" s="550"/>
    </row>
    <row r="2864" spans="1:9" x14ac:dyDescent="0.2">
      <c r="A2864" s="549"/>
      <c r="C2864" s="548"/>
      <c r="D2864" s="550"/>
      <c r="E2864" s="550"/>
      <c r="F2864" s="550"/>
      <c r="G2864" s="550"/>
      <c r="H2864" s="551"/>
      <c r="I2864" s="550"/>
    </row>
    <row r="2865" spans="1:9" x14ac:dyDescent="0.2">
      <c r="A2865" s="549"/>
      <c r="C2865" s="548"/>
      <c r="D2865" s="550"/>
      <c r="E2865" s="550"/>
      <c r="F2865" s="550"/>
      <c r="G2865" s="550"/>
      <c r="H2865" s="551"/>
      <c r="I2865" s="550"/>
    </row>
    <row r="2866" spans="1:9" x14ac:dyDescent="0.2">
      <c r="A2866" s="549"/>
      <c r="C2866" s="548"/>
      <c r="D2866" s="550"/>
      <c r="E2866" s="550"/>
      <c r="F2866" s="550"/>
      <c r="G2866" s="550"/>
      <c r="H2866" s="551"/>
      <c r="I2866" s="550"/>
    </row>
    <row r="2867" spans="1:9" x14ac:dyDescent="0.2">
      <c r="A2867" s="549"/>
      <c r="C2867" s="548"/>
      <c r="D2867" s="550"/>
      <c r="E2867" s="550"/>
      <c r="F2867" s="550"/>
      <c r="G2867" s="550"/>
      <c r="H2867" s="551"/>
      <c r="I2867" s="550"/>
    </row>
    <row r="2868" spans="1:9" x14ac:dyDescent="0.2">
      <c r="A2868" s="549"/>
      <c r="C2868" s="548"/>
      <c r="D2868" s="550"/>
      <c r="E2868" s="550"/>
      <c r="F2868" s="550"/>
      <c r="G2868" s="550"/>
      <c r="H2868" s="551"/>
      <c r="I2868" s="550"/>
    </row>
    <row r="2869" spans="1:9" x14ac:dyDescent="0.2">
      <c r="A2869" s="549"/>
      <c r="C2869" s="548"/>
      <c r="D2869" s="550"/>
      <c r="E2869" s="550"/>
      <c r="F2869" s="550"/>
      <c r="G2869" s="550"/>
      <c r="H2869" s="551"/>
      <c r="I2869" s="550"/>
    </row>
    <row r="2870" spans="1:9" x14ac:dyDescent="0.2">
      <c r="A2870" s="549"/>
      <c r="C2870" s="548"/>
      <c r="D2870" s="550"/>
      <c r="E2870" s="550"/>
      <c r="F2870" s="550"/>
      <c r="G2870" s="550"/>
      <c r="H2870" s="551"/>
      <c r="I2870" s="550"/>
    </row>
    <row r="2871" spans="1:9" x14ac:dyDescent="0.2">
      <c r="A2871" s="549"/>
      <c r="C2871" s="548"/>
      <c r="D2871" s="550"/>
      <c r="E2871" s="550"/>
      <c r="F2871" s="550"/>
      <c r="G2871" s="550"/>
      <c r="H2871" s="551"/>
      <c r="I2871" s="550"/>
    </row>
    <row r="2872" spans="1:9" x14ac:dyDescent="0.2">
      <c r="A2872" s="549"/>
      <c r="C2872" s="548"/>
      <c r="D2872" s="550"/>
      <c r="E2872" s="550"/>
      <c r="F2872" s="550"/>
      <c r="G2872" s="550"/>
      <c r="H2872" s="551"/>
      <c r="I2872" s="550"/>
    </row>
    <row r="2873" spans="1:9" x14ac:dyDescent="0.2">
      <c r="A2873" s="549"/>
      <c r="C2873" s="548"/>
      <c r="D2873" s="550"/>
      <c r="E2873" s="550"/>
      <c r="F2873" s="550"/>
      <c r="G2873" s="550"/>
      <c r="H2873" s="551"/>
      <c r="I2873" s="550"/>
    </row>
    <row r="2874" spans="1:9" x14ac:dyDescent="0.2">
      <c r="A2874" s="549"/>
      <c r="C2874" s="548"/>
      <c r="D2874" s="550"/>
      <c r="E2874" s="550"/>
      <c r="F2874" s="550"/>
      <c r="G2874" s="550"/>
      <c r="H2874" s="551"/>
      <c r="I2874" s="550"/>
    </row>
    <row r="2875" spans="1:9" x14ac:dyDescent="0.2">
      <c r="A2875" s="549"/>
      <c r="C2875" s="548"/>
      <c r="D2875" s="550"/>
      <c r="E2875" s="550"/>
      <c r="F2875" s="550"/>
      <c r="G2875" s="550"/>
      <c r="H2875" s="551"/>
      <c r="I2875" s="550"/>
    </row>
    <row r="2876" spans="1:9" x14ac:dyDescent="0.2">
      <c r="A2876" s="549"/>
      <c r="C2876" s="548"/>
      <c r="D2876" s="550"/>
      <c r="E2876" s="550"/>
      <c r="F2876" s="550"/>
      <c r="G2876" s="550"/>
      <c r="H2876" s="551"/>
      <c r="I2876" s="550"/>
    </row>
    <row r="2877" spans="1:9" x14ac:dyDescent="0.2">
      <c r="A2877" s="549"/>
      <c r="C2877" s="548"/>
      <c r="D2877" s="550"/>
      <c r="E2877" s="550"/>
      <c r="F2877" s="550"/>
      <c r="G2877" s="550"/>
      <c r="H2877" s="551"/>
      <c r="I2877" s="550"/>
    </row>
    <row r="2878" spans="1:9" x14ac:dyDescent="0.2">
      <c r="A2878" s="549"/>
      <c r="C2878" s="548"/>
      <c r="D2878" s="550"/>
      <c r="E2878" s="550"/>
      <c r="F2878" s="550"/>
      <c r="G2878" s="550"/>
      <c r="H2878" s="551"/>
      <c r="I2878" s="550"/>
    </row>
    <row r="2879" spans="1:9" x14ac:dyDescent="0.2">
      <c r="A2879" s="549"/>
      <c r="C2879" s="548"/>
      <c r="D2879" s="550"/>
      <c r="E2879" s="550"/>
      <c r="F2879" s="550"/>
      <c r="G2879" s="550"/>
      <c r="H2879" s="551"/>
      <c r="I2879" s="550"/>
    </row>
    <row r="2880" spans="1:9" x14ac:dyDescent="0.2">
      <c r="A2880" s="549"/>
      <c r="C2880" s="548"/>
      <c r="D2880" s="550"/>
      <c r="E2880" s="550"/>
      <c r="F2880" s="550"/>
      <c r="G2880" s="550"/>
      <c r="H2880" s="551"/>
      <c r="I2880" s="550"/>
    </row>
    <row r="2881" spans="1:9" x14ac:dyDescent="0.2">
      <c r="A2881" s="549"/>
      <c r="C2881" s="548"/>
      <c r="D2881" s="550"/>
      <c r="E2881" s="550"/>
      <c r="F2881" s="550"/>
      <c r="G2881" s="550"/>
      <c r="H2881" s="551"/>
      <c r="I2881" s="550"/>
    </row>
    <row r="2882" spans="1:9" x14ac:dyDescent="0.2">
      <c r="A2882" s="549"/>
      <c r="C2882" s="548"/>
      <c r="D2882" s="550"/>
      <c r="E2882" s="550"/>
      <c r="F2882" s="550"/>
      <c r="G2882" s="550"/>
      <c r="H2882" s="551"/>
      <c r="I2882" s="550"/>
    </row>
    <row r="2883" spans="1:9" x14ac:dyDescent="0.2">
      <c r="A2883" s="549"/>
      <c r="C2883" s="548"/>
      <c r="D2883" s="550"/>
      <c r="E2883" s="550"/>
      <c r="F2883" s="550"/>
      <c r="G2883" s="550"/>
      <c r="H2883" s="551"/>
      <c r="I2883" s="550"/>
    </row>
    <row r="2884" spans="1:9" x14ac:dyDescent="0.2">
      <c r="A2884" s="549"/>
      <c r="C2884" s="548"/>
      <c r="D2884" s="550"/>
      <c r="E2884" s="550"/>
      <c r="F2884" s="550"/>
      <c r="G2884" s="550"/>
      <c r="H2884" s="551"/>
      <c r="I2884" s="550"/>
    </row>
    <row r="2885" spans="1:9" x14ac:dyDescent="0.2">
      <c r="A2885" s="549"/>
      <c r="C2885" s="548"/>
      <c r="D2885" s="550"/>
      <c r="E2885" s="550"/>
      <c r="F2885" s="550"/>
      <c r="G2885" s="550"/>
      <c r="H2885" s="551"/>
      <c r="I2885" s="550"/>
    </row>
    <row r="2886" spans="1:9" x14ac:dyDescent="0.2">
      <c r="A2886" s="549"/>
      <c r="C2886" s="548"/>
      <c r="D2886" s="550"/>
      <c r="E2886" s="550"/>
      <c r="F2886" s="550"/>
      <c r="G2886" s="550"/>
      <c r="H2886" s="551"/>
      <c r="I2886" s="550"/>
    </row>
    <row r="2887" spans="1:9" x14ac:dyDescent="0.2">
      <c r="A2887" s="549"/>
      <c r="C2887" s="548"/>
      <c r="D2887" s="550"/>
      <c r="E2887" s="550"/>
      <c r="F2887" s="550"/>
      <c r="G2887" s="550"/>
      <c r="H2887" s="551"/>
      <c r="I2887" s="550"/>
    </row>
    <row r="2888" spans="1:9" x14ac:dyDescent="0.2">
      <c r="A2888" s="549"/>
      <c r="C2888" s="548"/>
      <c r="D2888" s="550"/>
      <c r="E2888" s="550"/>
      <c r="F2888" s="550"/>
      <c r="G2888" s="550"/>
      <c r="H2888" s="551"/>
      <c r="I2888" s="550"/>
    </row>
    <row r="2889" spans="1:9" x14ac:dyDescent="0.2">
      <c r="A2889" s="549"/>
      <c r="C2889" s="548"/>
      <c r="D2889" s="550"/>
      <c r="E2889" s="550"/>
      <c r="F2889" s="550"/>
      <c r="G2889" s="550"/>
      <c r="H2889" s="551"/>
      <c r="I2889" s="550"/>
    </row>
    <row r="2890" spans="1:9" x14ac:dyDescent="0.2">
      <c r="A2890" s="549"/>
      <c r="C2890" s="548"/>
      <c r="D2890" s="550"/>
      <c r="E2890" s="550"/>
      <c r="F2890" s="550"/>
      <c r="G2890" s="550"/>
      <c r="H2890" s="551"/>
      <c r="I2890" s="550"/>
    </row>
    <row r="2891" spans="1:9" x14ac:dyDescent="0.2">
      <c r="A2891" s="549"/>
      <c r="C2891" s="548"/>
      <c r="D2891" s="550"/>
      <c r="E2891" s="550"/>
      <c r="F2891" s="550"/>
      <c r="G2891" s="550"/>
      <c r="H2891" s="551"/>
      <c r="I2891" s="550"/>
    </row>
    <row r="2892" spans="1:9" x14ac:dyDescent="0.2">
      <c r="A2892" s="549"/>
      <c r="C2892" s="548"/>
      <c r="D2892" s="550"/>
      <c r="E2892" s="550"/>
      <c r="F2892" s="550"/>
      <c r="G2892" s="550"/>
      <c r="H2892" s="551"/>
      <c r="I2892" s="550"/>
    </row>
    <row r="2893" spans="1:9" x14ac:dyDescent="0.2">
      <c r="A2893" s="549"/>
      <c r="C2893" s="548"/>
      <c r="D2893" s="550"/>
      <c r="E2893" s="550"/>
      <c r="F2893" s="550"/>
      <c r="G2893" s="550"/>
      <c r="H2893" s="551"/>
      <c r="I2893" s="550"/>
    </row>
    <row r="2894" spans="1:9" x14ac:dyDescent="0.2">
      <c r="A2894" s="549"/>
      <c r="C2894" s="548"/>
      <c r="D2894" s="550"/>
      <c r="E2894" s="550"/>
      <c r="F2894" s="550"/>
      <c r="G2894" s="550"/>
      <c r="H2894" s="551"/>
      <c r="I2894" s="550"/>
    </row>
    <row r="2895" spans="1:9" x14ac:dyDescent="0.2">
      <c r="A2895" s="549"/>
      <c r="C2895" s="548"/>
      <c r="D2895" s="550"/>
      <c r="E2895" s="550"/>
      <c r="F2895" s="550"/>
      <c r="G2895" s="550"/>
      <c r="H2895" s="551"/>
      <c r="I2895" s="550"/>
    </row>
    <row r="2896" spans="1:9" x14ac:dyDescent="0.2">
      <c r="A2896" s="549"/>
      <c r="C2896" s="548"/>
      <c r="D2896" s="550"/>
      <c r="E2896" s="550"/>
      <c r="F2896" s="550"/>
      <c r="G2896" s="550"/>
      <c r="H2896" s="551"/>
      <c r="I2896" s="550"/>
    </row>
    <row r="2897" spans="1:9" x14ac:dyDescent="0.2">
      <c r="A2897" s="549"/>
      <c r="C2897" s="548"/>
      <c r="D2897" s="550"/>
      <c r="E2897" s="550"/>
      <c r="F2897" s="550"/>
      <c r="G2897" s="550"/>
      <c r="H2897" s="551"/>
      <c r="I2897" s="550"/>
    </row>
    <row r="2898" spans="1:9" x14ac:dyDescent="0.2">
      <c r="A2898" s="549"/>
      <c r="C2898" s="548"/>
      <c r="D2898" s="550"/>
      <c r="E2898" s="550"/>
      <c r="F2898" s="550"/>
      <c r="G2898" s="550"/>
      <c r="H2898" s="551"/>
      <c r="I2898" s="550"/>
    </row>
    <row r="2899" spans="1:9" x14ac:dyDescent="0.2">
      <c r="A2899" s="549"/>
      <c r="C2899" s="548"/>
      <c r="D2899" s="550"/>
      <c r="E2899" s="550"/>
      <c r="F2899" s="550"/>
      <c r="G2899" s="550"/>
      <c r="H2899" s="551"/>
      <c r="I2899" s="550"/>
    </row>
    <row r="2900" spans="1:9" x14ac:dyDescent="0.2">
      <c r="A2900" s="549"/>
      <c r="C2900" s="548"/>
      <c r="D2900" s="550"/>
      <c r="E2900" s="550"/>
      <c r="F2900" s="550"/>
      <c r="G2900" s="550"/>
      <c r="H2900" s="551"/>
      <c r="I2900" s="550"/>
    </row>
    <row r="2901" spans="1:9" x14ac:dyDescent="0.2">
      <c r="A2901" s="549"/>
      <c r="C2901" s="548"/>
      <c r="D2901" s="550"/>
      <c r="E2901" s="550"/>
      <c r="F2901" s="550"/>
      <c r="G2901" s="550"/>
      <c r="H2901" s="551"/>
      <c r="I2901" s="550"/>
    </row>
    <row r="2902" spans="1:9" x14ac:dyDescent="0.2">
      <c r="A2902" s="549"/>
      <c r="C2902" s="548"/>
      <c r="D2902" s="550"/>
      <c r="E2902" s="550"/>
      <c r="F2902" s="550"/>
      <c r="G2902" s="550"/>
      <c r="H2902" s="551"/>
      <c r="I2902" s="550"/>
    </row>
    <row r="2903" spans="1:9" x14ac:dyDescent="0.2">
      <c r="A2903" s="549"/>
      <c r="C2903" s="548"/>
      <c r="D2903" s="550"/>
      <c r="E2903" s="550"/>
      <c r="F2903" s="550"/>
      <c r="G2903" s="550"/>
      <c r="H2903" s="551"/>
      <c r="I2903" s="550"/>
    </row>
    <row r="2904" spans="1:9" x14ac:dyDescent="0.2">
      <c r="A2904" s="549"/>
      <c r="C2904" s="548"/>
      <c r="D2904" s="550"/>
      <c r="E2904" s="550"/>
      <c r="F2904" s="550"/>
      <c r="G2904" s="550"/>
      <c r="H2904" s="551"/>
      <c r="I2904" s="550"/>
    </row>
    <row r="2905" spans="1:9" x14ac:dyDescent="0.2">
      <c r="A2905" s="549"/>
      <c r="C2905" s="548"/>
      <c r="D2905" s="550"/>
      <c r="E2905" s="550"/>
      <c r="F2905" s="550"/>
      <c r="G2905" s="550"/>
      <c r="H2905" s="551"/>
      <c r="I2905" s="550"/>
    </row>
    <row r="2906" spans="1:9" x14ac:dyDescent="0.2">
      <c r="A2906" s="549"/>
      <c r="C2906" s="548"/>
      <c r="D2906" s="550"/>
      <c r="E2906" s="550"/>
      <c r="F2906" s="550"/>
      <c r="G2906" s="550"/>
      <c r="H2906" s="551"/>
      <c r="I2906" s="550"/>
    </row>
    <row r="2907" spans="1:9" x14ac:dyDescent="0.2">
      <c r="A2907" s="549"/>
      <c r="C2907" s="548"/>
      <c r="D2907" s="550"/>
      <c r="E2907" s="550"/>
      <c r="F2907" s="550"/>
      <c r="G2907" s="550"/>
      <c r="H2907" s="551"/>
      <c r="I2907" s="550"/>
    </row>
    <row r="2908" spans="1:9" x14ac:dyDescent="0.2">
      <c r="A2908" s="549"/>
      <c r="C2908" s="548"/>
      <c r="D2908" s="550"/>
      <c r="E2908" s="550"/>
      <c r="F2908" s="550"/>
      <c r="G2908" s="550"/>
      <c r="H2908" s="551"/>
      <c r="I2908" s="550"/>
    </row>
    <row r="2909" spans="1:9" x14ac:dyDescent="0.2">
      <c r="A2909" s="549"/>
      <c r="C2909" s="548"/>
      <c r="D2909" s="550"/>
      <c r="E2909" s="550"/>
      <c r="F2909" s="550"/>
      <c r="G2909" s="550"/>
      <c r="H2909" s="551"/>
      <c r="I2909" s="550"/>
    </row>
    <row r="2910" spans="1:9" x14ac:dyDescent="0.2">
      <c r="A2910" s="549"/>
      <c r="C2910" s="548"/>
      <c r="D2910" s="550"/>
      <c r="E2910" s="550"/>
      <c r="F2910" s="550"/>
      <c r="G2910" s="550"/>
      <c r="H2910" s="551"/>
      <c r="I2910" s="550"/>
    </row>
    <row r="2911" spans="1:9" x14ac:dyDescent="0.2">
      <c r="A2911" s="549"/>
      <c r="C2911" s="548"/>
      <c r="D2911" s="550"/>
      <c r="E2911" s="550"/>
      <c r="F2911" s="550"/>
      <c r="G2911" s="550"/>
      <c r="H2911" s="551"/>
      <c r="I2911" s="550"/>
    </row>
    <row r="2912" spans="1:9" x14ac:dyDescent="0.2">
      <c r="A2912" s="549"/>
      <c r="C2912" s="548"/>
      <c r="D2912" s="550"/>
      <c r="E2912" s="550"/>
      <c r="F2912" s="550"/>
      <c r="G2912" s="550"/>
      <c r="H2912" s="551"/>
      <c r="I2912" s="550"/>
    </row>
    <row r="2913" spans="1:9" x14ac:dyDescent="0.2">
      <c r="A2913" s="549"/>
      <c r="C2913" s="548"/>
      <c r="D2913" s="550"/>
      <c r="E2913" s="550"/>
      <c r="F2913" s="550"/>
      <c r="G2913" s="550"/>
      <c r="H2913" s="551"/>
      <c r="I2913" s="550"/>
    </row>
    <row r="2914" spans="1:9" x14ac:dyDescent="0.2">
      <c r="A2914" s="549"/>
      <c r="C2914" s="548"/>
      <c r="D2914" s="550"/>
      <c r="E2914" s="550"/>
      <c r="F2914" s="550"/>
      <c r="G2914" s="550"/>
      <c r="H2914" s="551"/>
      <c r="I2914" s="550"/>
    </row>
    <row r="2915" spans="1:9" x14ac:dyDescent="0.2">
      <c r="A2915" s="549"/>
      <c r="C2915" s="548"/>
      <c r="D2915" s="550"/>
      <c r="E2915" s="550"/>
      <c r="F2915" s="550"/>
      <c r="G2915" s="550"/>
      <c r="H2915" s="551"/>
      <c r="I2915" s="550"/>
    </row>
    <row r="2916" spans="1:9" x14ac:dyDescent="0.2">
      <c r="A2916" s="549"/>
      <c r="C2916" s="548"/>
      <c r="D2916" s="550"/>
      <c r="E2916" s="550"/>
      <c r="F2916" s="550"/>
      <c r="G2916" s="550"/>
      <c r="H2916" s="551"/>
      <c r="I2916" s="550"/>
    </row>
    <row r="2917" spans="1:9" x14ac:dyDescent="0.2">
      <c r="A2917" s="549"/>
      <c r="C2917" s="548"/>
      <c r="D2917" s="550"/>
      <c r="E2917" s="550"/>
      <c r="F2917" s="550"/>
      <c r="G2917" s="550"/>
      <c r="H2917" s="551"/>
      <c r="I2917" s="550"/>
    </row>
    <row r="2918" spans="1:9" x14ac:dyDescent="0.2">
      <c r="A2918" s="549"/>
      <c r="C2918" s="548"/>
      <c r="D2918" s="550"/>
      <c r="E2918" s="550"/>
      <c r="F2918" s="550"/>
      <c r="G2918" s="550"/>
      <c r="H2918" s="551"/>
      <c r="I2918" s="550"/>
    </row>
    <row r="2919" spans="1:9" x14ac:dyDescent="0.2">
      <c r="A2919" s="549"/>
      <c r="C2919" s="548"/>
      <c r="D2919" s="550"/>
      <c r="E2919" s="550"/>
      <c r="F2919" s="550"/>
      <c r="G2919" s="550"/>
      <c r="H2919" s="551"/>
      <c r="I2919" s="550"/>
    </row>
    <row r="2920" spans="1:9" x14ac:dyDescent="0.2">
      <c r="A2920" s="549"/>
      <c r="C2920" s="548"/>
      <c r="D2920" s="550"/>
      <c r="E2920" s="550"/>
      <c r="F2920" s="550"/>
      <c r="G2920" s="550"/>
      <c r="H2920" s="551"/>
      <c r="I2920" s="550"/>
    </row>
    <row r="2921" spans="1:9" x14ac:dyDescent="0.2">
      <c r="A2921" s="549"/>
      <c r="C2921" s="548"/>
      <c r="D2921" s="550"/>
      <c r="E2921" s="550"/>
      <c r="F2921" s="550"/>
      <c r="G2921" s="550"/>
      <c r="H2921" s="551"/>
      <c r="I2921" s="550"/>
    </row>
    <row r="2922" spans="1:9" x14ac:dyDescent="0.2">
      <c r="A2922" s="549"/>
      <c r="C2922" s="548"/>
      <c r="D2922" s="550"/>
      <c r="E2922" s="550"/>
      <c r="F2922" s="550"/>
      <c r="G2922" s="550"/>
      <c r="H2922" s="551"/>
      <c r="I2922" s="550"/>
    </row>
    <row r="2923" spans="1:9" x14ac:dyDescent="0.2">
      <c r="A2923" s="549"/>
      <c r="C2923" s="548"/>
      <c r="D2923" s="550"/>
      <c r="E2923" s="550"/>
      <c r="F2923" s="550"/>
      <c r="G2923" s="550"/>
      <c r="H2923" s="551"/>
      <c r="I2923" s="550"/>
    </row>
    <row r="2924" spans="1:9" x14ac:dyDescent="0.2">
      <c r="A2924" s="549"/>
      <c r="C2924" s="548"/>
      <c r="D2924" s="550"/>
      <c r="E2924" s="550"/>
      <c r="F2924" s="550"/>
      <c r="G2924" s="550"/>
      <c r="H2924" s="551"/>
      <c r="I2924" s="550"/>
    </row>
    <row r="2925" spans="1:9" x14ac:dyDescent="0.2">
      <c r="A2925" s="549"/>
      <c r="C2925" s="548"/>
      <c r="D2925" s="550"/>
      <c r="E2925" s="550"/>
      <c r="F2925" s="550"/>
      <c r="G2925" s="550"/>
      <c r="H2925" s="551"/>
      <c r="I2925" s="550"/>
    </row>
    <row r="2926" spans="1:9" x14ac:dyDescent="0.2">
      <c r="A2926" s="549"/>
      <c r="C2926" s="548"/>
      <c r="D2926" s="550"/>
      <c r="E2926" s="550"/>
      <c r="F2926" s="550"/>
      <c r="G2926" s="550"/>
      <c r="H2926" s="551"/>
      <c r="I2926" s="550"/>
    </row>
    <row r="2927" spans="1:9" x14ac:dyDescent="0.2">
      <c r="A2927" s="549"/>
      <c r="C2927" s="548"/>
      <c r="D2927" s="550"/>
      <c r="E2927" s="550"/>
      <c r="F2927" s="550"/>
      <c r="G2927" s="550"/>
      <c r="H2927" s="551"/>
      <c r="I2927" s="550"/>
    </row>
    <row r="2928" spans="1:9" x14ac:dyDescent="0.2">
      <c r="A2928" s="549"/>
      <c r="C2928" s="548"/>
      <c r="D2928" s="550"/>
      <c r="E2928" s="550"/>
      <c r="F2928" s="550"/>
      <c r="G2928" s="550"/>
      <c r="H2928" s="551"/>
      <c r="I2928" s="550"/>
    </row>
    <row r="2929" spans="1:9" x14ac:dyDescent="0.2">
      <c r="A2929" s="549"/>
      <c r="C2929" s="548"/>
      <c r="D2929" s="550"/>
      <c r="E2929" s="550"/>
      <c r="F2929" s="550"/>
      <c r="G2929" s="550"/>
      <c r="H2929" s="551"/>
      <c r="I2929" s="550"/>
    </row>
    <row r="2930" spans="1:9" x14ac:dyDescent="0.2">
      <c r="A2930" s="549"/>
      <c r="C2930" s="548"/>
      <c r="D2930" s="550"/>
      <c r="E2930" s="550"/>
      <c r="F2930" s="550"/>
      <c r="G2930" s="550"/>
      <c r="H2930" s="551"/>
      <c r="I2930" s="550"/>
    </row>
    <row r="2931" spans="1:9" x14ac:dyDescent="0.2">
      <c r="A2931" s="549"/>
      <c r="C2931" s="548"/>
      <c r="D2931" s="550"/>
      <c r="E2931" s="550"/>
      <c r="F2931" s="550"/>
      <c r="G2931" s="550"/>
      <c r="H2931" s="551"/>
      <c r="I2931" s="550"/>
    </row>
    <row r="2932" spans="1:9" x14ac:dyDescent="0.2">
      <c r="A2932" s="549"/>
      <c r="C2932" s="548"/>
      <c r="D2932" s="550"/>
      <c r="E2932" s="550"/>
      <c r="F2932" s="550"/>
      <c r="G2932" s="550"/>
      <c r="H2932" s="551"/>
      <c r="I2932" s="550"/>
    </row>
    <row r="2933" spans="1:9" x14ac:dyDescent="0.2">
      <c r="A2933" s="549"/>
      <c r="C2933" s="548"/>
      <c r="D2933" s="550"/>
      <c r="E2933" s="550"/>
      <c r="F2933" s="550"/>
      <c r="G2933" s="550"/>
      <c r="H2933" s="551"/>
      <c r="I2933" s="550"/>
    </row>
    <row r="2934" spans="1:9" x14ac:dyDescent="0.2">
      <c r="A2934" s="549"/>
      <c r="C2934" s="548"/>
      <c r="D2934" s="550"/>
      <c r="E2934" s="550"/>
      <c r="F2934" s="550"/>
      <c r="G2934" s="550"/>
      <c r="H2934" s="551"/>
      <c r="I2934" s="550"/>
    </row>
    <row r="2935" spans="1:9" x14ac:dyDescent="0.2">
      <c r="A2935" s="549"/>
      <c r="C2935" s="548"/>
      <c r="D2935" s="550"/>
      <c r="E2935" s="550"/>
      <c r="F2935" s="550"/>
      <c r="G2935" s="550"/>
      <c r="H2935" s="551"/>
      <c r="I2935" s="550"/>
    </row>
    <row r="2936" spans="1:9" x14ac:dyDescent="0.2">
      <c r="A2936" s="549"/>
      <c r="C2936" s="548"/>
      <c r="D2936" s="550"/>
      <c r="E2936" s="550"/>
      <c r="F2936" s="550"/>
      <c r="G2936" s="550"/>
      <c r="H2936" s="551"/>
      <c r="I2936" s="550"/>
    </row>
    <row r="2937" spans="1:9" x14ac:dyDescent="0.2">
      <c r="A2937" s="549"/>
      <c r="C2937" s="548"/>
      <c r="D2937" s="550"/>
      <c r="E2937" s="550"/>
      <c r="F2937" s="550"/>
      <c r="G2937" s="550"/>
      <c r="H2937" s="551"/>
      <c r="I2937" s="550"/>
    </row>
    <row r="2938" spans="1:9" x14ac:dyDescent="0.2">
      <c r="A2938" s="549"/>
      <c r="C2938" s="548"/>
      <c r="D2938" s="550"/>
      <c r="E2938" s="550"/>
      <c r="F2938" s="550"/>
      <c r="G2938" s="550"/>
      <c r="H2938" s="551"/>
      <c r="I2938" s="550"/>
    </row>
    <row r="2939" spans="1:9" x14ac:dyDescent="0.2">
      <c r="A2939" s="549"/>
      <c r="C2939" s="548"/>
      <c r="D2939" s="550"/>
      <c r="E2939" s="550"/>
      <c r="F2939" s="550"/>
      <c r="G2939" s="550"/>
      <c r="H2939" s="551"/>
      <c r="I2939" s="550"/>
    </row>
    <row r="2940" spans="1:9" x14ac:dyDescent="0.2">
      <c r="A2940" s="549"/>
      <c r="C2940" s="548"/>
      <c r="D2940" s="550"/>
      <c r="E2940" s="550"/>
      <c r="F2940" s="550"/>
      <c r="G2940" s="550"/>
      <c r="H2940" s="551"/>
      <c r="I2940" s="550"/>
    </row>
    <row r="2941" spans="1:9" x14ac:dyDescent="0.2">
      <c r="A2941" s="549"/>
      <c r="C2941" s="548"/>
      <c r="D2941" s="550"/>
      <c r="E2941" s="550"/>
      <c r="F2941" s="550"/>
      <c r="G2941" s="550"/>
      <c r="H2941" s="551"/>
      <c r="I2941" s="550"/>
    </row>
    <row r="2942" spans="1:9" x14ac:dyDescent="0.2">
      <c r="A2942" s="549"/>
      <c r="C2942" s="548"/>
      <c r="D2942" s="550"/>
      <c r="E2942" s="550"/>
      <c r="F2942" s="550"/>
      <c r="G2942" s="550"/>
      <c r="H2942" s="551"/>
      <c r="I2942" s="550"/>
    </row>
    <row r="2943" spans="1:9" x14ac:dyDescent="0.2">
      <c r="A2943" s="549"/>
      <c r="C2943" s="548"/>
      <c r="D2943" s="550"/>
      <c r="E2943" s="550"/>
      <c r="F2943" s="550"/>
      <c r="G2943" s="550"/>
      <c r="H2943" s="551"/>
      <c r="I2943" s="550"/>
    </row>
    <row r="2944" spans="1:9" x14ac:dyDescent="0.2">
      <c r="A2944" s="549"/>
      <c r="C2944" s="548"/>
      <c r="D2944" s="550"/>
      <c r="E2944" s="550"/>
      <c r="F2944" s="550"/>
      <c r="G2944" s="550"/>
      <c r="H2944" s="551"/>
      <c r="I2944" s="550"/>
    </row>
    <row r="2945" spans="1:9" x14ac:dyDescent="0.2">
      <c r="A2945" s="549"/>
      <c r="C2945" s="548"/>
      <c r="D2945" s="550"/>
      <c r="E2945" s="550"/>
      <c r="F2945" s="550"/>
      <c r="G2945" s="550"/>
      <c r="H2945" s="551"/>
      <c r="I2945" s="550"/>
    </row>
    <row r="2946" spans="1:9" x14ac:dyDescent="0.2">
      <c r="A2946" s="549"/>
      <c r="C2946" s="548"/>
      <c r="D2946" s="550"/>
      <c r="E2946" s="550"/>
      <c r="F2946" s="550"/>
      <c r="G2946" s="550"/>
      <c r="H2946" s="551"/>
      <c r="I2946" s="550"/>
    </row>
    <row r="2947" spans="1:9" x14ac:dyDescent="0.2">
      <c r="A2947" s="549"/>
      <c r="C2947" s="548"/>
      <c r="D2947" s="550"/>
      <c r="E2947" s="550"/>
      <c r="F2947" s="550"/>
      <c r="G2947" s="550"/>
      <c r="H2947" s="551"/>
      <c r="I2947" s="550"/>
    </row>
    <row r="2948" spans="1:9" x14ac:dyDescent="0.2">
      <c r="A2948" s="549"/>
      <c r="C2948" s="548"/>
      <c r="D2948" s="550"/>
      <c r="E2948" s="550"/>
      <c r="F2948" s="550"/>
      <c r="G2948" s="550"/>
      <c r="H2948" s="551"/>
      <c r="I2948" s="550"/>
    </row>
    <row r="2949" spans="1:9" x14ac:dyDescent="0.2">
      <c r="A2949" s="549"/>
      <c r="C2949" s="548"/>
      <c r="D2949" s="550"/>
      <c r="E2949" s="550"/>
      <c r="F2949" s="550"/>
      <c r="G2949" s="550"/>
      <c r="H2949" s="551"/>
      <c r="I2949" s="550"/>
    </row>
    <row r="2950" spans="1:9" x14ac:dyDescent="0.2">
      <c r="A2950" s="549"/>
      <c r="C2950" s="548"/>
      <c r="D2950" s="550"/>
      <c r="E2950" s="550"/>
      <c r="F2950" s="550"/>
      <c r="G2950" s="550"/>
      <c r="H2950" s="551"/>
      <c r="I2950" s="550"/>
    </row>
    <row r="2951" spans="1:9" x14ac:dyDescent="0.2">
      <c r="A2951" s="549"/>
      <c r="C2951" s="548"/>
      <c r="D2951" s="550"/>
      <c r="E2951" s="550"/>
      <c r="F2951" s="550"/>
      <c r="G2951" s="550"/>
      <c r="H2951" s="551"/>
      <c r="I2951" s="550"/>
    </row>
    <row r="2952" spans="1:9" x14ac:dyDescent="0.2">
      <c r="A2952" s="549"/>
      <c r="C2952" s="548"/>
      <c r="D2952" s="550"/>
      <c r="E2952" s="550"/>
      <c r="F2952" s="550"/>
      <c r="G2952" s="550"/>
      <c r="H2952" s="551"/>
      <c r="I2952" s="550"/>
    </row>
    <row r="2953" spans="1:9" x14ac:dyDescent="0.2">
      <c r="A2953" s="549"/>
      <c r="C2953" s="548"/>
      <c r="D2953" s="550"/>
      <c r="E2953" s="550"/>
      <c r="F2953" s="550"/>
      <c r="G2953" s="550"/>
      <c r="H2953" s="551"/>
      <c r="I2953" s="550"/>
    </row>
    <row r="2954" spans="1:9" x14ac:dyDescent="0.2">
      <c r="A2954" s="549"/>
      <c r="C2954" s="548"/>
      <c r="D2954" s="550"/>
      <c r="E2954" s="550"/>
      <c r="F2954" s="550"/>
      <c r="G2954" s="550"/>
      <c r="H2954" s="551"/>
      <c r="I2954" s="550"/>
    </row>
    <row r="2955" spans="1:9" x14ac:dyDescent="0.2">
      <c r="A2955" s="549"/>
      <c r="C2955" s="548"/>
      <c r="D2955" s="550"/>
      <c r="E2955" s="550"/>
      <c r="F2955" s="550"/>
      <c r="G2955" s="550"/>
      <c r="H2955" s="551"/>
      <c r="I2955" s="550"/>
    </row>
    <row r="2956" spans="1:9" x14ac:dyDescent="0.2">
      <c r="A2956" s="549"/>
      <c r="C2956" s="548"/>
      <c r="D2956" s="550"/>
      <c r="E2956" s="550"/>
      <c r="F2956" s="550"/>
      <c r="G2956" s="550"/>
      <c r="H2956" s="551"/>
      <c r="I2956" s="550"/>
    </row>
    <row r="2957" spans="1:9" x14ac:dyDescent="0.2">
      <c r="A2957" s="549"/>
      <c r="C2957" s="548"/>
      <c r="D2957" s="550"/>
      <c r="E2957" s="550"/>
      <c r="F2957" s="550"/>
      <c r="G2957" s="550"/>
      <c r="H2957" s="551"/>
      <c r="I2957" s="550"/>
    </row>
    <row r="2958" spans="1:9" x14ac:dyDescent="0.2">
      <c r="A2958" s="549"/>
      <c r="C2958" s="548"/>
      <c r="D2958" s="550"/>
      <c r="E2958" s="550"/>
      <c r="F2958" s="550"/>
      <c r="G2958" s="550"/>
      <c r="H2958" s="551"/>
      <c r="I2958" s="550"/>
    </row>
    <row r="2959" spans="1:9" x14ac:dyDescent="0.2">
      <c r="A2959" s="549"/>
      <c r="C2959" s="548"/>
      <c r="D2959" s="550"/>
      <c r="E2959" s="550"/>
      <c r="F2959" s="550"/>
      <c r="G2959" s="550"/>
      <c r="H2959" s="551"/>
      <c r="I2959" s="550"/>
    </row>
    <row r="2960" spans="1:9" x14ac:dyDescent="0.2">
      <c r="A2960" s="549"/>
      <c r="C2960" s="548"/>
      <c r="D2960" s="550"/>
      <c r="E2960" s="550"/>
      <c r="F2960" s="550"/>
      <c r="G2960" s="550"/>
      <c r="H2960" s="551"/>
      <c r="I2960" s="550"/>
    </row>
    <row r="2961" spans="1:9" x14ac:dyDescent="0.2">
      <c r="A2961" s="549"/>
      <c r="C2961" s="548"/>
      <c r="D2961" s="550"/>
      <c r="E2961" s="550"/>
      <c r="F2961" s="550"/>
      <c r="G2961" s="550"/>
      <c r="H2961" s="551"/>
      <c r="I2961" s="550"/>
    </row>
    <row r="2962" spans="1:9" x14ac:dyDescent="0.2">
      <c r="A2962" s="549"/>
      <c r="C2962" s="548"/>
      <c r="D2962" s="550"/>
      <c r="E2962" s="550"/>
      <c r="F2962" s="550"/>
      <c r="G2962" s="550"/>
      <c r="H2962" s="551"/>
      <c r="I2962" s="550"/>
    </row>
    <row r="2963" spans="1:9" x14ac:dyDescent="0.2">
      <c r="A2963" s="549"/>
      <c r="C2963" s="548"/>
      <c r="D2963" s="550"/>
      <c r="E2963" s="550"/>
      <c r="F2963" s="550"/>
      <c r="G2963" s="550"/>
      <c r="H2963" s="551"/>
      <c r="I2963" s="550"/>
    </row>
    <row r="2964" spans="1:9" x14ac:dyDescent="0.2">
      <c r="A2964" s="549"/>
      <c r="C2964" s="548"/>
      <c r="D2964" s="550"/>
      <c r="E2964" s="550"/>
      <c r="F2964" s="550"/>
      <c r="G2964" s="550"/>
      <c r="H2964" s="551"/>
      <c r="I2964" s="550"/>
    </row>
    <row r="2965" spans="1:9" x14ac:dyDescent="0.2">
      <c r="A2965" s="549"/>
      <c r="C2965" s="548"/>
      <c r="D2965" s="550"/>
      <c r="E2965" s="550"/>
      <c r="F2965" s="550"/>
      <c r="G2965" s="550"/>
      <c r="H2965" s="551"/>
      <c r="I2965" s="550"/>
    </row>
    <row r="2966" spans="1:9" x14ac:dyDescent="0.2">
      <c r="A2966" s="549"/>
      <c r="C2966" s="548"/>
      <c r="D2966" s="550"/>
      <c r="E2966" s="550"/>
      <c r="F2966" s="550"/>
      <c r="G2966" s="550"/>
      <c r="H2966" s="551"/>
      <c r="I2966" s="550"/>
    </row>
    <row r="2967" spans="1:9" x14ac:dyDescent="0.2">
      <c r="A2967" s="549"/>
      <c r="C2967" s="548"/>
      <c r="D2967" s="550"/>
      <c r="E2967" s="550"/>
      <c r="F2967" s="550"/>
      <c r="G2967" s="550"/>
      <c r="H2967" s="551"/>
      <c r="I2967" s="550"/>
    </row>
    <row r="2968" spans="1:9" x14ac:dyDescent="0.2">
      <c r="A2968" s="549"/>
      <c r="C2968" s="548"/>
      <c r="D2968" s="550"/>
      <c r="E2968" s="550"/>
      <c r="F2968" s="550"/>
      <c r="G2968" s="550"/>
      <c r="H2968" s="551"/>
      <c r="I2968" s="550"/>
    </row>
    <row r="2969" spans="1:9" x14ac:dyDescent="0.2">
      <c r="A2969" s="549"/>
      <c r="C2969" s="548"/>
      <c r="D2969" s="550"/>
      <c r="E2969" s="550"/>
      <c r="F2969" s="550"/>
      <c r="G2969" s="550"/>
      <c r="H2969" s="551"/>
      <c r="I2969" s="550"/>
    </row>
    <row r="2970" spans="1:9" x14ac:dyDescent="0.2">
      <c r="A2970" s="549"/>
      <c r="C2970" s="548"/>
      <c r="D2970" s="550"/>
      <c r="E2970" s="550"/>
      <c r="F2970" s="550"/>
      <c r="G2970" s="550"/>
      <c r="H2970" s="551"/>
      <c r="I2970" s="550"/>
    </row>
    <row r="2971" spans="1:9" x14ac:dyDescent="0.2">
      <c r="A2971" s="549"/>
      <c r="C2971" s="548"/>
      <c r="D2971" s="550"/>
      <c r="E2971" s="550"/>
      <c r="F2971" s="550"/>
      <c r="G2971" s="550"/>
      <c r="H2971" s="551"/>
      <c r="I2971" s="550"/>
    </row>
    <row r="2972" spans="1:9" x14ac:dyDescent="0.2">
      <c r="A2972" s="549"/>
      <c r="C2972" s="548"/>
      <c r="D2972" s="550"/>
      <c r="E2972" s="550"/>
      <c r="F2972" s="550"/>
      <c r="G2972" s="550"/>
      <c r="H2972" s="551"/>
      <c r="I2972" s="550"/>
    </row>
    <row r="2973" spans="1:9" x14ac:dyDescent="0.2">
      <c r="A2973" s="549"/>
      <c r="C2973" s="548"/>
      <c r="D2973" s="550"/>
      <c r="E2973" s="550"/>
      <c r="F2973" s="550"/>
      <c r="G2973" s="550"/>
      <c r="H2973" s="551"/>
      <c r="I2973" s="550"/>
    </row>
    <row r="2974" spans="1:9" x14ac:dyDescent="0.2">
      <c r="A2974" s="549"/>
      <c r="C2974" s="548"/>
      <c r="D2974" s="550"/>
      <c r="E2974" s="550"/>
      <c r="F2974" s="550"/>
      <c r="G2974" s="550"/>
      <c r="H2974" s="551"/>
      <c r="I2974" s="550"/>
    </row>
    <row r="2975" spans="1:9" x14ac:dyDescent="0.2">
      <c r="A2975" s="549"/>
      <c r="C2975" s="548"/>
      <c r="D2975" s="550"/>
      <c r="E2975" s="550"/>
      <c r="F2975" s="550"/>
      <c r="G2975" s="550"/>
      <c r="H2975" s="551"/>
      <c r="I2975" s="550"/>
    </row>
    <row r="2976" spans="1:9" x14ac:dyDescent="0.2">
      <c r="A2976" s="549"/>
      <c r="C2976" s="548"/>
      <c r="D2976" s="550"/>
      <c r="E2976" s="550"/>
      <c r="F2976" s="550"/>
      <c r="G2976" s="550"/>
      <c r="H2976" s="551"/>
      <c r="I2976" s="550"/>
    </row>
    <row r="2977" spans="1:9" x14ac:dyDescent="0.2">
      <c r="A2977" s="549"/>
      <c r="C2977" s="548"/>
      <c r="D2977" s="550"/>
      <c r="E2977" s="550"/>
      <c r="F2977" s="550"/>
      <c r="G2977" s="550"/>
      <c r="H2977" s="551"/>
      <c r="I2977" s="550"/>
    </row>
    <row r="2978" spans="1:9" x14ac:dyDescent="0.2">
      <c r="A2978" s="549"/>
      <c r="C2978" s="548"/>
      <c r="D2978" s="550"/>
      <c r="E2978" s="550"/>
      <c r="F2978" s="550"/>
      <c r="G2978" s="550"/>
      <c r="H2978" s="551"/>
      <c r="I2978" s="550"/>
    </row>
    <row r="2979" spans="1:9" x14ac:dyDescent="0.2">
      <c r="A2979" s="549"/>
      <c r="C2979" s="548"/>
      <c r="D2979" s="550"/>
      <c r="E2979" s="550"/>
      <c r="F2979" s="550"/>
      <c r="G2979" s="550"/>
      <c r="H2979" s="551"/>
      <c r="I2979" s="550"/>
    </row>
    <row r="2980" spans="1:9" x14ac:dyDescent="0.2">
      <c r="A2980" s="549"/>
      <c r="C2980" s="548"/>
      <c r="D2980" s="550"/>
      <c r="E2980" s="550"/>
      <c r="F2980" s="550"/>
      <c r="G2980" s="550"/>
      <c r="H2980" s="551"/>
      <c r="I2980" s="550"/>
    </row>
    <row r="2981" spans="1:9" x14ac:dyDescent="0.2">
      <c r="A2981" s="549"/>
      <c r="C2981" s="548"/>
      <c r="D2981" s="550"/>
      <c r="E2981" s="550"/>
      <c r="F2981" s="550"/>
      <c r="G2981" s="550"/>
      <c r="H2981" s="551"/>
      <c r="I2981" s="550"/>
    </row>
    <row r="2982" spans="1:9" x14ac:dyDescent="0.2">
      <c r="A2982" s="549"/>
      <c r="C2982" s="548"/>
      <c r="D2982" s="550"/>
      <c r="E2982" s="550"/>
      <c r="F2982" s="550"/>
      <c r="G2982" s="550"/>
      <c r="H2982" s="551"/>
      <c r="I2982" s="550"/>
    </row>
    <row r="2983" spans="1:9" x14ac:dyDescent="0.2">
      <c r="A2983" s="549"/>
      <c r="C2983" s="548"/>
      <c r="D2983" s="550"/>
      <c r="E2983" s="550"/>
      <c r="F2983" s="550"/>
      <c r="G2983" s="550"/>
      <c r="H2983" s="551"/>
      <c r="I2983" s="550"/>
    </row>
    <row r="2984" spans="1:9" x14ac:dyDescent="0.2">
      <c r="A2984" s="549"/>
      <c r="C2984" s="548"/>
      <c r="D2984" s="550"/>
      <c r="E2984" s="550"/>
      <c r="F2984" s="550"/>
      <c r="G2984" s="550"/>
      <c r="H2984" s="551"/>
      <c r="I2984" s="550"/>
    </row>
    <row r="2985" spans="1:9" x14ac:dyDescent="0.2">
      <c r="A2985" s="549"/>
      <c r="C2985" s="548"/>
      <c r="D2985" s="550"/>
      <c r="E2985" s="550"/>
      <c r="F2985" s="550"/>
      <c r="G2985" s="550"/>
      <c r="H2985" s="551"/>
      <c r="I2985" s="550"/>
    </row>
    <row r="2986" spans="1:9" x14ac:dyDescent="0.2">
      <c r="A2986" s="549"/>
      <c r="C2986" s="548"/>
      <c r="D2986" s="550"/>
      <c r="E2986" s="550"/>
      <c r="F2986" s="550"/>
      <c r="G2986" s="550"/>
      <c r="H2986" s="551"/>
      <c r="I2986" s="550"/>
    </row>
    <row r="2987" spans="1:9" x14ac:dyDescent="0.2">
      <c r="A2987" s="549"/>
      <c r="C2987" s="548"/>
      <c r="D2987" s="550"/>
      <c r="E2987" s="550"/>
      <c r="F2987" s="550"/>
      <c r="G2987" s="550"/>
      <c r="H2987" s="551"/>
      <c r="I2987" s="550"/>
    </row>
    <row r="2988" spans="1:9" x14ac:dyDescent="0.2">
      <c r="A2988" s="549"/>
      <c r="C2988" s="548"/>
      <c r="D2988" s="550"/>
      <c r="E2988" s="550"/>
      <c r="F2988" s="550"/>
      <c r="G2988" s="550"/>
      <c r="H2988" s="551"/>
      <c r="I2988" s="550"/>
    </row>
    <row r="2989" spans="1:9" x14ac:dyDescent="0.2">
      <c r="A2989" s="549"/>
      <c r="C2989" s="548"/>
      <c r="D2989" s="550"/>
      <c r="E2989" s="550"/>
      <c r="F2989" s="550"/>
      <c r="G2989" s="550"/>
      <c r="H2989" s="551"/>
      <c r="I2989" s="550"/>
    </row>
    <row r="2990" spans="1:9" x14ac:dyDescent="0.2">
      <c r="A2990" s="549"/>
      <c r="C2990" s="548"/>
      <c r="D2990" s="550"/>
      <c r="E2990" s="550"/>
      <c r="F2990" s="550"/>
      <c r="G2990" s="550"/>
      <c r="H2990" s="551"/>
      <c r="I2990" s="550"/>
    </row>
    <row r="2991" spans="1:9" x14ac:dyDescent="0.2">
      <c r="A2991" s="549"/>
      <c r="C2991" s="548"/>
      <c r="D2991" s="550"/>
      <c r="E2991" s="550"/>
      <c r="F2991" s="550"/>
      <c r="G2991" s="550"/>
      <c r="H2991" s="551"/>
      <c r="I2991" s="550"/>
    </row>
    <row r="2992" spans="1:9" x14ac:dyDescent="0.2">
      <c r="A2992" s="549"/>
      <c r="C2992" s="548"/>
      <c r="D2992" s="550"/>
      <c r="E2992" s="550"/>
      <c r="F2992" s="550"/>
      <c r="G2992" s="550"/>
      <c r="H2992" s="551"/>
      <c r="I2992" s="550"/>
    </row>
    <row r="2993" spans="1:9" x14ac:dyDescent="0.2">
      <c r="A2993" s="549"/>
      <c r="C2993" s="548"/>
      <c r="D2993" s="550"/>
      <c r="E2993" s="550"/>
      <c r="F2993" s="550"/>
      <c r="G2993" s="550"/>
      <c r="H2993" s="551"/>
      <c r="I2993" s="550"/>
    </row>
    <row r="2994" spans="1:9" x14ac:dyDescent="0.2">
      <c r="A2994" s="549"/>
      <c r="C2994" s="548"/>
      <c r="D2994" s="550"/>
      <c r="E2994" s="550"/>
      <c r="F2994" s="550"/>
      <c r="G2994" s="550"/>
      <c r="H2994" s="551"/>
      <c r="I2994" s="550"/>
    </row>
    <row r="2995" spans="1:9" x14ac:dyDescent="0.2">
      <c r="A2995" s="549"/>
      <c r="C2995" s="548"/>
      <c r="D2995" s="550"/>
      <c r="E2995" s="550"/>
      <c r="F2995" s="550"/>
      <c r="G2995" s="550"/>
      <c r="H2995" s="551"/>
      <c r="I2995" s="550"/>
    </row>
    <row r="2996" spans="1:9" x14ac:dyDescent="0.2">
      <c r="A2996" s="549"/>
      <c r="C2996" s="548"/>
      <c r="D2996" s="550"/>
      <c r="E2996" s="550"/>
      <c r="F2996" s="550"/>
      <c r="G2996" s="550"/>
      <c r="H2996" s="551"/>
      <c r="I2996" s="550"/>
    </row>
    <row r="2997" spans="1:9" x14ac:dyDescent="0.2">
      <c r="A2997" s="549"/>
      <c r="C2997" s="548"/>
      <c r="D2997" s="550"/>
      <c r="E2997" s="550"/>
      <c r="F2997" s="550"/>
      <c r="G2997" s="550"/>
      <c r="H2997" s="551"/>
      <c r="I2997" s="550"/>
    </row>
    <row r="2998" spans="1:9" x14ac:dyDescent="0.2">
      <c r="A2998" s="549"/>
      <c r="C2998" s="548"/>
      <c r="D2998" s="550"/>
      <c r="E2998" s="550"/>
      <c r="F2998" s="550"/>
      <c r="G2998" s="550"/>
      <c r="H2998" s="551"/>
      <c r="I2998" s="550"/>
    </row>
    <row r="2999" spans="1:9" x14ac:dyDescent="0.2">
      <c r="A2999" s="549"/>
      <c r="C2999" s="548"/>
      <c r="D2999" s="550"/>
      <c r="E2999" s="550"/>
      <c r="F2999" s="550"/>
      <c r="G2999" s="550"/>
      <c r="H2999" s="551"/>
      <c r="I2999" s="550"/>
    </row>
    <row r="3000" spans="1:9" x14ac:dyDescent="0.2">
      <c r="A3000" s="549"/>
      <c r="C3000" s="548"/>
      <c r="D3000" s="550"/>
      <c r="E3000" s="550"/>
      <c r="F3000" s="550"/>
      <c r="G3000" s="550"/>
      <c r="H3000" s="551"/>
      <c r="I3000" s="550"/>
    </row>
    <row r="3001" spans="1:9" x14ac:dyDescent="0.2">
      <c r="A3001" s="549"/>
      <c r="C3001" s="548"/>
      <c r="D3001" s="550"/>
      <c r="E3001" s="550"/>
      <c r="F3001" s="550"/>
      <c r="G3001" s="550"/>
      <c r="H3001" s="551"/>
      <c r="I3001" s="550"/>
    </row>
    <row r="3002" spans="1:9" x14ac:dyDescent="0.2">
      <c r="A3002" s="549"/>
      <c r="C3002" s="548"/>
      <c r="D3002" s="550"/>
      <c r="E3002" s="550"/>
      <c r="F3002" s="550"/>
      <c r="G3002" s="550"/>
      <c r="H3002" s="551"/>
      <c r="I3002" s="550"/>
    </row>
    <row r="3003" spans="1:9" x14ac:dyDescent="0.2">
      <c r="A3003" s="549"/>
      <c r="C3003" s="548"/>
      <c r="D3003" s="550"/>
      <c r="E3003" s="550"/>
      <c r="F3003" s="550"/>
      <c r="G3003" s="550"/>
      <c r="H3003" s="551"/>
      <c r="I3003" s="550"/>
    </row>
    <row r="3004" spans="1:9" x14ac:dyDescent="0.2">
      <c r="A3004" s="549"/>
      <c r="C3004" s="548"/>
      <c r="D3004" s="550"/>
      <c r="E3004" s="550"/>
      <c r="F3004" s="550"/>
      <c r="G3004" s="550"/>
      <c r="H3004" s="551"/>
      <c r="I3004" s="550"/>
    </row>
    <row r="3005" spans="1:9" x14ac:dyDescent="0.2">
      <c r="A3005" s="549"/>
      <c r="C3005" s="548"/>
      <c r="D3005" s="550"/>
      <c r="E3005" s="550"/>
      <c r="F3005" s="550"/>
      <c r="G3005" s="550"/>
      <c r="H3005" s="551"/>
      <c r="I3005" s="550"/>
    </row>
    <row r="3006" spans="1:9" x14ac:dyDescent="0.2">
      <c r="A3006" s="549"/>
      <c r="C3006" s="548"/>
      <c r="D3006" s="550"/>
      <c r="E3006" s="550"/>
      <c r="F3006" s="550"/>
      <c r="G3006" s="550"/>
      <c r="H3006" s="551"/>
      <c r="I3006" s="550"/>
    </row>
    <row r="3007" spans="1:9" x14ac:dyDescent="0.2">
      <c r="A3007" s="549"/>
      <c r="C3007" s="548"/>
      <c r="D3007" s="550"/>
      <c r="E3007" s="550"/>
      <c r="F3007" s="550"/>
      <c r="G3007" s="550"/>
      <c r="H3007" s="551"/>
      <c r="I3007" s="550"/>
    </row>
    <row r="3008" spans="1:9" x14ac:dyDescent="0.2">
      <c r="A3008" s="549"/>
      <c r="C3008" s="548"/>
      <c r="D3008" s="550"/>
      <c r="E3008" s="550"/>
      <c r="F3008" s="550"/>
      <c r="G3008" s="550"/>
      <c r="H3008" s="551"/>
      <c r="I3008" s="550"/>
    </row>
    <row r="3009" spans="1:9" x14ac:dyDescent="0.2">
      <c r="A3009" s="549"/>
      <c r="C3009" s="548"/>
      <c r="D3009" s="550"/>
      <c r="E3009" s="550"/>
      <c r="F3009" s="550"/>
      <c r="G3009" s="550"/>
      <c r="H3009" s="551"/>
      <c r="I3009" s="550"/>
    </row>
    <row r="3010" spans="1:9" x14ac:dyDescent="0.2">
      <c r="A3010" s="549"/>
      <c r="C3010" s="548"/>
      <c r="D3010" s="550"/>
      <c r="E3010" s="550"/>
      <c r="F3010" s="550"/>
      <c r="G3010" s="550"/>
      <c r="H3010" s="551"/>
      <c r="I3010" s="550"/>
    </row>
    <row r="3011" spans="1:9" x14ac:dyDescent="0.2">
      <c r="A3011" s="549"/>
      <c r="C3011" s="548"/>
      <c r="D3011" s="550"/>
      <c r="E3011" s="550"/>
      <c r="F3011" s="550"/>
      <c r="G3011" s="550"/>
      <c r="H3011" s="551"/>
      <c r="I3011" s="550"/>
    </row>
    <row r="3012" spans="1:9" x14ac:dyDescent="0.2">
      <c r="A3012" s="549"/>
      <c r="C3012" s="548"/>
      <c r="D3012" s="550"/>
      <c r="E3012" s="550"/>
      <c r="F3012" s="550"/>
      <c r="G3012" s="550"/>
      <c r="H3012" s="551"/>
      <c r="I3012" s="550"/>
    </row>
    <row r="3013" spans="1:9" x14ac:dyDescent="0.2">
      <c r="A3013" s="549"/>
      <c r="C3013" s="548"/>
      <c r="D3013" s="550"/>
      <c r="E3013" s="550"/>
      <c r="F3013" s="550"/>
      <c r="G3013" s="550"/>
      <c r="H3013" s="551"/>
      <c r="I3013" s="550"/>
    </row>
    <row r="3014" spans="1:9" x14ac:dyDescent="0.2">
      <c r="A3014" s="549"/>
      <c r="C3014" s="548"/>
      <c r="D3014" s="550"/>
      <c r="E3014" s="550"/>
      <c r="F3014" s="550"/>
      <c r="G3014" s="550"/>
      <c r="H3014" s="551"/>
      <c r="I3014" s="550"/>
    </row>
    <row r="3015" spans="1:9" x14ac:dyDescent="0.2">
      <c r="A3015" s="549"/>
      <c r="C3015" s="548"/>
      <c r="D3015" s="550"/>
      <c r="E3015" s="550"/>
      <c r="F3015" s="550"/>
      <c r="G3015" s="550"/>
      <c r="H3015" s="551"/>
      <c r="I3015" s="550"/>
    </row>
    <row r="3016" spans="1:9" x14ac:dyDescent="0.2">
      <c r="A3016" s="549"/>
      <c r="C3016" s="548"/>
      <c r="D3016" s="550"/>
      <c r="E3016" s="550"/>
      <c r="F3016" s="550"/>
      <c r="G3016" s="550"/>
      <c r="H3016" s="551"/>
      <c r="I3016" s="550"/>
    </row>
    <row r="3017" spans="1:9" x14ac:dyDescent="0.2">
      <c r="A3017" s="549"/>
      <c r="C3017" s="548"/>
      <c r="D3017" s="550"/>
      <c r="E3017" s="550"/>
      <c r="F3017" s="550"/>
      <c r="G3017" s="550"/>
      <c r="H3017" s="551"/>
      <c r="I3017" s="550"/>
    </row>
    <row r="3018" spans="1:9" x14ac:dyDescent="0.2">
      <c r="A3018" s="549"/>
      <c r="C3018" s="548"/>
      <c r="D3018" s="550"/>
      <c r="E3018" s="550"/>
      <c r="F3018" s="550"/>
      <c r="G3018" s="550"/>
      <c r="H3018" s="551"/>
      <c r="I3018" s="550"/>
    </row>
    <row r="3019" spans="1:9" x14ac:dyDescent="0.2">
      <c r="A3019" s="549"/>
      <c r="C3019" s="548"/>
      <c r="D3019" s="550"/>
      <c r="E3019" s="550"/>
      <c r="F3019" s="550"/>
      <c r="G3019" s="550"/>
      <c r="H3019" s="551"/>
      <c r="I3019" s="550"/>
    </row>
    <row r="3020" spans="1:9" x14ac:dyDescent="0.2">
      <c r="A3020" s="549"/>
      <c r="C3020" s="548"/>
      <c r="D3020" s="550"/>
      <c r="E3020" s="550"/>
      <c r="F3020" s="550"/>
      <c r="G3020" s="550"/>
      <c r="H3020" s="551"/>
      <c r="I3020" s="550"/>
    </row>
    <row r="3021" spans="1:9" x14ac:dyDescent="0.2">
      <c r="A3021" s="549"/>
      <c r="C3021" s="548"/>
      <c r="D3021" s="550"/>
      <c r="E3021" s="550"/>
      <c r="F3021" s="550"/>
      <c r="G3021" s="550"/>
      <c r="H3021" s="551"/>
      <c r="I3021" s="550"/>
    </row>
    <row r="3022" spans="1:9" x14ac:dyDescent="0.2">
      <c r="A3022" s="549"/>
      <c r="C3022" s="548"/>
      <c r="D3022" s="550"/>
      <c r="E3022" s="550"/>
      <c r="F3022" s="550"/>
      <c r="G3022" s="550"/>
      <c r="H3022" s="551"/>
      <c r="I3022" s="550"/>
    </row>
    <row r="3023" spans="1:9" x14ac:dyDescent="0.2">
      <c r="A3023" s="549"/>
      <c r="C3023" s="548"/>
      <c r="D3023" s="550"/>
      <c r="E3023" s="550"/>
      <c r="F3023" s="550"/>
      <c r="G3023" s="550"/>
      <c r="H3023" s="551"/>
      <c r="I3023" s="550"/>
    </row>
    <row r="3024" spans="1:9" x14ac:dyDescent="0.2">
      <c r="A3024" s="549"/>
      <c r="C3024" s="548"/>
      <c r="D3024" s="550"/>
      <c r="E3024" s="550"/>
      <c r="F3024" s="550"/>
      <c r="G3024" s="550"/>
      <c r="H3024" s="551"/>
      <c r="I3024" s="550"/>
    </row>
    <row r="3025" spans="1:9" x14ac:dyDescent="0.2">
      <c r="A3025" s="549"/>
      <c r="C3025" s="548"/>
      <c r="D3025" s="550"/>
      <c r="E3025" s="550"/>
      <c r="F3025" s="550"/>
      <c r="G3025" s="550"/>
      <c r="H3025" s="551"/>
      <c r="I3025" s="550"/>
    </row>
    <row r="3026" spans="1:9" x14ac:dyDescent="0.2">
      <c r="A3026" s="549"/>
      <c r="C3026" s="548"/>
      <c r="D3026" s="550"/>
      <c r="E3026" s="550"/>
      <c r="F3026" s="550"/>
      <c r="G3026" s="550"/>
      <c r="H3026" s="551"/>
      <c r="I3026" s="550"/>
    </row>
    <row r="3027" spans="1:9" x14ac:dyDescent="0.2">
      <c r="A3027" s="549"/>
      <c r="C3027" s="548"/>
      <c r="D3027" s="550"/>
      <c r="E3027" s="550"/>
      <c r="F3027" s="550"/>
      <c r="G3027" s="550"/>
      <c r="H3027" s="551"/>
      <c r="I3027" s="550"/>
    </row>
    <row r="3028" spans="1:9" x14ac:dyDescent="0.2">
      <c r="A3028" s="549"/>
      <c r="C3028" s="548"/>
      <c r="D3028" s="550"/>
      <c r="E3028" s="550"/>
      <c r="F3028" s="550"/>
      <c r="G3028" s="550"/>
      <c r="H3028" s="551"/>
      <c r="I3028" s="550"/>
    </row>
    <row r="3029" spans="1:9" x14ac:dyDescent="0.2">
      <c r="A3029" s="549"/>
      <c r="C3029" s="548"/>
      <c r="D3029" s="550"/>
      <c r="E3029" s="550"/>
      <c r="F3029" s="550"/>
      <c r="G3029" s="550"/>
      <c r="H3029" s="551"/>
      <c r="I3029" s="550"/>
    </row>
    <row r="3030" spans="1:9" x14ac:dyDescent="0.2">
      <c r="A3030" s="549"/>
      <c r="C3030" s="548"/>
      <c r="D3030" s="550"/>
      <c r="E3030" s="550"/>
      <c r="F3030" s="550"/>
      <c r="G3030" s="550"/>
      <c r="H3030" s="551"/>
      <c r="I3030" s="550"/>
    </row>
    <row r="3031" spans="1:9" x14ac:dyDescent="0.2">
      <c r="A3031" s="549"/>
      <c r="C3031" s="548"/>
      <c r="D3031" s="550"/>
      <c r="E3031" s="550"/>
      <c r="F3031" s="550"/>
      <c r="G3031" s="550"/>
      <c r="H3031" s="551"/>
      <c r="I3031" s="550"/>
    </row>
    <row r="3032" spans="1:9" x14ac:dyDescent="0.2">
      <c r="A3032" s="549"/>
      <c r="C3032" s="548"/>
      <c r="D3032" s="550"/>
      <c r="E3032" s="550"/>
      <c r="F3032" s="550"/>
      <c r="G3032" s="550"/>
      <c r="H3032" s="551"/>
      <c r="I3032" s="550"/>
    </row>
    <row r="3033" spans="1:9" x14ac:dyDescent="0.2">
      <c r="A3033" s="549"/>
      <c r="C3033" s="548"/>
      <c r="D3033" s="550"/>
      <c r="E3033" s="550"/>
      <c r="F3033" s="550"/>
      <c r="G3033" s="550"/>
      <c r="H3033" s="551"/>
      <c r="I3033" s="550"/>
    </row>
    <row r="3034" spans="1:9" x14ac:dyDescent="0.2">
      <c r="A3034" s="549"/>
      <c r="C3034" s="548"/>
      <c r="D3034" s="550"/>
      <c r="E3034" s="550"/>
      <c r="F3034" s="550"/>
      <c r="G3034" s="550"/>
      <c r="H3034" s="551"/>
      <c r="I3034" s="550"/>
    </row>
    <row r="3035" spans="1:9" x14ac:dyDescent="0.2">
      <c r="A3035" s="549"/>
      <c r="C3035" s="548"/>
      <c r="D3035" s="550"/>
      <c r="E3035" s="550"/>
      <c r="F3035" s="550"/>
      <c r="G3035" s="550"/>
      <c r="H3035" s="551"/>
      <c r="I3035" s="550"/>
    </row>
    <row r="3036" spans="1:9" x14ac:dyDescent="0.2">
      <c r="A3036" s="549"/>
      <c r="C3036" s="548"/>
      <c r="D3036" s="550"/>
      <c r="E3036" s="550"/>
      <c r="F3036" s="550"/>
      <c r="G3036" s="550"/>
      <c r="H3036" s="551"/>
      <c r="I3036" s="550"/>
    </row>
    <row r="3037" spans="1:9" x14ac:dyDescent="0.2">
      <c r="A3037" s="549"/>
      <c r="C3037" s="548"/>
      <c r="D3037" s="550"/>
      <c r="E3037" s="550"/>
      <c r="F3037" s="550"/>
      <c r="G3037" s="550"/>
      <c r="H3037" s="551"/>
      <c r="I3037" s="550"/>
    </row>
    <row r="3038" spans="1:9" x14ac:dyDescent="0.2">
      <c r="A3038" s="549"/>
      <c r="C3038" s="548"/>
      <c r="D3038" s="550"/>
      <c r="E3038" s="550"/>
      <c r="F3038" s="550"/>
      <c r="G3038" s="550"/>
      <c r="H3038" s="551"/>
      <c r="I3038" s="550"/>
    </row>
    <row r="3039" spans="1:9" x14ac:dyDescent="0.2">
      <c r="A3039" s="549"/>
      <c r="C3039" s="548"/>
      <c r="D3039" s="550"/>
      <c r="E3039" s="550"/>
      <c r="F3039" s="550"/>
      <c r="G3039" s="550"/>
      <c r="H3039" s="551"/>
      <c r="I3039" s="550"/>
    </row>
    <row r="3040" spans="1:9" x14ac:dyDescent="0.2">
      <c r="A3040" s="549"/>
      <c r="C3040" s="548"/>
      <c r="D3040" s="550"/>
      <c r="E3040" s="550"/>
      <c r="F3040" s="550"/>
      <c r="G3040" s="550"/>
      <c r="H3040" s="551"/>
      <c r="I3040" s="550"/>
    </row>
    <row r="3041" spans="1:9" x14ac:dyDescent="0.2">
      <c r="A3041" s="549"/>
      <c r="C3041" s="548"/>
      <c r="D3041" s="550"/>
      <c r="E3041" s="550"/>
      <c r="F3041" s="550"/>
      <c r="G3041" s="550"/>
      <c r="H3041" s="551"/>
      <c r="I3041" s="550"/>
    </row>
    <row r="3042" spans="1:9" x14ac:dyDescent="0.2">
      <c r="A3042" s="549"/>
      <c r="C3042" s="548"/>
      <c r="D3042" s="550"/>
      <c r="E3042" s="550"/>
      <c r="F3042" s="550"/>
      <c r="G3042" s="550"/>
      <c r="H3042" s="551"/>
      <c r="I3042" s="550"/>
    </row>
    <row r="3043" spans="1:9" x14ac:dyDescent="0.2">
      <c r="A3043" s="549"/>
      <c r="C3043" s="548"/>
      <c r="D3043" s="550"/>
      <c r="E3043" s="550"/>
      <c r="F3043" s="550"/>
      <c r="G3043" s="550"/>
      <c r="H3043" s="551"/>
      <c r="I3043" s="550"/>
    </row>
    <row r="3044" spans="1:9" x14ac:dyDescent="0.2">
      <c r="A3044" s="549"/>
      <c r="C3044" s="548"/>
      <c r="D3044" s="550"/>
      <c r="E3044" s="550"/>
      <c r="F3044" s="550"/>
      <c r="G3044" s="550"/>
      <c r="H3044" s="551"/>
      <c r="I3044" s="550"/>
    </row>
    <row r="3045" spans="1:9" x14ac:dyDescent="0.2">
      <c r="A3045" s="549"/>
      <c r="C3045" s="548"/>
      <c r="D3045" s="550"/>
      <c r="E3045" s="550"/>
      <c r="F3045" s="550"/>
      <c r="G3045" s="550"/>
      <c r="H3045" s="551"/>
      <c r="I3045" s="550"/>
    </row>
    <row r="3046" spans="1:9" x14ac:dyDescent="0.2">
      <c r="A3046" s="549"/>
      <c r="C3046" s="548"/>
      <c r="D3046" s="550"/>
      <c r="E3046" s="550"/>
      <c r="F3046" s="550"/>
      <c r="G3046" s="550"/>
      <c r="H3046" s="551"/>
      <c r="I3046" s="550"/>
    </row>
    <row r="3047" spans="1:9" x14ac:dyDescent="0.2">
      <c r="A3047" s="549"/>
      <c r="C3047" s="548"/>
      <c r="D3047" s="550"/>
      <c r="E3047" s="550"/>
      <c r="F3047" s="550"/>
      <c r="G3047" s="550"/>
      <c r="H3047" s="551"/>
      <c r="I3047" s="550"/>
    </row>
    <row r="3048" spans="1:9" x14ac:dyDescent="0.2">
      <c r="A3048" s="549"/>
      <c r="C3048" s="548"/>
      <c r="D3048" s="550"/>
      <c r="E3048" s="550"/>
      <c r="F3048" s="550"/>
      <c r="G3048" s="550"/>
      <c r="H3048" s="551"/>
      <c r="I3048" s="550"/>
    </row>
    <row r="3049" spans="1:9" x14ac:dyDescent="0.2">
      <c r="A3049" s="549"/>
      <c r="C3049" s="548"/>
      <c r="D3049" s="550"/>
      <c r="E3049" s="550"/>
      <c r="F3049" s="550"/>
      <c r="G3049" s="550"/>
      <c r="H3049" s="551"/>
      <c r="I3049" s="550"/>
    </row>
    <row r="3050" spans="1:9" x14ac:dyDescent="0.2">
      <c r="A3050" s="549"/>
      <c r="C3050" s="548"/>
      <c r="D3050" s="550"/>
      <c r="E3050" s="550"/>
      <c r="F3050" s="550"/>
      <c r="G3050" s="550"/>
      <c r="H3050" s="551"/>
      <c r="I3050" s="550"/>
    </row>
    <row r="3051" spans="1:9" x14ac:dyDescent="0.2">
      <c r="A3051" s="549"/>
      <c r="C3051" s="548"/>
      <c r="D3051" s="550"/>
      <c r="E3051" s="550"/>
      <c r="F3051" s="550"/>
      <c r="G3051" s="550"/>
      <c r="H3051" s="551"/>
      <c r="I3051" s="550"/>
    </row>
    <row r="3052" spans="1:9" x14ac:dyDescent="0.2">
      <c r="A3052" s="549"/>
      <c r="C3052" s="548"/>
      <c r="D3052" s="550"/>
      <c r="E3052" s="550"/>
      <c r="F3052" s="550"/>
      <c r="G3052" s="550"/>
      <c r="H3052" s="551"/>
      <c r="I3052" s="550"/>
    </row>
    <row r="3053" spans="1:9" x14ac:dyDescent="0.2">
      <c r="A3053" s="549"/>
      <c r="C3053" s="548"/>
      <c r="D3053" s="550"/>
      <c r="E3053" s="550"/>
      <c r="F3053" s="550"/>
      <c r="G3053" s="550"/>
      <c r="H3053" s="551"/>
      <c r="I3053" s="550"/>
    </row>
    <row r="3054" spans="1:9" x14ac:dyDescent="0.2">
      <c r="A3054" s="549"/>
      <c r="C3054" s="548"/>
      <c r="D3054" s="550"/>
      <c r="E3054" s="550"/>
      <c r="F3054" s="550"/>
      <c r="G3054" s="550"/>
      <c r="H3054" s="551"/>
      <c r="I3054" s="550"/>
    </row>
    <row r="3055" spans="1:9" x14ac:dyDescent="0.2">
      <c r="A3055" s="549"/>
      <c r="C3055" s="548"/>
      <c r="D3055" s="550"/>
      <c r="E3055" s="550"/>
      <c r="F3055" s="550"/>
      <c r="G3055" s="550"/>
      <c r="H3055" s="551"/>
      <c r="I3055" s="550"/>
    </row>
    <row r="3056" spans="1:9" x14ac:dyDescent="0.2">
      <c r="A3056" s="549"/>
      <c r="C3056" s="548"/>
      <c r="D3056" s="550"/>
      <c r="E3056" s="550"/>
      <c r="F3056" s="550"/>
      <c r="G3056" s="550"/>
      <c r="H3056" s="551"/>
      <c r="I3056" s="550"/>
    </row>
    <row r="3057" spans="1:9" x14ac:dyDescent="0.2">
      <c r="A3057" s="549"/>
      <c r="C3057" s="548"/>
      <c r="D3057" s="550"/>
      <c r="E3057" s="550"/>
      <c r="F3057" s="550"/>
      <c r="G3057" s="550"/>
      <c r="H3057" s="551"/>
      <c r="I3057" s="550"/>
    </row>
    <row r="3058" spans="1:9" x14ac:dyDescent="0.2">
      <c r="A3058" s="549"/>
      <c r="C3058" s="548"/>
      <c r="D3058" s="550"/>
      <c r="E3058" s="550"/>
      <c r="F3058" s="550"/>
      <c r="G3058" s="550"/>
      <c r="H3058" s="551"/>
      <c r="I3058" s="550"/>
    </row>
    <row r="3059" spans="1:9" x14ac:dyDescent="0.2">
      <c r="A3059" s="549"/>
      <c r="C3059" s="548"/>
      <c r="D3059" s="550"/>
      <c r="E3059" s="550"/>
      <c r="F3059" s="550"/>
      <c r="G3059" s="550"/>
      <c r="H3059" s="551"/>
      <c r="I3059" s="550"/>
    </row>
    <row r="3060" spans="1:9" x14ac:dyDescent="0.2">
      <c r="A3060" s="549"/>
      <c r="C3060" s="548"/>
      <c r="D3060" s="550"/>
      <c r="E3060" s="550"/>
      <c r="F3060" s="550"/>
      <c r="G3060" s="550"/>
      <c r="H3060" s="551"/>
      <c r="I3060" s="550"/>
    </row>
    <row r="3061" spans="1:9" x14ac:dyDescent="0.2">
      <c r="A3061" s="549"/>
      <c r="C3061" s="548"/>
      <c r="D3061" s="550"/>
      <c r="E3061" s="550"/>
      <c r="F3061" s="550"/>
      <c r="G3061" s="550"/>
      <c r="H3061" s="551"/>
      <c r="I3061" s="550"/>
    </row>
    <row r="3062" spans="1:9" x14ac:dyDescent="0.2">
      <c r="A3062" s="549"/>
      <c r="C3062" s="548"/>
      <c r="D3062" s="550"/>
      <c r="E3062" s="550"/>
      <c r="F3062" s="550"/>
      <c r="G3062" s="550"/>
      <c r="H3062" s="551"/>
      <c r="I3062" s="550"/>
    </row>
    <row r="3063" spans="1:9" x14ac:dyDescent="0.2">
      <c r="A3063" s="549"/>
      <c r="C3063" s="548"/>
      <c r="D3063" s="550"/>
      <c r="E3063" s="550"/>
      <c r="F3063" s="550"/>
      <c r="G3063" s="550"/>
      <c r="H3063" s="551"/>
      <c r="I3063" s="550"/>
    </row>
    <row r="3064" spans="1:9" x14ac:dyDescent="0.2">
      <c r="A3064" s="549"/>
      <c r="C3064" s="548"/>
      <c r="D3064" s="550"/>
      <c r="E3064" s="550"/>
      <c r="F3064" s="550"/>
      <c r="G3064" s="550"/>
      <c r="H3064" s="551"/>
      <c r="I3064" s="550"/>
    </row>
    <row r="3065" spans="1:9" x14ac:dyDescent="0.2">
      <c r="A3065" s="549"/>
      <c r="C3065" s="548"/>
      <c r="D3065" s="550"/>
      <c r="E3065" s="550"/>
      <c r="F3065" s="550"/>
      <c r="G3065" s="550"/>
      <c r="H3065" s="551"/>
      <c r="I3065" s="550"/>
    </row>
    <row r="3066" spans="1:9" x14ac:dyDescent="0.2">
      <c r="A3066" s="549"/>
      <c r="C3066" s="548"/>
      <c r="D3066" s="550"/>
      <c r="E3066" s="550"/>
      <c r="F3066" s="550"/>
      <c r="G3066" s="550"/>
      <c r="H3066" s="551"/>
      <c r="I3066" s="550"/>
    </row>
    <row r="3067" spans="1:9" x14ac:dyDescent="0.2">
      <c r="A3067" s="549"/>
      <c r="C3067" s="548"/>
      <c r="D3067" s="550"/>
      <c r="E3067" s="550"/>
      <c r="F3067" s="550"/>
      <c r="G3067" s="550"/>
      <c r="H3067" s="551"/>
      <c r="I3067" s="550"/>
    </row>
    <row r="3068" spans="1:9" x14ac:dyDescent="0.2">
      <c r="A3068" s="549"/>
      <c r="C3068" s="548"/>
      <c r="D3068" s="550"/>
      <c r="E3068" s="550"/>
      <c r="F3068" s="550"/>
      <c r="G3068" s="550"/>
      <c r="H3068" s="551"/>
      <c r="I3068" s="550"/>
    </row>
    <row r="3069" spans="1:9" x14ac:dyDescent="0.2">
      <c r="A3069" s="549"/>
      <c r="C3069" s="548"/>
      <c r="D3069" s="550"/>
      <c r="E3069" s="550"/>
      <c r="F3069" s="550"/>
      <c r="G3069" s="550"/>
      <c r="H3069" s="551"/>
      <c r="I3069" s="550"/>
    </row>
    <row r="3070" spans="1:9" x14ac:dyDescent="0.2">
      <c r="A3070" s="549"/>
      <c r="C3070" s="548"/>
      <c r="D3070" s="550"/>
      <c r="E3070" s="550"/>
      <c r="F3070" s="550"/>
      <c r="G3070" s="550"/>
      <c r="H3070" s="551"/>
      <c r="I3070" s="550"/>
    </row>
    <row r="3071" spans="1:9" x14ac:dyDescent="0.2">
      <c r="A3071" s="549"/>
      <c r="C3071" s="548"/>
      <c r="D3071" s="550"/>
      <c r="E3071" s="550"/>
      <c r="F3071" s="550"/>
      <c r="G3071" s="550"/>
      <c r="H3071" s="551"/>
      <c r="I3071" s="550"/>
    </row>
    <row r="3072" spans="1:9" x14ac:dyDescent="0.2">
      <c r="A3072" s="549"/>
      <c r="C3072" s="548"/>
      <c r="D3072" s="550"/>
      <c r="E3072" s="550"/>
      <c r="F3072" s="550"/>
      <c r="G3072" s="550"/>
      <c r="H3072" s="551"/>
      <c r="I3072" s="550"/>
    </row>
    <row r="3073" spans="1:9" x14ac:dyDescent="0.2">
      <c r="A3073" s="549"/>
      <c r="C3073" s="548"/>
      <c r="D3073" s="550"/>
      <c r="E3073" s="550"/>
      <c r="F3073" s="550"/>
      <c r="G3073" s="550"/>
      <c r="H3073" s="551"/>
      <c r="I3073" s="550"/>
    </row>
    <row r="3074" spans="1:9" x14ac:dyDescent="0.2">
      <c r="A3074" s="549"/>
      <c r="C3074" s="548"/>
      <c r="D3074" s="550"/>
      <c r="E3074" s="550"/>
      <c r="F3074" s="550"/>
      <c r="G3074" s="550"/>
      <c r="H3074" s="551"/>
      <c r="I3074" s="550"/>
    </row>
    <row r="3075" spans="1:9" x14ac:dyDescent="0.2">
      <c r="A3075" s="549"/>
      <c r="C3075" s="548"/>
      <c r="D3075" s="550"/>
      <c r="E3075" s="550"/>
      <c r="F3075" s="550"/>
      <c r="G3075" s="550"/>
      <c r="H3075" s="551"/>
      <c r="I3075" s="550"/>
    </row>
    <row r="3076" spans="1:9" x14ac:dyDescent="0.2">
      <c r="A3076" s="549"/>
      <c r="C3076" s="548"/>
      <c r="D3076" s="550"/>
      <c r="E3076" s="550"/>
      <c r="F3076" s="550"/>
      <c r="G3076" s="550"/>
      <c r="H3076" s="551"/>
      <c r="I3076" s="550"/>
    </row>
    <row r="3077" spans="1:9" x14ac:dyDescent="0.2">
      <c r="A3077" s="549"/>
      <c r="C3077" s="548"/>
      <c r="D3077" s="550"/>
      <c r="E3077" s="550"/>
      <c r="F3077" s="550"/>
      <c r="G3077" s="550"/>
      <c r="H3077" s="551"/>
      <c r="I3077" s="550"/>
    </row>
    <row r="3078" spans="1:9" x14ac:dyDescent="0.2">
      <c r="A3078" s="549"/>
      <c r="C3078" s="548"/>
      <c r="D3078" s="550"/>
      <c r="E3078" s="550"/>
      <c r="F3078" s="550"/>
      <c r="G3078" s="550"/>
      <c r="H3078" s="551"/>
      <c r="I3078" s="550"/>
    </row>
    <row r="3079" spans="1:9" x14ac:dyDescent="0.2">
      <c r="A3079" s="549"/>
      <c r="C3079" s="548"/>
      <c r="D3079" s="550"/>
      <c r="E3079" s="550"/>
      <c r="F3079" s="550"/>
      <c r="G3079" s="550"/>
      <c r="H3079" s="551"/>
      <c r="I3079" s="550"/>
    </row>
    <row r="3080" spans="1:9" x14ac:dyDescent="0.2">
      <c r="A3080" s="549"/>
      <c r="C3080" s="548"/>
      <c r="D3080" s="550"/>
      <c r="E3080" s="550"/>
      <c r="F3080" s="550"/>
      <c r="G3080" s="550"/>
      <c r="H3080" s="551"/>
      <c r="I3080" s="550"/>
    </row>
    <row r="3081" spans="1:9" x14ac:dyDescent="0.2">
      <c r="A3081" s="549"/>
      <c r="C3081" s="548"/>
      <c r="D3081" s="550"/>
      <c r="E3081" s="550"/>
      <c r="F3081" s="550"/>
      <c r="G3081" s="550"/>
      <c r="H3081" s="551"/>
      <c r="I3081" s="550"/>
    </row>
    <row r="3082" spans="1:9" x14ac:dyDescent="0.2">
      <c r="A3082" s="549"/>
      <c r="C3082" s="548"/>
      <c r="D3082" s="550"/>
      <c r="E3082" s="550"/>
      <c r="F3082" s="550"/>
      <c r="G3082" s="550"/>
      <c r="H3082" s="551"/>
      <c r="I3082" s="550"/>
    </row>
    <row r="3083" spans="1:9" x14ac:dyDescent="0.2">
      <c r="A3083" s="549"/>
      <c r="C3083" s="548"/>
      <c r="D3083" s="550"/>
      <c r="E3083" s="550"/>
      <c r="F3083" s="550"/>
      <c r="G3083" s="550"/>
      <c r="H3083" s="551"/>
      <c r="I3083" s="550"/>
    </row>
    <row r="3084" spans="1:9" x14ac:dyDescent="0.2">
      <c r="A3084" s="549"/>
      <c r="C3084" s="548"/>
      <c r="D3084" s="550"/>
      <c r="E3084" s="550"/>
      <c r="F3084" s="550"/>
      <c r="G3084" s="550"/>
      <c r="H3084" s="551"/>
      <c r="I3084" s="550"/>
    </row>
    <row r="3085" spans="1:9" x14ac:dyDescent="0.2">
      <c r="A3085" s="549"/>
      <c r="C3085" s="548"/>
      <c r="D3085" s="550"/>
      <c r="E3085" s="550"/>
      <c r="F3085" s="550"/>
      <c r="G3085" s="550"/>
      <c r="H3085" s="551"/>
      <c r="I3085" s="550"/>
    </row>
    <row r="3086" spans="1:9" x14ac:dyDescent="0.2">
      <c r="A3086" s="549"/>
      <c r="C3086" s="548"/>
      <c r="D3086" s="550"/>
      <c r="E3086" s="550"/>
      <c r="F3086" s="550"/>
      <c r="G3086" s="550"/>
      <c r="H3086" s="551"/>
      <c r="I3086" s="550"/>
    </row>
    <row r="3087" spans="1:9" x14ac:dyDescent="0.2">
      <c r="A3087" s="549"/>
      <c r="C3087" s="548"/>
      <c r="D3087" s="550"/>
      <c r="E3087" s="550"/>
      <c r="F3087" s="550"/>
      <c r="G3087" s="550"/>
      <c r="H3087" s="551"/>
      <c r="I3087" s="550"/>
    </row>
    <row r="3088" spans="1:9" x14ac:dyDescent="0.2">
      <c r="A3088" s="549"/>
      <c r="C3088" s="548"/>
      <c r="D3088" s="550"/>
      <c r="E3088" s="550"/>
      <c r="F3088" s="550"/>
      <c r="G3088" s="550"/>
      <c r="H3088" s="551"/>
      <c r="I3088" s="550"/>
    </row>
    <row r="3089" spans="1:9" x14ac:dyDescent="0.2">
      <c r="A3089" s="549"/>
      <c r="C3089" s="548"/>
      <c r="D3089" s="550"/>
      <c r="E3089" s="550"/>
      <c r="F3089" s="550"/>
      <c r="G3089" s="550"/>
      <c r="H3089" s="551"/>
      <c r="I3089" s="550"/>
    </row>
    <row r="3090" spans="1:9" x14ac:dyDescent="0.2">
      <c r="A3090" s="549"/>
      <c r="C3090" s="548"/>
      <c r="D3090" s="550"/>
      <c r="E3090" s="550"/>
      <c r="F3090" s="550"/>
      <c r="G3090" s="550"/>
      <c r="H3090" s="551"/>
      <c r="I3090" s="550"/>
    </row>
    <row r="3091" spans="1:9" x14ac:dyDescent="0.2">
      <c r="A3091" s="549"/>
      <c r="C3091" s="548"/>
      <c r="D3091" s="550"/>
      <c r="E3091" s="550"/>
      <c r="F3091" s="550"/>
      <c r="G3091" s="550"/>
      <c r="H3091" s="551"/>
      <c r="I3091" s="550"/>
    </row>
    <row r="3092" spans="1:9" x14ac:dyDescent="0.2">
      <c r="A3092" s="549"/>
      <c r="C3092" s="548"/>
      <c r="D3092" s="550"/>
      <c r="E3092" s="550"/>
      <c r="F3092" s="550"/>
      <c r="G3092" s="550"/>
      <c r="H3092" s="551"/>
      <c r="I3092" s="550"/>
    </row>
    <row r="3093" spans="1:9" x14ac:dyDescent="0.2">
      <c r="A3093" s="549"/>
      <c r="C3093" s="548"/>
      <c r="D3093" s="550"/>
      <c r="E3093" s="550"/>
      <c r="F3093" s="550"/>
      <c r="G3093" s="550"/>
      <c r="H3093" s="551"/>
      <c r="I3093" s="550"/>
    </row>
    <row r="3094" spans="1:9" x14ac:dyDescent="0.2">
      <c r="A3094" s="549"/>
      <c r="C3094" s="548"/>
      <c r="D3094" s="550"/>
      <c r="E3094" s="550"/>
      <c r="F3094" s="550"/>
      <c r="G3094" s="550"/>
      <c r="H3094" s="551"/>
      <c r="I3094" s="550"/>
    </row>
    <row r="3095" spans="1:9" x14ac:dyDescent="0.2">
      <c r="A3095" s="549"/>
      <c r="C3095" s="548"/>
      <c r="D3095" s="550"/>
      <c r="E3095" s="550"/>
      <c r="F3095" s="550"/>
      <c r="G3095" s="550"/>
      <c r="H3095" s="551"/>
      <c r="I3095" s="550"/>
    </row>
    <row r="3096" spans="1:9" x14ac:dyDescent="0.2">
      <c r="A3096" s="549"/>
      <c r="C3096" s="548"/>
      <c r="D3096" s="550"/>
      <c r="E3096" s="550"/>
      <c r="F3096" s="550"/>
      <c r="G3096" s="550"/>
      <c r="H3096" s="551"/>
      <c r="I3096" s="550"/>
    </row>
    <row r="3097" spans="1:9" x14ac:dyDescent="0.2">
      <c r="A3097" s="549"/>
      <c r="C3097" s="548"/>
      <c r="D3097" s="550"/>
      <c r="E3097" s="550"/>
      <c r="F3097" s="550"/>
      <c r="G3097" s="550"/>
      <c r="H3097" s="551"/>
      <c r="I3097" s="550"/>
    </row>
    <row r="3098" spans="1:9" x14ac:dyDescent="0.2">
      <c r="A3098" s="549"/>
      <c r="C3098" s="548"/>
      <c r="D3098" s="550"/>
      <c r="E3098" s="550"/>
      <c r="F3098" s="550"/>
      <c r="G3098" s="550"/>
      <c r="H3098" s="551"/>
      <c r="I3098" s="550"/>
    </row>
    <row r="3099" spans="1:9" x14ac:dyDescent="0.2">
      <c r="A3099" s="549"/>
      <c r="C3099" s="548"/>
      <c r="D3099" s="550"/>
      <c r="E3099" s="550"/>
      <c r="F3099" s="550"/>
      <c r="G3099" s="550"/>
      <c r="H3099" s="551"/>
      <c r="I3099" s="550"/>
    </row>
    <row r="3100" spans="1:9" x14ac:dyDescent="0.2">
      <c r="A3100" s="549"/>
      <c r="C3100" s="548"/>
      <c r="D3100" s="550"/>
      <c r="E3100" s="550"/>
      <c r="F3100" s="550"/>
      <c r="G3100" s="550"/>
      <c r="H3100" s="551"/>
      <c r="I3100" s="550"/>
    </row>
    <row r="3101" spans="1:9" x14ac:dyDescent="0.2">
      <c r="A3101" s="549"/>
      <c r="C3101" s="548"/>
      <c r="D3101" s="550"/>
      <c r="E3101" s="550"/>
      <c r="F3101" s="550"/>
      <c r="G3101" s="550"/>
      <c r="H3101" s="551"/>
      <c r="I3101" s="550"/>
    </row>
    <row r="3102" spans="1:9" x14ac:dyDescent="0.2">
      <c r="A3102" s="549"/>
      <c r="C3102" s="548"/>
      <c r="D3102" s="550"/>
      <c r="E3102" s="550"/>
      <c r="F3102" s="550"/>
      <c r="G3102" s="550"/>
      <c r="H3102" s="551"/>
      <c r="I3102" s="550"/>
    </row>
    <row r="3103" spans="1:9" x14ac:dyDescent="0.2">
      <c r="A3103" s="549"/>
      <c r="C3103" s="548"/>
      <c r="D3103" s="550"/>
      <c r="E3103" s="550"/>
      <c r="F3103" s="550"/>
      <c r="G3103" s="550"/>
      <c r="H3103" s="551"/>
      <c r="I3103" s="550"/>
    </row>
    <row r="3104" spans="1:9" x14ac:dyDescent="0.2">
      <c r="A3104" s="549"/>
      <c r="C3104" s="548"/>
      <c r="D3104" s="550"/>
      <c r="E3104" s="550"/>
      <c r="F3104" s="550"/>
      <c r="G3104" s="550"/>
      <c r="H3104" s="551"/>
      <c r="I3104" s="550"/>
    </row>
    <row r="3105" spans="1:9" x14ac:dyDescent="0.2">
      <c r="A3105" s="549"/>
      <c r="C3105" s="548"/>
      <c r="D3105" s="550"/>
      <c r="E3105" s="550"/>
      <c r="F3105" s="550"/>
      <c r="G3105" s="550"/>
      <c r="H3105" s="551"/>
      <c r="I3105" s="550"/>
    </row>
    <row r="3106" spans="1:9" x14ac:dyDescent="0.2">
      <c r="A3106" s="549"/>
      <c r="C3106" s="548"/>
      <c r="D3106" s="550"/>
      <c r="E3106" s="550"/>
      <c r="F3106" s="550"/>
      <c r="G3106" s="550"/>
      <c r="H3106" s="551"/>
      <c r="I3106" s="550"/>
    </row>
    <row r="3107" spans="1:9" x14ac:dyDescent="0.2">
      <c r="A3107" s="549"/>
      <c r="C3107" s="548"/>
      <c r="D3107" s="550"/>
      <c r="E3107" s="550"/>
      <c r="F3107" s="550"/>
      <c r="G3107" s="550"/>
      <c r="H3107" s="551"/>
      <c r="I3107" s="550"/>
    </row>
    <row r="3108" spans="1:9" x14ac:dyDescent="0.2">
      <c r="A3108" s="549"/>
      <c r="C3108" s="548"/>
      <c r="D3108" s="550"/>
      <c r="E3108" s="550"/>
      <c r="F3108" s="550"/>
      <c r="G3108" s="550"/>
      <c r="H3108" s="551"/>
      <c r="I3108" s="550"/>
    </row>
    <row r="3109" spans="1:9" x14ac:dyDescent="0.2">
      <c r="A3109" s="549"/>
      <c r="C3109" s="548"/>
      <c r="D3109" s="550"/>
      <c r="E3109" s="550"/>
      <c r="F3109" s="550"/>
      <c r="G3109" s="550"/>
      <c r="H3109" s="551"/>
      <c r="I3109" s="550"/>
    </row>
    <row r="3110" spans="1:9" x14ac:dyDescent="0.2">
      <c r="A3110" s="549"/>
      <c r="C3110" s="548"/>
      <c r="D3110" s="550"/>
      <c r="E3110" s="550"/>
      <c r="F3110" s="550"/>
      <c r="G3110" s="550"/>
      <c r="H3110" s="551"/>
      <c r="I3110" s="550"/>
    </row>
    <row r="3111" spans="1:9" x14ac:dyDescent="0.2">
      <c r="A3111" s="549"/>
      <c r="C3111" s="548"/>
      <c r="D3111" s="550"/>
      <c r="E3111" s="550"/>
      <c r="F3111" s="550"/>
      <c r="G3111" s="550"/>
      <c r="H3111" s="551"/>
      <c r="I3111" s="550"/>
    </row>
    <row r="3112" spans="1:9" x14ac:dyDescent="0.2">
      <c r="A3112" s="549"/>
      <c r="C3112" s="548"/>
      <c r="D3112" s="550"/>
      <c r="E3112" s="550"/>
      <c r="F3112" s="550"/>
      <c r="G3112" s="550"/>
      <c r="H3112" s="551"/>
      <c r="I3112" s="550"/>
    </row>
    <row r="3113" spans="1:9" x14ac:dyDescent="0.2">
      <c r="A3113" s="549"/>
      <c r="C3113" s="548"/>
      <c r="D3113" s="550"/>
      <c r="E3113" s="550"/>
      <c r="F3113" s="550"/>
      <c r="G3113" s="550"/>
      <c r="H3113" s="551"/>
      <c r="I3113" s="550"/>
    </row>
    <row r="3114" spans="1:9" x14ac:dyDescent="0.2">
      <c r="A3114" s="549"/>
      <c r="C3114" s="548"/>
      <c r="D3114" s="550"/>
      <c r="E3114" s="550"/>
      <c r="F3114" s="550"/>
      <c r="G3114" s="550"/>
      <c r="H3114" s="551"/>
      <c r="I3114" s="550"/>
    </row>
    <row r="3115" spans="1:9" x14ac:dyDescent="0.2">
      <c r="A3115" s="549"/>
      <c r="C3115" s="548"/>
      <c r="D3115" s="550"/>
      <c r="E3115" s="550"/>
      <c r="F3115" s="550"/>
      <c r="G3115" s="550"/>
      <c r="H3115" s="551"/>
      <c r="I3115" s="550"/>
    </row>
    <row r="3116" spans="1:9" x14ac:dyDescent="0.2">
      <c r="A3116" s="549"/>
      <c r="C3116" s="548"/>
      <c r="D3116" s="550"/>
      <c r="E3116" s="550"/>
      <c r="F3116" s="550"/>
      <c r="G3116" s="550"/>
      <c r="H3116" s="551"/>
      <c r="I3116" s="550"/>
    </row>
    <row r="3117" spans="1:9" x14ac:dyDescent="0.2">
      <c r="A3117" s="549"/>
      <c r="C3117" s="548"/>
      <c r="D3117" s="550"/>
      <c r="E3117" s="550"/>
      <c r="F3117" s="550"/>
      <c r="G3117" s="550"/>
      <c r="H3117" s="551"/>
      <c r="I3117" s="550"/>
    </row>
    <row r="3118" spans="1:9" x14ac:dyDescent="0.2">
      <c r="A3118" s="549"/>
      <c r="C3118" s="548"/>
      <c r="D3118" s="550"/>
      <c r="E3118" s="550"/>
      <c r="F3118" s="550"/>
      <c r="G3118" s="550"/>
      <c r="H3118" s="551"/>
      <c r="I3118" s="550"/>
    </row>
    <row r="3119" spans="1:9" x14ac:dyDescent="0.2">
      <c r="A3119" s="549"/>
      <c r="C3119" s="548"/>
      <c r="D3119" s="550"/>
      <c r="E3119" s="550"/>
      <c r="F3119" s="550"/>
      <c r="G3119" s="550"/>
      <c r="H3119" s="551"/>
      <c r="I3119" s="550"/>
    </row>
    <row r="3120" spans="1:9" x14ac:dyDescent="0.2">
      <c r="A3120" s="549"/>
      <c r="C3120" s="548"/>
      <c r="D3120" s="550"/>
      <c r="E3120" s="550"/>
      <c r="F3120" s="550"/>
      <c r="G3120" s="550"/>
      <c r="H3120" s="551"/>
      <c r="I3120" s="550"/>
    </row>
    <row r="3121" spans="1:9" x14ac:dyDescent="0.2">
      <c r="A3121" s="549"/>
      <c r="C3121" s="548"/>
      <c r="D3121" s="550"/>
      <c r="E3121" s="550"/>
      <c r="F3121" s="550"/>
      <c r="G3121" s="550"/>
      <c r="H3121" s="551"/>
      <c r="I3121" s="550"/>
    </row>
    <row r="3122" spans="1:9" x14ac:dyDescent="0.2">
      <c r="A3122" s="549"/>
      <c r="C3122" s="548"/>
      <c r="D3122" s="550"/>
      <c r="E3122" s="550"/>
      <c r="F3122" s="550"/>
      <c r="G3122" s="550"/>
      <c r="H3122" s="551"/>
      <c r="I3122" s="550"/>
    </row>
    <row r="3123" spans="1:9" x14ac:dyDescent="0.2">
      <c r="A3123" s="549"/>
      <c r="C3123" s="548"/>
      <c r="D3123" s="550"/>
      <c r="E3123" s="550"/>
      <c r="F3123" s="550"/>
      <c r="G3123" s="550"/>
      <c r="H3123" s="551"/>
      <c r="I3123" s="550"/>
    </row>
    <row r="3124" spans="1:9" x14ac:dyDescent="0.2">
      <c r="A3124" s="549"/>
      <c r="C3124" s="548"/>
      <c r="D3124" s="550"/>
      <c r="E3124" s="550"/>
      <c r="F3124" s="550"/>
      <c r="G3124" s="550"/>
      <c r="H3124" s="551"/>
      <c r="I3124" s="550"/>
    </row>
    <row r="3125" spans="1:9" x14ac:dyDescent="0.2">
      <c r="A3125" s="549"/>
      <c r="C3125" s="548"/>
      <c r="D3125" s="550"/>
      <c r="E3125" s="550"/>
      <c r="F3125" s="550"/>
      <c r="G3125" s="550"/>
      <c r="H3125" s="551"/>
      <c r="I3125" s="550"/>
    </row>
    <row r="3126" spans="1:9" x14ac:dyDescent="0.2">
      <c r="A3126" s="549"/>
      <c r="C3126" s="548"/>
      <c r="D3126" s="550"/>
      <c r="E3126" s="550"/>
      <c r="F3126" s="550"/>
      <c r="G3126" s="550"/>
      <c r="H3126" s="551"/>
      <c r="I3126" s="550"/>
    </row>
    <row r="3127" spans="1:9" x14ac:dyDescent="0.2">
      <c r="A3127" s="549"/>
      <c r="C3127" s="548"/>
      <c r="D3127" s="550"/>
      <c r="E3127" s="550"/>
      <c r="F3127" s="550"/>
      <c r="G3127" s="550"/>
      <c r="H3127" s="551"/>
      <c r="I3127" s="550"/>
    </row>
    <row r="3128" spans="1:9" x14ac:dyDescent="0.2">
      <c r="A3128" s="549"/>
      <c r="C3128" s="548"/>
      <c r="D3128" s="550"/>
      <c r="E3128" s="550"/>
      <c r="F3128" s="550"/>
      <c r="G3128" s="550"/>
      <c r="H3128" s="551"/>
      <c r="I3128" s="550"/>
    </row>
    <row r="3129" spans="1:9" x14ac:dyDescent="0.2">
      <c r="A3129" s="549"/>
      <c r="C3129" s="548"/>
      <c r="D3129" s="550"/>
      <c r="E3129" s="550"/>
      <c r="F3129" s="550"/>
      <c r="G3129" s="550"/>
      <c r="H3129" s="551"/>
      <c r="I3129" s="550"/>
    </row>
    <row r="3130" spans="1:9" x14ac:dyDescent="0.2">
      <c r="A3130" s="549"/>
      <c r="C3130" s="548"/>
      <c r="D3130" s="550"/>
      <c r="E3130" s="550"/>
      <c r="F3130" s="550"/>
      <c r="G3130" s="550"/>
      <c r="H3130" s="551"/>
      <c r="I3130" s="550"/>
    </row>
    <row r="3131" spans="1:9" x14ac:dyDescent="0.2">
      <c r="A3131" s="549"/>
      <c r="C3131" s="548"/>
      <c r="D3131" s="550"/>
      <c r="E3131" s="550"/>
      <c r="F3131" s="550"/>
      <c r="G3131" s="550"/>
      <c r="H3131" s="551"/>
      <c r="I3131" s="550"/>
    </row>
    <row r="3132" spans="1:9" x14ac:dyDescent="0.2">
      <c r="A3132" s="549"/>
      <c r="C3132" s="548"/>
      <c r="D3132" s="550"/>
      <c r="E3132" s="550"/>
      <c r="F3132" s="550"/>
      <c r="G3132" s="550"/>
      <c r="H3132" s="551"/>
      <c r="I3132" s="550"/>
    </row>
    <row r="3133" spans="1:9" x14ac:dyDescent="0.2">
      <c r="A3133" s="549"/>
      <c r="C3133" s="548"/>
      <c r="D3133" s="550"/>
      <c r="E3133" s="550"/>
      <c r="F3133" s="550"/>
      <c r="G3133" s="550"/>
      <c r="H3133" s="551"/>
      <c r="I3133" s="550"/>
    </row>
    <row r="3134" spans="1:9" x14ac:dyDescent="0.2">
      <c r="A3134" s="549"/>
      <c r="C3134" s="548"/>
      <c r="D3134" s="550"/>
      <c r="E3134" s="550"/>
      <c r="F3134" s="550"/>
      <c r="G3134" s="550"/>
      <c r="H3134" s="551"/>
      <c r="I3134" s="550"/>
    </row>
    <row r="3135" spans="1:9" x14ac:dyDescent="0.2">
      <c r="A3135" s="549"/>
      <c r="C3135" s="548"/>
      <c r="D3135" s="550"/>
      <c r="E3135" s="550"/>
      <c r="F3135" s="550"/>
      <c r="G3135" s="550"/>
      <c r="H3135" s="551"/>
      <c r="I3135" s="550"/>
    </row>
    <row r="3136" spans="1:9" x14ac:dyDescent="0.2">
      <c r="A3136" s="549"/>
      <c r="C3136" s="548"/>
      <c r="D3136" s="550"/>
      <c r="E3136" s="550"/>
      <c r="F3136" s="550"/>
      <c r="G3136" s="550"/>
      <c r="H3136" s="551"/>
      <c r="I3136" s="550"/>
    </row>
    <row r="3137" spans="1:9" x14ac:dyDescent="0.2">
      <c r="A3137" s="549"/>
      <c r="C3137" s="548"/>
      <c r="D3137" s="550"/>
      <c r="E3137" s="550"/>
      <c r="F3137" s="550"/>
      <c r="G3137" s="550"/>
      <c r="H3137" s="551"/>
      <c r="I3137" s="550"/>
    </row>
    <row r="3138" spans="1:9" x14ac:dyDescent="0.2">
      <c r="A3138" s="549"/>
      <c r="C3138" s="548"/>
      <c r="D3138" s="550"/>
      <c r="E3138" s="550"/>
      <c r="F3138" s="550"/>
      <c r="G3138" s="550"/>
      <c r="H3138" s="551"/>
      <c r="I3138" s="550"/>
    </row>
    <row r="3139" spans="1:9" x14ac:dyDescent="0.2">
      <c r="A3139" s="549"/>
      <c r="C3139" s="548"/>
      <c r="D3139" s="550"/>
      <c r="E3139" s="550"/>
      <c r="F3139" s="550"/>
      <c r="G3139" s="550"/>
      <c r="H3139" s="551"/>
      <c r="I3139" s="550"/>
    </row>
    <row r="3140" spans="1:9" x14ac:dyDescent="0.2">
      <c r="A3140" s="549"/>
      <c r="C3140" s="548"/>
      <c r="D3140" s="550"/>
      <c r="E3140" s="550"/>
      <c r="F3140" s="550"/>
      <c r="G3140" s="550"/>
      <c r="H3140" s="551"/>
      <c r="I3140" s="550"/>
    </row>
    <row r="3141" spans="1:9" x14ac:dyDescent="0.2">
      <c r="A3141" s="549"/>
      <c r="C3141" s="548"/>
      <c r="D3141" s="550"/>
      <c r="E3141" s="550"/>
      <c r="F3141" s="550"/>
      <c r="G3141" s="550"/>
      <c r="H3141" s="551"/>
      <c r="I3141" s="550"/>
    </row>
    <row r="3142" spans="1:9" x14ac:dyDescent="0.2">
      <c r="A3142" s="549"/>
      <c r="C3142" s="548"/>
      <c r="D3142" s="550"/>
      <c r="E3142" s="550"/>
      <c r="F3142" s="550"/>
      <c r="G3142" s="550"/>
      <c r="H3142" s="551"/>
      <c r="I3142" s="550"/>
    </row>
    <row r="3143" spans="1:9" x14ac:dyDescent="0.2">
      <c r="A3143" s="549"/>
      <c r="C3143" s="548"/>
      <c r="D3143" s="550"/>
      <c r="E3143" s="550"/>
      <c r="F3143" s="550"/>
      <c r="G3143" s="550"/>
      <c r="H3143" s="551"/>
      <c r="I3143" s="550"/>
    </row>
    <row r="3144" spans="1:9" x14ac:dyDescent="0.2">
      <c r="A3144" s="549"/>
      <c r="C3144" s="548"/>
      <c r="D3144" s="550"/>
      <c r="E3144" s="550"/>
      <c r="F3144" s="550"/>
      <c r="G3144" s="550"/>
      <c r="H3144" s="551"/>
      <c r="I3144" s="550"/>
    </row>
    <row r="3145" spans="1:9" x14ac:dyDescent="0.2">
      <c r="A3145" s="549"/>
      <c r="C3145" s="548"/>
      <c r="D3145" s="550"/>
      <c r="E3145" s="550"/>
      <c r="F3145" s="550"/>
      <c r="G3145" s="550"/>
      <c r="H3145" s="551"/>
      <c r="I3145" s="550"/>
    </row>
    <row r="3146" spans="1:9" x14ac:dyDescent="0.2">
      <c r="A3146" s="549"/>
      <c r="C3146" s="548"/>
      <c r="D3146" s="550"/>
      <c r="E3146" s="550"/>
      <c r="F3146" s="550"/>
      <c r="G3146" s="550"/>
      <c r="H3146" s="551"/>
      <c r="I3146" s="550"/>
    </row>
    <row r="3147" spans="1:9" x14ac:dyDescent="0.2">
      <c r="A3147" s="549"/>
      <c r="C3147" s="548"/>
      <c r="D3147" s="550"/>
      <c r="E3147" s="550"/>
      <c r="F3147" s="550"/>
      <c r="G3147" s="550"/>
      <c r="H3147" s="551"/>
      <c r="I3147" s="550"/>
    </row>
    <row r="3148" spans="1:9" x14ac:dyDescent="0.2">
      <c r="A3148" s="549"/>
      <c r="C3148" s="548"/>
      <c r="D3148" s="550"/>
      <c r="E3148" s="550"/>
      <c r="F3148" s="550"/>
      <c r="G3148" s="550"/>
      <c r="H3148" s="551"/>
      <c r="I3148" s="550"/>
    </row>
    <row r="3149" spans="1:9" x14ac:dyDescent="0.2">
      <c r="A3149" s="549"/>
      <c r="C3149" s="548"/>
      <c r="D3149" s="550"/>
      <c r="E3149" s="550"/>
      <c r="F3149" s="550"/>
      <c r="G3149" s="550"/>
      <c r="H3149" s="551"/>
      <c r="I3149" s="550"/>
    </row>
    <row r="3150" spans="1:9" x14ac:dyDescent="0.2">
      <c r="A3150" s="549"/>
      <c r="C3150" s="548"/>
      <c r="D3150" s="550"/>
      <c r="E3150" s="550"/>
      <c r="F3150" s="550"/>
      <c r="G3150" s="550"/>
      <c r="H3150" s="551"/>
      <c r="I3150" s="550"/>
    </row>
    <row r="3151" spans="1:9" x14ac:dyDescent="0.2">
      <c r="A3151" s="549"/>
      <c r="C3151" s="548"/>
      <c r="D3151" s="550"/>
      <c r="E3151" s="550"/>
      <c r="F3151" s="550"/>
      <c r="G3151" s="550"/>
      <c r="H3151" s="551"/>
      <c r="I3151" s="550"/>
    </row>
    <row r="3152" spans="1:9" x14ac:dyDescent="0.2">
      <c r="A3152" s="549"/>
      <c r="C3152" s="548"/>
      <c r="D3152" s="550"/>
      <c r="E3152" s="550"/>
      <c r="F3152" s="550"/>
      <c r="G3152" s="550"/>
      <c r="H3152" s="551"/>
      <c r="I3152" s="550"/>
    </row>
    <row r="3153" spans="1:9" x14ac:dyDescent="0.2">
      <c r="A3153" s="549"/>
      <c r="C3153" s="548"/>
      <c r="D3153" s="550"/>
      <c r="E3153" s="550"/>
      <c r="F3153" s="550"/>
      <c r="G3153" s="550"/>
      <c r="H3153" s="551"/>
      <c r="I3153" s="550"/>
    </row>
    <row r="3154" spans="1:9" x14ac:dyDescent="0.2">
      <c r="A3154" s="549"/>
      <c r="C3154" s="548"/>
      <c r="D3154" s="550"/>
      <c r="E3154" s="550"/>
      <c r="F3154" s="550"/>
      <c r="G3154" s="550"/>
      <c r="H3154" s="551"/>
      <c r="I3154" s="550"/>
    </row>
    <row r="3155" spans="1:9" x14ac:dyDescent="0.2">
      <c r="A3155" s="549"/>
      <c r="C3155" s="548"/>
      <c r="D3155" s="550"/>
      <c r="E3155" s="550"/>
      <c r="F3155" s="550"/>
      <c r="G3155" s="550"/>
      <c r="H3155" s="551"/>
      <c r="I3155" s="550"/>
    </row>
    <row r="3156" spans="1:9" x14ac:dyDescent="0.2">
      <c r="A3156" s="549"/>
      <c r="C3156" s="548"/>
      <c r="D3156" s="550"/>
      <c r="E3156" s="550"/>
      <c r="F3156" s="550"/>
      <c r="G3156" s="550"/>
      <c r="H3156" s="551"/>
      <c r="I3156" s="550"/>
    </row>
    <row r="3157" spans="1:9" x14ac:dyDescent="0.2">
      <c r="A3157" s="549"/>
      <c r="C3157" s="548"/>
      <c r="D3157" s="550"/>
      <c r="E3157" s="550"/>
      <c r="F3157" s="550"/>
      <c r="G3157" s="550"/>
      <c r="H3157" s="551"/>
      <c r="I3157" s="550"/>
    </row>
    <row r="3158" spans="1:9" x14ac:dyDescent="0.2">
      <c r="A3158" s="549"/>
      <c r="C3158" s="548"/>
      <c r="D3158" s="550"/>
      <c r="E3158" s="550"/>
      <c r="F3158" s="550"/>
      <c r="G3158" s="550"/>
      <c r="H3158" s="551"/>
      <c r="I3158" s="550"/>
    </row>
    <row r="3159" spans="1:9" x14ac:dyDescent="0.2">
      <c r="A3159" s="549"/>
      <c r="C3159" s="548"/>
      <c r="D3159" s="550"/>
      <c r="E3159" s="550"/>
      <c r="F3159" s="550"/>
      <c r="G3159" s="550"/>
      <c r="H3159" s="551"/>
      <c r="I3159" s="550"/>
    </row>
    <row r="3160" spans="1:9" x14ac:dyDescent="0.2">
      <c r="A3160" s="549"/>
      <c r="C3160" s="548"/>
      <c r="D3160" s="550"/>
      <c r="E3160" s="550"/>
      <c r="F3160" s="550"/>
      <c r="G3160" s="550"/>
      <c r="H3160" s="551"/>
      <c r="I3160" s="550"/>
    </row>
    <row r="3161" spans="1:9" x14ac:dyDescent="0.2">
      <c r="A3161" s="549"/>
      <c r="C3161" s="548"/>
      <c r="D3161" s="550"/>
      <c r="E3161" s="550"/>
      <c r="F3161" s="550"/>
      <c r="G3161" s="550"/>
      <c r="H3161" s="551"/>
      <c r="I3161" s="550"/>
    </row>
    <row r="3162" spans="1:9" x14ac:dyDescent="0.2">
      <c r="A3162" s="549"/>
      <c r="C3162" s="548"/>
      <c r="D3162" s="550"/>
      <c r="E3162" s="550"/>
      <c r="F3162" s="550"/>
      <c r="G3162" s="550"/>
      <c r="H3162" s="551"/>
      <c r="I3162" s="550"/>
    </row>
    <row r="3163" spans="1:9" x14ac:dyDescent="0.2">
      <c r="A3163" s="549"/>
      <c r="C3163" s="548"/>
      <c r="D3163" s="550"/>
      <c r="E3163" s="550"/>
      <c r="F3163" s="550"/>
      <c r="G3163" s="550"/>
      <c r="H3163" s="551"/>
      <c r="I3163" s="550"/>
    </row>
    <row r="3164" spans="1:9" x14ac:dyDescent="0.2">
      <c r="A3164" s="549"/>
      <c r="C3164" s="548"/>
      <c r="D3164" s="550"/>
      <c r="E3164" s="550"/>
      <c r="F3164" s="550"/>
      <c r="G3164" s="550"/>
      <c r="H3164" s="551"/>
      <c r="I3164" s="550"/>
    </row>
    <row r="3165" spans="1:9" x14ac:dyDescent="0.2">
      <c r="A3165" s="549"/>
      <c r="C3165" s="548"/>
      <c r="D3165" s="550"/>
      <c r="E3165" s="550"/>
      <c r="F3165" s="550"/>
      <c r="G3165" s="550"/>
      <c r="H3165" s="551"/>
      <c r="I3165" s="550"/>
    </row>
    <row r="3166" spans="1:9" x14ac:dyDescent="0.2">
      <c r="A3166" s="549"/>
      <c r="C3166" s="548"/>
      <c r="D3166" s="550"/>
      <c r="E3166" s="550"/>
      <c r="F3166" s="550"/>
      <c r="G3166" s="550"/>
      <c r="H3166" s="551"/>
      <c r="I3166" s="550"/>
    </row>
    <row r="3167" spans="1:9" x14ac:dyDescent="0.2">
      <c r="A3167" s="549"/>
      <c r="C3167" s="548"/>
      <c r="D3167" s="550"/>
      <c r="E3167" s="550"/>
      <c r="F3167" s="550"/>
      <c r="G3167" s="550"/>
      <c r="H3167" s="551"/>
      <c r="I3167" s="550"/>
    </row>
    <row r="3168" spans="1:9" x14ac:dyDescent="0.2">
      <c r="A3168" s="549"/>
      <c r="C3168" s="548"/>
      <c r="D3168" s="550"/>
      <c r="E3168" s="550"/>
      <c r="F3168" s="550"/>
      <c r="G3168" s="550"/>
      <c r="H3168" s="551"/>
      <c r="I3168" s="550"/>
    </row>
    <row r="3169" spans="1:9" x14ac:dyDescent="0.2">
      <c r="A3169" s="549"/>
      <c r="C3169" s="548"/>
      <c r="D3169" s="550"/>
      <c r="E3169" s="550"/>
      <c r="F3169" s="550"/>
      <c r="G3169" s="550"/>
      <c r="H3169" s="551"/>
      <c r="I3169" s="550"/>
    </row>
    <row r="3170" spans="1:9" x14ac:dyDescent="0.2">
      <c r="A3170" s="549"/>
      <c r="C3170" s="548"/>
      <c r="D3170" s="550"/>
      <c r="E3170" s="550"/>
      <c r="F3170" s="550"/>
      <c r="G3170" s="550"/>
      <c r="H3170" s="551"/>
      <c r="I3170" s="550"/>
    </row>
    <row r="3171" spans="1:9" x14ac:dyDescent="0.2">
      <c r="A3171" s="549"/>
      <c r="C3171" s="548"/>
      <c r="D3171" s="550"/>
      <c r="E3171" s="550"/>
      <c r="F3171" s="550"/>
      <c r="G3171" s="550"/>
      <c r="H3171" s="551"/>
      <c r="I3171" s="550"/>
    </row>
    <row r="3172" spans="1:9" x14ac:dyDescent="0.2">
      <c r="A3172" s="549"/>
      <c r="C3172" s="548"/>
      <c r="D3172" s="550"/>
      <c r="E3172" s="550"/>
      <c r="F3172" s="550"/>
      <c r="G3172" s="550"/>
      <c r="H3172" s="551"/>
      <c r="I3172" s="550"/>
    </row>
    <row r="3173" spans="1:9" x14ac:dyDescent="0.2">
      <c r="A3173" s="549"/>
      <c r="C3173" s="548"/>
      <c r="D3173" s="550"/>
      <c r="E3173" s="550"/>
      <c r="F3173" s="550"/>
      <c r="G3173" s="550"/>
      <c r="H3173" s="551"/>
      <c r="I3173" s="550"/>
    </row>
    <row r="3174" spans="1:9" x14ac:dyDescent="0.2">
      <c r="A3174" s="549"/>
      <c r="C3174" s="548"/>
      <c r="D3174" s="550"/>
      <c r="E3174" s="550"/>
      <c r="F3174" s="550"/>
      <c r="G3174" s="550"/>
      <c r="H3174" s="551"/>
      <c r="I3174" s="550"/>
    </row>
    <row r="3175" spans="1:9" x14ac:dyDescent="0.2">
      <c r="A3175" s="549"/>
      <c r="C3175" s="548"/>
      <c r="D3175" s="550"/>
      <c r="E3175" s="550"/>
      <c r="F3175" s="550"/>
      <c r="G3175" s="550"/>
      <c r="H3175" s="551"/>
      <c r="I3175" s="550"/>
    </row>
    <row r="3176" spans="1:9" x14ac:dyDescent="0.2">
      <c r="A3176" s="549"/>
      <c r="C3176" s="548"/>
      <c r="D3176" s="550"/>
      <c r="E3176" s="550"/>
      <c r="F3176" s="550"/>
      <c r="G3176" s="550"/>
      <c r="H3176" s="551"/>
      <c r="I3176" s="550"/>
    </row>
    <row r="3177" spans="1:9" x14ac:dyDescent="0.2">
      <c r="A3177" s="549"/>
      <c r="C3177" s="548"/>
      <c r="D3177" s="550"/>
      <c r="E3177" s="550"/>
      <c r="F3177" s="550"/>
      <c r="G3177" s="550"/>
      <c r="H3177" s="551"/>
      <c r="I3177" s="550"/>
    </row>
    <row r="3178" spans="1:9" x14ac:dyDescent="0.2">
      <c r="A3178" s="549"/>
      <c r="C3178" s="548"/>
      <c r="D3178" s="550"/>
      <c r="E3178" s="550"/>
      <c r="F3178" s="550"/>
      <c r="G3178" s="550"/>
      <c r="H3178" s="551"/>
      <c r="I3178" s="550"/>
    </row>
    <row r="3179" spans="1:9" x14ac:dyDescent="0.2">
      <c r="A3179" s="549"/>
      <c r="C3179" s="548"/>
      <c r="D3179" s="550"/>
      <c r="E3179" s="550"/>
      <c r="F3179" s="550"/>
      <c r="G3179" s="550"/>
      <c r="H3179" s="551"/>
      <c r="I3179" s="550"/>
    </row>
    <row r="3180" spans="1:9" x14ac:dyDescent="0.2">
      <c r="A3180" s="549"/>
      <c r="C3180" s="548"/>
      <c r="D3180" s="550"/>
      <c r="E3180" s="550"/>
      <c r="F3180" s="550"/>
      <c r="G3180" s="550"/>
      <c r="H3180" s="551"/>
      <c r="I3180" s="550"/>
    </row>
    <row r="3181" spans="1:9" x14ac:dyDescent="0.2">
      <c r="A3181" s="549"/>
      <c r="C3181" s="548"/>
      <c r="D3181" s="550"/>
      <c r="E3181" s="550"/>
      <c r="F3181" s="550"/>
      <c r="G3181" s="550"/>
      <c r="H3181" s="551"/>
      <c r="I3181" s="550"/>
    </row>
    <row r="3182" spans="1:9" x14ac:dyDescent="0.2">
      <c r="A3182" s="549"/>
      <c r="C3182" s="548"/>
      <c r="D3182" s="550"/>
      <c r="E3182" s="550"/>
      <c r="F3182" s="550"/>
      <c r="G3182" s="550"/>
      <c r="H3182" s="551"/>
      <c r="I3182" s="550"/>
    </row>
    <row r="3183" spans="1:9" x14ac:dyDescent="0.2">
      <c r="A3183" s="549"/>
      <c r="C3183" s="548"/>
      <c r="D3183" s="550"/>
      <c r="E3183" s="550"/>
      <c r="F3183" s="550"/>
      <c r="G3183" s="550"/>
      <c r="H3183" s="551"/>
      <c r="I3183" s="550"/>
    </row>
    <row r="3184" spans="1:9" x14ac:dyDescent="0.2">
      <c r="A3184" s="549"/>
      <c r="C3184" s="548"/>
      <c r="D3184" s="550"/>
      <c r="E3184" s="550"/>
      <c r="F3184" s="550"/>
      <c r="G3184" s="550"/>
      <c r="H3184" s="551"/>
      <c r="I3184" s="550"/>
    </row>
    <row r="3185" spans="1:9" x14ac:dyDescent="0.2">
      <c r="A3185" s="549"/>
      <c r="C3185" s="548"/>
      <c r="D3185" s="550"/>
      <c r="E3185" s="550"/>
      <c r="F3185" s="550"/>
      <c r="G3185" s="550"/>
      <c r="H3185" s="551"/>
      <c r="I3185" s="550"/>
    </row>
    <row r="3186" spans="1:9" x14ac:dyDescent="0.2">
      <c r="A3186" s="549"/>
      <c r="C3186" s="548"/>
      <c r="D3186" s="550"/>
      <c r="E3186" s="550"/>
      <c r="F3186" s="550"/>
      <c r="G3186" s="550"/>
      <c r="H3186" s="551"/>
      <c r="I3186" s="550"/>
    </row>
    <row r="3187" spans="1:9" x14ac:dyDescent="0.2">
      <c r="A3187" s="549"/>
      <c r="C3187" s="548"/>
      <c r="D3187" s="550"/>
      <c r="E3187" s="550"/>
      <c r="F3187" s="550"/>
      <c r="G3187" s="550"/>
      <c r="H3187" s="551"/>
      <c r="I3187" s="550"/>
    </row>
    <row r="3188" spans="1:9" x14ac:dyDescent="0.2">
      <c r="A3188" s="549"/>
      <c r="C3188" s="548"/>
      <c r="D3188" s="550"/>
      <c r="E3188" s="550"/>
      <c r="F3188" s="550"/>
      <c r="G3188" s="550"/>
      <c r="H3188" s="551"/>
      <c r="I3188" s="550"/>
    </row>
    <row r="3189" spans="1:9" x14ac:dyDescent="0.2">
      <c r="A3189" s="549"/>
      <c r="C3189" s="548"/>
      <c r="D3189" s="550"/>
      <c r="E3189" s="550"/>
      <c r="F3189" s="550"/>
      <c r="G3189" s="550"/>
      <c r="H3189" s="551"/>
      <c r="I3189" s="550"/>
    </row>
    <row r="3190" spans="1:9" x14ac:dyDescent="0.2">
      <c r="A3190" s="549"/>
      <c r="C3190" s="548"/>
      <c r="D3190" s="550"/>
      <c r="E3190" s="550"/>
      <c r="F3190" s="550"/>
      <c r="G3190" s="550"/>
      <c r="H3190" s="551"/>
      <c r="I3190" s="550"/>
    </row>
    <row r="3191" spans="1:9" x14ac:dyDescent="0.2">
      <c r="A3191" s="549"/>
      <c r="C3191" s="548"/>
      <c r="D3191" s="550"/>
      <c r="E3191" s="550"/>
      <c r="F3191" s="550"/>
      <c r="G3191" s="550"/>
      <c r="H3191" s="551"/>
      <c r="I3191" s="550"/>
    </row>
    <row r="3192" spans="1:9" x14ac:dyDescent="0.2">
      <c r="A3192" s="549"/>
      <c r="C3192" s="548"/>
      <c r="D3192" s="550"/>
      <c r="E3192" s="550"/>
      <c r="F3192" s="550"/>
      <c r="G3192" s="550"/>
      <c r="H3192" s="551"/>
      <c r="I3192" s="550"/>
    </row>
    <row r="3193" spans="1:9" x14ac:dyDescent="0.2">
      <c r="A3193" s="549"/>
      <c r="C3193" s="548"/>
      <c r="D3193" s="550"/>
      <c r="E3193" s="550"/>
      <c r="F3193" s="550"/>
      <c r="G3193" s="550"/>
      <c r="H3193" s="551"/>
      <c r="I3193" s="550"/>
    </row>
    <row r="3194" spans="1:9" x14ac:dyDescent="0.2">
      <c r="A3194" s="549"/>
      <c r="C3194" s="548"/>
      <c r="D3194" s="550"/>
      <c r="E3194" s="550"/>
      <c r="F3194" s="550"/>
      <c r="G3194" s="550"/>
      <c r="H3194" s="551"/>
      <c r="I3194" s="550"/>
    </row>
    <row r="3195" spans="1:9" x14ac:dyDescent="0.2">
      <c r="A3195" s="549"/>
      <c r="C3195" s="548"/>
      <c r="D3195" s="550"/>
      <c r="E3195" s="550"/>
      <c r="F3195" s="550"/>
      <c r="G3195" s="550"/>
      <c r="H3195" s="551"/>
      <c r="I3195" s="550"/>
    </row>
    <row r="3196" spans="1:9" x14ac:dyDescent="0.2">
      <c r="A3196" s="549"/>
      <c r="C3196" s="548"/>
      <c r="D3196" s="550"/>
      <c r="E3196" s="550"/>
      <c r="F3196" s="550"/>
      <c r="G3196" s="550"/>
      <c r="H3196" s="551"/>
      <c r="I3196" s="550"/>
    </row>
    <row r="3197" spans="1:9" x14ac:dyDescent="0.2">
      <c r="A3197" s="549"/>
      <c r="C3197" s="548"/>
      <c r="D3197" s="550"/>
      <c r="E3197" s="550"/>
      <c r="F3197" s="550"/>
      <c r="G3197" s="550"/>
      <c r="H3197" s="551"/>
      <c r="I3197" s="550"/>
    </row>
    <row r="3198" spans="1:9" x14ac:dyDescent="0.2">
      <c r="A3198" s="549"/>
      <c r="C3198" s="548"/>
      <c r="D3198" s="550"/>
      <c r="E3198" s="550"/>
      <c r="F3198" s="550"/>
      <c r="G3198" s="550"/>
      <c r="H3198" s="551"/>
      <c r="I3198" s="550"/>
    </row>
    <row r="3199" spans="1:9" x14ac:dyDescent="0.2">
      <c r="A3199" s="549"/>
      <c r="C3199" s="548"/>
      <c r="D3199" s="550"/>
      <c r="E3199" s="550"/>
      <c r="F3199" s="550"/>
      <c r="G3199" s="550"/>
      <c r="H3199" s="551"/>
      <c r="I3199" s="550"/>
    </row>
    <row r="3200" spans="1:9" x14ac:dyDescent="0.2">
      <c r="A3200" s="549"/>
      <c r="C3200" s="548"/>
      <c r="D3200" s="550"/>
      <c r="E3200" s="550"/>
      <c r="F3200" s="550"/>
      <c r="G3200" s="550"/>
      <c r="H3200" s="551"/>
      <c r="I3200" s="550"/>
    </row>
    <row r="3201" spans="1:9" x14ac:dyDescent="0.2">
      <c r="A3201" s="549"/>
      <c r="C3201" s="548"/>
      <c r="D3201" s="550"/>
      <c r="E3201" s="550"/>
      <c r="F3201" s="550"/>
      <c r="G3201" s="550"/>
      <c r="H3201" s="551"/>
      <c r="I3201" s="550"/>
    </row>
    <row r="3202" spans="1:9" x14ac:dyDescent="0.2">
      <c r="A3202" s="549"/>
      <c r="C3202" s="548"/>
      <c r="D3202" s="550"/>
      <c r="E3202" s="550"/>
      <c r="F3202" s="550"/>
      <c r="G3202" s="550"/>
      <c r="H3202" s="551"/>
      <c r="I3202" s="550"/>
    </row>
    <row r="3203" spans="1:9" x14ac:dyDescent="0.2">
      <c r="A3203" s="549"/>
      <c r="C3203" s="548"/>
      <c r="D3203" s="550"/>
      <c r="E3203" s="550"/>
      <c r="F3203" s="550"/>
      <c r="G3203" s="550"/>
      <c r="H3203" s="551"/>
      <c r="I3203" s="550"/>
    </row>
    <row r="3204" spans="1:9" x14ac:dyDescent="0.2">
      <c r="A3204" s="549"/>
      <c r="C3204" s="548"/>
      <c r="D3204" s="550"/>
      <c r="E3204" s="550"/>
      <c r="F3204" s="550"/>
      <c r="G3204" s="550"/>
      <c r="H3204" s="551"/>
      <c r="I3204" s="550"/>
    </row>
    <row r="3205" spans="1:9" x14ac:dyDescent="0.2">
      <c r="A3205" s="549"/>
      <c r="C3205" s="548"/>
      <c r="D3205" s="550"/>
      <c r="E3205" s="550"/>
      <c r="F3205" s="550"/>
      <c r="G3205" s="550"/>
      <c r="H3205" s="551"/>
      <c r="I3205" s="550"/>
    </row>
    <row r="3206" spans="1:9" x14ac:dyDescent="0.2">
      <c r="A3206" s="549"/>
      <c r="C3206" s="548"/>
      <c r="D3206" s="550"/>
      <c r="E3206" s="550"/>
      <c r="F3206" s="550"/>
      <c r="G3206" s="550"/>
      <c r="H3206" s="551"/>
      <c r="I3206" s="550"/>
    </row>
    <row r="3207" spans="1:9" x14ac:dyDescent="0.2">
      <c r="A3207" s="549"/>
      <c r="C3207" s="548"/>
      <c r="D3207" s="550"/>
      <c r="E3207" s="550"/>
      <c r="F3207" s="550"/>
      <c r="G3207" s="550"/>
      <c r="H3207" s="551"/>
      <c r="I3207" s="550"/>
    </row>
    <row r="3208" spans="1:9" x14ac:dyDescent="0.2">
      <c r="A3208" s="549"/>
      <c r="C3208" s="548"/>
      <c r="D3208" s="550"/>
      <c r="E3208" s="550"/>
      <c r="F3208" s="550"/>
      <c r="G3208" s="550"/>
      <c r="H3208" s="551"/>
      <c r="I3208" s="550"/>
    </row>
    <row r="3209" spans="1:9" x14ac:dyDescent="0.2">
      <c r="A3209" s="549"/>
      <c r="C3209" s="548"/>
      <c r="D3209" s="550"/>
      <c r="E3209" s="550"/>
      <c r="F3209" s="550"/>
      <c r="G3209" s="550"/>
      <c r="H3209" s="551"/>
      <c r="I3209" s="550"/>
    </row>
    <row r="3210" spans="1:9" x14ac:dyDescent="0.2">
      <c r="A3210" s="549"/>
      <c r="C3210" s="548"/>
      <c r="D3210" s="550"/>
      <c r="E3210" s="550"/>
      <c r="F3210" s="550"/>
      <c r="G3210" s="550"/>
      <c r="H3210" s="551"/>
      <c r="I3210" s="550"/>
    </row>
    <row r="3211" spans="1:9" x14ac:dyDescent="0.2">
      <c r="A3211" s="549"/>
      <c r="C3211" s="548"/>
      <c r="D3211" s="550"/>
      <c r="E3211" s="550"/>
      <c r="F3211" s="550"/>
      <c r="G3211" s="550"/>
      <c r="H3211" s="551"/>
      <c r="I3211" s="550"/>
    </row>
    <row r="3212" spans="1:9" x14ac:dyDescent="0.2">
      <c r="A3212" s="549"/>
      <c r="C3212" s="548"/>
      <c r="D3212" s="550"/>
      <c r="E3212" s="550"/>
      <c r="F3212" s="550"/>
      <c r="G3212" s="550"/>
      <c r="H3212" s="551"/>
      <c r="I3212" s="550"/>
    </row>
    <row r="3213" spans="1:9" x14ac:dyDescent="0.2">
      <c r="A3213" s="549"/>
      <c r="C3213" s="548"/>
      <c r="D3213" s="550"/>
      <c r="E3213" s="550"/>
      <c r="F3213" s="550"/>
      <c r="G3213" s="550"/>
      <c r="H3213" s="551"/>
      <c r="I3213" s="550"/>
    </row>
    <row r="3214" spans="1:9" x14ac:dyDescent="0.2">
      <c r="A3214" s="549"/>
      <c r="C3214" s="548"/>
      <c r="D3214" s="550"/>
      <c r="E3214" s="550"/>
      <c r="F3214" s="550"/>
      <c r="G3214" s="550"/>
      <c r="H3214" s="551"/>
      <c r="I3214" s="550"/>
    </row>
    <row r="3215" spans="1:9" x14ac:dyDescent="0.2">
      <c r="A3215" s="549"/>
      <c r="C3215" s="548"/>
      <c r="D3215" s="550"/>
      <c r="E3215" s="550"/>
      <c r="F3215" s="550"/>
      <c r="G3215" s="550"/>
      <c r="H3215" s="551"/>
      <c r="I3215" s="550"/>
    </row>
    <row r="3216" spans="1:9" x14ac:dyDescent="0.2">
      <c r="A3216" s="549"/>
      <c r="C3216" s="548"/>
      <c r="D3216" s="550"/>
      <c r="E3216" s="550"/>
      <c r="F3216" s="550"/>
      <c r="G3216" s="550"/>
      <c r="H3216" s="551"/>
      <c r="I3216" s="550"/>
    </row>
    <row r="3217" spans="1:9" x14ac:dyDescent="0.2">
      <c r="A3217" s="549"/>
      <c r="C3217" s="548"/>
      <c r="D3217" s="550"/>
      <c r="E3217" s="550"/>
      <c r="F3217" s="550"/>
      <c r="G3217" s="550"/>
      <c r="H3217" s="551"/>
      <c r="I3217" s="550"/>
    </row>
    <row r="3218" spans="1:9" x14ac:dyDescent="0.2">
      <c r="A3218" s="549"/>
      <c r="C3218" s="548"/>
      <c r="D3218" s="550"/>
      <c r="E3218" s="550"/>
      <c r="F3218" s="550"/>
      <c r="G3218" s="550"/>
      <c r="H3218" s="551"/>
      <c r="I3218" s="550"/>
    </row>
    <row r="3219" spans="1:9" x14ac:dyDescent="0.2">
      <c r="A3219" s="549"/>
      <c r="C3219" s="548"/>
      <c r="D3219" s="550"/>
      <c r="E3219" s="550"/>
      <c r="F3219" s="550"/>
      <c r="G3219" s="550"/>
      <c r="H3219" s="551"/>
      <c r="I3219" s="550"/>
    </row>
    <row r="3220" spans="1:9" x14ac:dyDescent="0.2">
      <c r="A3220" s="549"/>
      <c r="C3220" s="548"/>
      <c r="D3220" s="550"/>
      <c r="E3220" s="550"/>
      <c r="F3220" s="550"/>
      <c r="G3220" s="550"/>
      <c r="H3220" s="551"/>
      <c r="I3220" s="550"/>
    </row>
    <row r="3221" spans="1:9" x14ac:dyDescent="0.2">
      <c r="A3221" s="549"/>
      <c r="C3221" s="548"/>
      <c r="D3221" s="550"/>
      <c r="E3221" s="550"/>
      <c r="F3221" s="550"/>
      <c r="G3221" s="550"/>
      <c r="H3221" s="551"/>
      <c r="I3221" s="550"/>
    </row>
    <row r="3222" spans="1:9" x14ac:dyDescent="0.2">
      <c r="A3222" s="549"/>
      <c r="C3222" s="548"/>
      <c r="D3222" s="550"/>
      <c r="E3222" s="550"/>
      <c r="F3222" s="550"/>
      <c r="G3222" s="550"/>
      <c r="H3222" s="551"/>
      <c r="I3222" s="550"/>
    </row>
    <row r="3223" spans="1:9" x14ac:dyDescent="0.2">
      <c r="A3223" s="549"/>
      <c r="C3223" s="548"/>
      <c r="D3223" s="550"/>
      <c r="E3223" s="550"/>
      <c r="F3223" s="550"/>
      <c r="G3223" s="550"/>
      <c r="H3223" s="551"/>
      <c r="I3223" s="550"/>
    </row>
    <row r="3224" spans="1:9" x14ac:dyDescent="0.2">
      <c r="A3224" s="549"/>
      <c r="C3224" s="548"/>
      <c r="D3224" s="550"/>
      <c r="E3224" s="550"/>
      <c r="F3224" s="550"/>
      <c r="G3224" s="550"/>
      <c r="H3224" s="551"/>
      <c r="I3224" s="550"/>
    </row>
    <row r="3225" spans="1:9" x14ac:dyDescent="0.2">
      <c r="A3225" s="549"/>
      <c r="C3225" s="548"/>
      <c r="D3225" s="550"/>
      <c r="E3225" s="550"/>
      <c r="F3225" s="550"/>
      <c r="G3225" s="550"/>
      <c r="H3225" s="551"/>
      <c r="I3225" s="550"/>
    </row>
    <row r="3226" spans="1:9" x14ac:dyDescent="0.2">
      <c r="A3226" s="549"/>
      <c r="C3226" s="548"/>
      <c r="D3226" s="550"/>
      <c r="E3226" s="550"/>
      <c r="F3226" s="550"/>
      <c r="G3226" s="550"/>
      <c r="H3226" s="551"/>
      <c r="I3226" s="550"/>
    </row>
    <row r="3227" spans="1:9" x14ac:dyDescent="0.2">
      <c r="A3227" s="549"/>
      <c r="C3227" s="548"/>
      <c r="D3227" s="550"/>
      <c r="E3227" s="550"/>
      <c r="F3227" s="550"/>
      <c r="G3227" s="550"/>
      <c r="H3227" s="551"/>
      <c r="I3227" s="550"/>
    </row>
    <row r="3228" spans="1:9" x14ac:dyDescent="0.2">
      <c r="A3228" s="549"/>
      <c r="C3228" s="548"/>
      <c r="D3228" s="550"/>
      <c r="E3228" s="550"/>
      <c r="F3228" s="550"/>
      <c r="G3228" s="550"/>
      <c r="H3228" s="551"/>
      <c r="I3228" s="550"/>
    </row>
    <row r="3229" spans="1:9" x14ac:dyDescent="0.2">
      <c r="A3229" s="549"/>
      <c r="C3229" s="548"/>
      <c r="D3229" s="550"/>
      <c r="E3229" s="550"/>
      <c r="F3229" s="550"/>
      <c r="G3229" s="550"/>
      <c r="H3229" s="551"/>
      <c r="I3229" s="550"/>
    </row>
    <row r="3230" spans="1:9" x14ac:dyDescent="0.2">
      <c r="A3230" s="549"/>
      <c r="C3230" s="548"/>
      <c r="D3230" s="550"/>
      <c r="E3230" s="550"/>
      <c r="F3230" s="550"/>
      <c r="G3230" s="550"/>
      <c r="H3230" s="551"/>
      <c r="I3230" s="550"/>
    </row>
    <row r="3231" spans="1:9" x14ac:dyDescent="0.2">
      <c r="A3231" s="549"/>
      <c r="C3231" s="548"/>
      <c r="D3231" s="550"/>
      <c r="E3231" s="550"/>
      <c r="F3231" s="550"/>
      <c r="G3231" s="550"/>
      <c r="H3231" s="551"/>
      <c r="I3231" s="550"/>
    </row>
    <row r="3232" spans="1:9" x14ac:dyDescent="0.2">
      <c r="A3232" s="549"/>
      <c r="C3232" s="548"/>
      <c r="D3232" s="550"/>
      <c r="E3232" s="550"/>
      <c r="F3232" s="550"/>
      <c r="G3232" s="550"/>
      <c r="H3232" s="551"/>
      <c r="I3232" s="550"/>
    </row>
    <row r="3233" spans="1:9" x14ac:dyDescent="0.2">
      <c r="A3233" s="549"/>
      <c r="C3233" s="548"/>
      <c r="D3233" s="550"/>
      <c r="E3233" s="550"/>
      <c r="F3233" s="550"/>
      <c r="G3233" s="550"/>
      <c r="H3233" s="551"/>
      <c r="I3233" s="550"/>
    </row>
    <row r="3234" spans="1:9" x14ac:dyDescent="0.2">
      <c r="A3234" s="549"/>
      <c r="C3234" s="548"/>
      <c r="D3234" s="550"/>
      <c r="E3234" s="550"/>
      <c r="F3234" s="550"/>
      <c r="G3234" s="550"/>
      <c r="H3234" s="551"/>
      <c r="I3234" s="550"/>
    </row>
    <row r="3235" spans="1:9" x14ac:dyDescent="0.2">
      <c r="A3235" s="549"/>
      <c r="C3235" s="548"/>
      <c r="D3235" s="550"/>
      <c r="E3235" s="550"/>
      <c r="F3235" s="550"/>
      <c r="G3235" s="550"/>
      <c r="H3235" s="551"/>
      <c r="I3235" s="550"/>
    </row>
    <row r="3236" spans="1:9" x14ac:dyDescent="0.2">
      <c r="A3236" s="549"/>
      <c r="C3236" s="548"/>
      <c r="D3236" s="550"/>
      <c r="E3236" s="550"/>
      <c r="F3236" s="550"/>
      <c r="G3236" s="550"/>
      <c r="H3236" s="551"/>
      <c r="I3236" s="550"/>
    </row>
    <row r="3237" spans="1:9" x14ac:dyDescent="0.2">
      <c r="A3237" s="549"/>
      <c r="C3237" s="548"/>
      <c r="D3237" s="550"/>
      <c r="E3237" s="550"/>
      <c r="F3237" s="550"/>
      <c r="G3237" s="550"/>
      <c r="H3237" s="551"/>
      <c r="I3237" s="550"/>
    </row>
    <row r="3238" spans="1:9" x14ac:dyDescent="0.2">
      <c r="A3238" s="549"/>
      <c r="C3238" s="548"/>
      <c r="D3238" s="550"/>
      <c r="E3238" s="550"/>
      <c r="F3238" s="550"/>
      <c r="G3238" s="550"/>
      <c r="H3238" s="551"/>
      <c r="I3238" s="550"/>
    </row>
    <row r="3239" spans="1:9" x14ac:dyDescent="0.2">
      <c r="A3239" s="549"/>
      <c r="C3239" s="548"/>
      <c r="D3239" s="550"/>
      <c r="E3239" s="550"/>
      <c r="F3239" s="550"/>
      <c r="G3239" s="550"/>
      <c r="H3239" s="551"/>
      <c r="I3239" s="550"/>
    </row>
    <row r="3240" spans="1:9" x14ac:dyDescent="0.2">
      <c r="A3240" s="549"/>
      <c r="C3240" s="548"/>
      <c r="D3240" s="550"/>
      <c r="E3240" s="550"/>
      <c r="F3240" s="550"/>
      <c r="G3240" s="550"/>
      <c r="H3240" s="551"/>
      <c r="I3240" s="550"/>
    </row>
    <row r="3241" spans="1:9" x14ac:dyDescent="0.2">
      <c r="A3241" s="549"/>
      <c r="C3241" s="548"/>
      <c r="D3241" s="550"/>
      <c r="E3241" s="550"/>
      <c r="F3241" s="550"/>
      <c r="G3241" s="550"/>
      <c r="H3241" s="551"/>
      <c r="I3241" s="550"/>
    </row>
    <row r="3242" spans="1:9" x14ac:dyDescent="0.2">
      <c r="A3242" s="549"/>
      <c r="C3242" s="548"/>
      <c r="D3242" s="550"/>
      <c r="E3242" s="550"/>
      <c r="F3242" s="550"/>
      <c r="G3242" s="550"/>
      <c r="H3242" s="551"/>
      <c r="I3242" s="550"/>
    </row>
    <row r="3243" spans="1:9" x14ac:dyDescent="0.2">
      <c r="A3243" s="549"/>
      <c r="C3243" s="548"/>
      <c r="D3243" s="550"/>
      <c r="E3243" s="550"/>
      <c r="F3243" s="550"/>
      <c r="G3243" s="550"/>
      <c r="H3243" s="551"/>
      <c r="I3243" s="550"/>
    </row>
    <row r="3244" spans="1:9" x14ac:dyDescent="0.2">
      <c r="A3244" s="549"/>
      <c r="C3244" s="548"/>
      <c r="D3244" s="550"/>
      <c r="E3244" s="550"/>
      <c r="F3244" s="550"/>
      <c r="G3244" s="550"/>
      <c r="H3244" s="551"/>
      <c r="I3244" s="550"/>
    </row>
    <row r="3245" spans="1:9" x14ac:dyDescent="0.2">
      <c r="A3245" s="549"/>
      <c r="C3245" s="548"/>
      <c r="D3245" s="550"/>
      <c r="E3245" s="550"/>
      <c r="F3245" s="550"/>
      <c r="G3245" s="550"/>
      <c r="H3245" s="551"/>
      <c r="I3245" s="550"/>
    </row>
    <row r="3246" spans="1:9" x14ac:dyDescent="0.2">
      <c r="A3246" s="549"/>
      <c r="C3246" s="548"/>
      <c r="D3246" s="550"/>
      <c r="E3246" s="550"/>
      <c r="F3246" s="550"/>
      <c r="G3246" s="550"/>
      <c r="H3246" s="551"/>
      <c r="I3246" s="550"/>
    </row>
    <row r="3247" spans="1:9" x14ac:dyDescent="0.2">
      <c r="A3247" s="549"/>
      <c r="C3247" s="548"/>
      <c r="D3247" s="550"/>
      <c r="E3247" s="550"/>
      <c r="F3247" s="550"/>
      <c r="G3247" s="550"/>
      <c r="H3247" s="551"/>
      <c r="I3247" s="550"/>
    </row>
    <row r="3248" spans="1:9" x14ac:dyDescent="0.2">
      <c r="A3248" s="549"/>
      <c r="C3248" s="548"/>
      <c r="D3248" s="550"/>
      <c r="E3248" s="550"/>
      <c r="F3248" s="550"/>
      <c r="G3248" s="550"/>
      <c r="H3248" s="551"/>
      <c r="I3248" s="550"/>
    </row>
    <row r="3249" spans="1:9" x14ac:dyDescent="0.2">
      <c r="A3249" s="549"/>
      <c r="C3249" s="548"/>
      <c r="D3249" s="550"/>
      <c r="E3249" s="550"/>
      <c r="F3249" s="550"/>
      <c r="G3249" s="550"/>
      <c r="H3249" s="551"/>
      <c r="I3249" s="550"/>
    </row>
    <row r="3250" spans="1:9" x14ac:dyDescent="0.2">
      <c r="A3250" s="549"/>
      <c r="C3250" s="548"/>
      <c r="D3250" s="550"/>
      <c r="E3250" s="550"/>
      <c r="F3250" s="550"/>
      <c r="G3250" s="550"/>
      <c r="H3250" s="551"/>
      <c r="I3250" s="550"/>
    </row>
    <row r="3251" spans="1:9" x14ac:dyDescent="0.2">
      <c r="A3251" s="549"/>
      <c r="C3251" s="548"/>
      <c r="D3251" s="550"/>
      <c r="E3251" s="550"/>
      <c r="F3251" s="550"/>
      <c r="G3251" s="550"/>
      <c r="H3251" s="551"/>
      <c r="I3251" s="550"/>
    </row>
    <row r="3252" spans="1:9" x14ac:dyDescent="0.2">
      <c r="A3252" s="549"/>
      <c r="C3252" s="548"/>
      <c r="D3252" s="550"/>
      <c r="E3252" s="550"/>
      <c r="F3252" s="550"/>
      <c r="G3252" s="550"/>
      <c r="H3252" s="551"/>
      <c r="I3252" s="550"/>
    </row>
    <row r="3253" spans="1:9" x14ac:dyDescent="0.2">
      <c r="A3253" s="549"/>
      <c r="C3253" s="548"/>
      <c r="D3253" s="550"/>
      <c r="E3253" s="550"/>
      <c r="F3253" s="550"/>
      <c r="G3253" s="550"/>
      <c r="H3253" s="551"/>
      <c r="I3253" s="550"/>
    </row>
    <row r="3254" spans="1:9" x14ac:dyDescent="0.2">
      <c r="A3254" s="549"/>
      <c r="C3254" s="548"/>
      <c r="D3254" s="550"/>
      <c r="E3254" s="550"/>
      <c r="F3254" s="550"/>
      <c r="G3254" s="550"/>
      <c r="H3254" s="551"/>
      <c r="I3254" s="550"/>
    </row>
    <row r="3255" spans="1:9" x14ac:dyDescent="0.2">
      <c r="A3255" s="549"/>
      <c r="C3255" s="548"/>
      <c r="D3255" s="550"/>
      <c r="E3255" s="550"/>
      <c r="F3255" s="550"/>
      <c r="G3255" s="550"/>
      <c r="H3255" s="551"/>
      <c r="I3255" s="550"/>
    </row>
    <row r="3256" spans="1:9" x14ac:dyDescent="0.2">
      <c r="A3256" s="549"/>
      <c r="C3256" s="548"/>
      <c r="D3256" s="550"/>
      <c r="E3256" s="550"/>
      <c r="F3256" s="550"/>
      <c r="G3256" s="550"/>
      <c r="H3256" s="551"/>
      <c r="I3256" s="550"/>
    </row>
    <row r="3257" spans="1:9" x14ac:dyDescent="0.2">
      <c r="A3257" s="549"/>
      <c r="C3257" s="548"/>
      <c r="D3257" s="550"/>
      <c r="E3257" s="550"/>
      <c r="F3257" s="550"/>
      <c r="G3257" s="550"/>
      <c r="H3257" s="551"/>
      <c r="I3257" s="550"/>
    </row>
    <row r="3258" spans="1:9" x14ac:dyDescent="0.2">
      <c r="A3258" s="549"/>
      <c r="C3258" s="548"/>
      <c r="D3258" s="550"/>
      <c r="E3258" s="550"/>
      <c r="F3258" s="550"/>
      <c r="G3258" s="550"/>
      <c r="H3258" s="551"/>
      <c r="I3258" s="550"/>
    </row>
    <row r="3259" spans="1:9" x14ac:dyDescent="0.2">
      <c r="A3259" s="549"/>
      <c r="C3259" s="548"/>
      <c r="D3259" s="550"/>
      <c r="E3259" s="550"/>
      <c r="F3259" s="550"/>
      <c r="G3259" s="550"/>
      <c r="H3259" s="551"/>
      <c r="I3259" s="550"/>
    </row>
    <row r="3260" spans="1:9" x14ac:dyDescent="0.2">
      <c r="A3260" s="549"/>
      <c r="C3260" s="548"/>
      <c r="D3260" s="550"/>
      <c r="E3260" s="550"/>
      <c r="F3260" s="550"/>
      <c r="G3260" s="550"/>
      <c r="H3260" s="551"/>
      <c r="I3260" s="550"/>
    </row>
    <row r="3261" spans="1:9" x14ac:dyDescent="0.2">
      <c r="A3261" s="549"/>
      <c r="C3261" s="548"/>
      <c r="D3261" s="550"/>
      <c r="E3261" s="550"/>
      <c r="F3261" s="550"/>
      <c r="G3261" s="550"/>
      <c r="H3261" s="551"/>
      <c r="I3261" s="550"/>
    </row>
    <row r="3262" spans="1:9" x14ac:dyDescent="0.2">
      <c r="A3262" s="549"/>
      <c r="C3262" s="548"/>
      <c r="D3262" s="550"/>
      <c r="E3262" s="550"/>
      <c r="F3262" s="550"/>
      <c r="G3262" s="550"/>
      <c r="H3262" s="551"/>
      <c r="I3262" s="550"/>
    </row>
    <row r="3263" spans="1:9" x14ac:dyDescent="0.2">
      <c r="A3263" s="549"/>
      <c r="C3263" s="548"/>
      <c r="D3263" s="550"/>
      <c r="E3263" s="550"/>
      <c r="F3263" s="550"/>
      <c r="G3263" s="550"/>
      <c r="H3263" s="551"/>
      <c r="I3263" s="550"/>
    </row>
    <row r="3264" spans="1:9" x14ac:dyDescent="0.2">
      <c r="A3264" s="549"/>
      <c r="C3264" s="548"/>
      <c r="D3264" s="550"/>
      <c r="E3264" s="550"/>
      <c r="F3264" s="550"/>
      <c r="G3264" s="550"/>
      <c r="H3264" s="551"/>
      <c r="I3264" s="550"/>
    </row>
    <row r="3265" spans="1:9" x14ac:dyDescent="0.2">
      <c r="A3265" s="549"/>
      <c r="C3265" s="548"/>
      <c r="D3265" s="550"/>
      <c r="E3265" s="550"/>
      <c r="F3265" s="550"/>
      <c r="G3265" s="550"/>
      <c r="H3265" s="551"/>
      <c r="I3265" s="550"/>
    </row>
    <row r="3266" spans="1:9" x14ac:dyDescent="0.2">
      <c r="A3266" s="549"/>
      <c r="C3266" s="548"/>
      <c r="D3266" s="550"/>
      <c r="E3266" s="550"/>
      <c r="F3266" s="550"/>
      <c r="G3266" s="550"/>
      <c r="H3266" s="551"/>
      <c r="I3266" s="550"/>
    </row>
    <row r="3267" spans="1:9" x14ac:dyDescent="0.2">
      <c r="A3267" s="549"/>
      <c r="C3267" s="548"/>
      <c r="D3267" s="550"/>
      <c r="E3267" s="550"/>
      <c r="F3267" s="550"/>
      <c r="G3267" s="550"/>
      <c r="H3267" s="551"/>
      <c r="I3267" s="550"/>
    </row>
    <row r="3268" spans="1:9" x14ac:dyDescent="0.2">
      <c r="A3268" s="549"/>
      <c r="C3268" s="548"/>
      <c r="D3268" s="550"/>
      <c r="E3268" s="550"/>
      <c r="F3268" s="550"/>
      <c r="G3268" s="550"/>
      <c r="H3268" s="551"/>
      <c r="I3268" s="550"/>
    </row>
    <row r="3269" spans="1:9" x14ac:dyDescent="0.2">
      <c r="A3269" s="549"/>
      <c r="C3269" s="548"/>
      <c r="D3269" s="550"/>
      <c r="E3269" s="550"/>
      <c r="F3269" s="550"/>
      <c r="G3269" s="550"/>
      <c r="H3269" s="551"/>
      <c r="I3269" s="550"/>
    </row>
    <row r="3270" spans="1:9" x14ac:dyDescent="0.2">
      <c r="A3270" s="549"/>
      <c r="C3270" s="548"/>
      <c r="D3270" s="550"/>
      <c r="E3270" s="550"/>
      <c r="F3270" s="550"/>
      <c r="G3270" s="550"/>
      <c r="H3270" s="551"/>
      <c r="I3270" s="550"/>
    </row>
    <row r="3271" spans="1:9" x14ac:dyDescent="0.2">
      <c r="A3271" s="549"/>
      <c r="C3271" s="548"/>
      <c r="D3271" s="550"/>
      <c r="E3271" s="550"/>
      <c r="F3271" s="550"/>
      <c r="G3271" s="550"/>
      <c r="H3271" s="551"/>
      <c r="I3271" s="550"/>
    </row>
    <row r="3272" spans="1:9" x14ac:dyDescent="0.2">
      <c r="A3272" s="549"/>
      <c r="C3272" s="548"/>
      <c r="D3272" s="550"/>
      <c r="E3272" s="550"/>
      <c r="F3272" s="550"/>
      <c r="G3272" s="550"/>
      <c r="H3272" s="551"/>
      <c r="I3272" s="550"/>
    </row>
    <row r="3273" spans="1:9" x14ac:dyDescent="0.2">
      <c r="A3273" s="549"/>
      <c r="C3273" s="548"/>
      <c r="D3273" s="550"/>
      <c r="E3273" s="550"/>
      <c r="F3273" s="550"/>
      <c r="G3273" s="550"/>
      <c r="H3273" s="551"/>
      <c r="I3273" s="550"/>
    </row>
    <row r="3274" spans="1:9" x14ac:dyDescent="0.2">
      <c r="A3274" s="549"/>
      <c r="C3274" s="548"/>
      <c r="D3274" s="550"/>
      <c r="E3274" s="550"/>
      <c r="F3274" s="550"/>
      <c r="G3274" s="550"/>
      <c r="H3274" s="551"/>
      <c r="I3274" s="550"/>
    </row>
    <row r="3275" spans="1:9" x14ac:dyDescent="0.2">
      <c r="A3275" s="549"/>
      <c r="C3275" s="548"/>
      <c r="D3275" s="550"/>
      <c r="E3275" s="550"/>
      <c r="F3275" s="550"/>
      <c r="G3275" s="550"/>
      <c r="H3275" s="551"/>
      <c r="I3275" s="550"/>
    </row>
    <row r="3276" spans="1:9" x14ac:dyDescent="0.2">
      <c r="A3276" s="549"/>
      <c r="C3276" s="548"/>
      <c r="D3276" s="550"/>
      <c r="E3276" s="550"/>
      <c r="F3276" s="550"/>
      <c r="G3276" s="550"/>
      <c r="H3276" s="551"/>
      <c r="I3276" s="550"/>
    </row>
    <row r="3277" spans="1:9" x14ac:dyDescent="0.2">
      <c r="A3277" s="549"/>
      <c r="C3277" s="548"/>
      <c r="D3277" s="550"/>
      <c r="E3277" s="550"/>
      <c r="F3277" s="550"/>
      <c r="G3277" s="550"/>
      <c r="H3277" s="551"/>
      <c r="I3277" s="550"/>
    </row>
    <row r="3278" spans="1:9" x14ac:dyDescent="0.2">
      <c r="A3278" s="549"/>
      <c r="C3278" s="548"/>
      <c r="D3278" s="550"/>
      <c r="E3278" s="550"/>
      <c r="F3278" s="550"/>
      <c r="G3278" s="550"/>
      <c r="H3278" s="551"/>
      <c r="I3278" s="550"/>
    </row>
    <row r="3279" spans="1:9" x14ac:dyDescent="0.2">
      <c r="A3279" s="549"/>
      <c r="C3279" s="548"/>
      <c r="D3279" s="550"/>
      <c r="E3279" s="550"/>
      <c r="F3279" s="550"/>
      <c r="G3279" s="550"/>
      <c r="H3279" s="551"/>
      <c r="I3279" s="550"/>
    </row>
    <row r="3280" spans="1:9" x14ac:dyDescent="0.2">
      <c r="A3280" s="549"/>
      <c r="C3280" s="548"/>
      <c r="D3280" s="550"/>
      <c r="E3280" s="550"/>
      <c r="F3280" s="550"/>
      <c r="G3280" s="550"/>
      <c r="H3280" s="551"/>
      <c r="I3280" s="550"/>
    </row>
    <row r="3281" spans="1:9" x14ac:dyDescent="0.2">
      <c r="A3281" s="549"/>
      <c r="C3281" s="548"/>
      <c r="D3281" s="550"/>
      <c r="E3281" s="550"/>
      <c r="F3281" s="550"/>
      <c r="G3281" s="550"/>
      <c r="H3281" s="551"/>
      <c r="I3281" s="550"/>
    </row>
    <row r="3282" spans="1:9" x14ac:dyDescent="0.2">
      <c r="A3282" s="549"/>
      <c r="C3282" s="548"/>
      <c r="D3282" s="550"/>
      <c r="E3282" s="550"/>
      <c r="F3282" s="550"/>
      <c r="G3282" s="550"/>
      <c r="H3282" s="551"/>
      <c r="I3282" s="550"/>
    </row>
    <row r="3283" spans="1:9" x14ac:dyDescent="0.2">
      <c r="A3283" s="549"/>
      <c r="C3283" s="548"/>
      <c r="D3283" s="550"/>
      <c r="E3283" s="550"/>
      <c r="F3283" s="550"/>
      <c r="G3283" s="550"/>
      <c r="H3283" s="551"/>
      <c r="I3283" s="550"/>
    </row>
    <row r="3284" spans="1:9" x14ac:dyDescent="0.2">
      <c r="A3284" s="549"/>
      <c r="C3284" s="548"/>
      <c r="D3284" s="550"/>
      <c r="E3284" s="550"/>
      <c r="F3284" s="550"/>
      <c r="G3284" s="550"/>
      <c r="H3284" s="551"/>
      <c r="I3284" s="550"/>
    </row>
    <row r="3285" spans="1:9" x14ac:dyDescent="0.2">
      <c r="A3285" s="549"/>
      <c r="C3285" s="548"/>
      <c r="D3285" s="550"/>
      <c r="E3285" s="550"/>
      <c r="F3285" s="550"/>
      <c r="G3285" s="550"/>
      <c r="H3285" s="551"/>
      <c r="I3285" s="550"/>
    </row>
    <row r="3286" spans="1:9" x14ac:dyDescent="0.2">
      <c r="A3286" s="549"/>
      <c r="C3286" s="548"/>
      <c r="D3286" s="550"/>
      <c r="E3286" s="550"/>
      <c r="F3286" s="550"/>
      <c r="G3286" s="550"/>
      <c r="H3286" s="551"/>
      <c r="I3286" s="550"/>
    </row>
    <row r="3287" spans="1:9" x14ac:dyDescent="0.2">
      <c r="A3287" s="549"/>
      <c r="C3287" s="548"/>
      <c r="D3287" s="550"/>
      <c r="E3287" s="550"/>
      <c r="F3287" s="550"/>
      <c r="G3287" s="550"/>
      <c r="H3287" s="551"/>
      <c r="I3287" s="550"/>
    </row>
    <row r="3288" spans="1:9" x14ac:dyDescent="0.2">
      <c r="A3288" s="549"/>
      <c r="C3288" s="548"/>
      <c r="D3288" s="550"/>
      <c r="E3288" s="550"/>
      <c r="F3288" s="550"/>
      <c r="G3288" s="550"/>
      <c r="H3288" s="551"/>
      <c r="I3288" s="550"/>
    </row>
    <row r="3289" spans="1:9" x14ac:dyDescent="0.2">
      <c r="A3289" s="549"/>
      <c r="C3289" s="548"/>
      <c r="D3289" s="550"/>
      <c r="E3289" s="550"/>
      <c r="F3289" s="550"/>
      <c r="G3289" s="550"/>
      <c r="H3289" s="551"/>
      <c r="I3289" s="550"/>
    </row>
    <row r="3290" spans="1:9" x14ac:dyDescent="0.2">
      <c r="A3290" s="549"/>
      <c r="C3290" s="548"/>
      <c r="D3290" s="550"/>
      <c r="E3290" s="550"/>
      <c r="F3290" s="550"/>
      <c r="G3290" s="550"/>
      <c r="H3290" s="551"/>
      <c r="I3290" s="550"/>
    </row>
    <row r="3291" spans="1:9" x14ac:dyDescent="0.2">
      <c r="A3291" s="549"/>
      <c r="C3291" s="548"/>
      <c r="D3291" s="550"/>
      <c r="E3291" s="550"/>
      <c r="F3291" s="550"/>
      <c r="G3291" s="550"/>
      <c r="H3291" s="551"/>
      <c r="I3291" s="550"/>
    </row>
    <row r="3292" spans="1:9" x14ac:dyDescent="0.2">
      <c r="A3292" s="549"/>
      <c r="C3292" s="548"/>
      <c r="D3292" s="550"/>
      <c r="E3292" s="550"/>
      <c r="F3292" s="550"/>
      <c r="G3292" s="550"/>
      <c r="H3292" s="551"/>
      <c r="I3292" s="550"/>
    </row>
    <row r="3293" spans="1:9" x14ac:dyDescent="0.2">
      <c r="A3293" s="549"/>
      <c r="C3293" s="548"/>
      <c r="D3293" s="550"/>
      <c r="E3293" s="550"/>
      <c r="F3293" s="550"/>
      <c r="G3293" s="550"/>
      <c r="H3293" s="551"/>
      <c r="I3293" s="550"/>
    </row>
    <row r="3294" spans="1:9" x14ac:dyDescent="0.2">
      <c r="A3294" s="549"/>
      <c r="C3294" s="548"/>
      <c r="D3294" s="550"/>
      <c r="E3294" s="550"/>
      <c r="F3294" s="550"/>
      <c r="G3294" s="550"/>
      <c r="H3294" s="551"/>
      <c r="I3294" s="550"/>
    </row>
    <row r="3295" spans="1:9" x14ac:dyDescent="0.2">
      <c r="A3295" s="549"/>
      <c r="C3295" s="548"/>
      <c r="D3295" s="550"/>
      <c r="E3295" s="550"/>
      <c r="F3295" s="550"/>
      <c r="G3295" s="550"/>
      <c r="H3295" s="551"/>
      <c r="I3295" s="550"/>
    </row>
    <row r="3296" spans="1:9" x14ac:dyDescent="0.2">
      <c r="A3296" s="549"/>
      <c r="C3296" s="548"/>
      <c r="D3296" s="550"/>
      <c r="E3296" s="550"/>
      <c r="F3296" s="550"/>
      <c r="G3296" s="550"/>
      <c r="H3296" s="551"/>
      <c r="I3296" s="550"/>
    </row>
    <row r="3297" spans="1:9" x14ac:dyDescent="0.2">
      <c r="A3297" s="549"/>
      <c r="C3297" s="548"/>
      <c r="D3297" s="550"/>
      <c r="E3297" s="550"/>
      <c r="F3297" s="550"/>
      <c r="G3297" s="550"/>
      <c r="H3297" s="551"/>
      <c r="I3297" s="550"/>
    </row>
    <row r="3298" spans="1:9" x14ac:dyDescent="0.2">
      <c r="A3298" s="549"/>
      <c r="C3298" s="548"/>
      <c r="D3298" s="550"/>
      <c r="E3298" s="550"/>
      <c r="F3298" s="550"/>
      <c r="G3298" s="550"/>
      <c r="H3298" s="551"/>
      <c r="I3298" s="550"/>
    </row>
    <row r="3299" spans="1:9" x14ac:dyDescent="0.2">
      <c r="A3299" s="549"/>
      <c r="C3299" s="548"/>
      <c r="D3299" s="550"/>
      <c r="E3299" s="550"/>
      <c r="F3299" s="550"/>
      <c r="G3299" s="550"/>
      <c r="H3299" s="551"/>
      <c r="I3299" s="550"/>
    </row>
    <row r="3300" spans="1:9" x14ac:dyDescent="0.2">
      <c r="A3300" s="549"/>
      <c r="C3300" s="548"/>
      <c r="D3300" s="550"/>
      <c r="E3300" s="550"/>
      <c r="F3300" s="550"/>
      <c r="G3300" s="550"/>
      <c r="H3300" s="551"/>
      <c r="I3300" s="550"/>
    </row>
    <row r="3301" spans="1:9" x14ac:dyDescent="0.2">
      <c r="A3301" s="549"/>
      <c r="C3301" s="548"/>
      <c r="D3301" s="550"/>
      <c r="E3301" s="550"/>
      <c r="F3301" s="550"/>
      <c r="G3301" s="550"/>
      <c r="H3301" s="551"/>
      <c r="I3301" s="550"/>
    </row>
    <row r="3302" spans="1:9" x14ac:dyDescent="0.2">
      <c r="A3302" s="549"/>
      <c r="C3302" s="548"/>
      <c r="D3302" s="550"/>
      <c r="E3302" s="550"/>
      <c r="F3302" s="550"/>
      <c r="G3302" s="550"/>
      <c r="H3302" s="551"/>
      <c r="I3302" s="550"/>
    </row>
    <row r="3303" spans="1:9" x14ac:dyDescent="0.2">
      <c r="A3303" s="549"/>
      <c r="C3303" s="548"/>
      <c r="D3303" s="550"/>
      <c r="E3303" s="550"/>
      <c r="F3303" s="550"/>
      <c r="G3303" s="550"/>
      <c r="H3303" s="551"/>
      <c r="I3303" s="550"/>
    </row>
    <row r="3304" spans="1:9" x14ac:dyDescent="0.2">
      <c r="A3304" s="549"/>
      <c r="C3304" s="548"/>
      <c r="D3304" s="550"/>
      <c r="E3304" s="550"/>
      <c r="F3304" s="550"/>
      <c r="G3304" s="550"/>
      <c r="H3304" s="551"/>
      <c r="I3304" s="550"/>
    </row>
    <row r="3305" spans="1:9" x14ac:dyDescent="0.2">
      <c r="A3305" s="549"/>
      <c r="C3305" s="548"/>
      <c r="D3305" s="550"/>
      <c r="E3305" s="550"/>
      <c r="F3305" s="550"/>
      <c r="G3305" s="550"/>
      <c r="H3305" s="551"/>
      <c r="I3305" s="550"/>
    </row>
    <row r="3306" spans="1:9" x14ac:dyDescent="0.2">
      <c r="A3306" s="549"/>
      <c r="C3306" s="548"/>
      <c r="D3306" s="550"/>
      <c r="E3306" s="550"/>
      <c r="F3306" s="550"/>
      <c r="G3306" s="550"/>
      <c r="H3306" s="551"/>
      <c r="I3306" s="550"/>
    </row>
    <row r="3307" spans="1:9" x14ac:dyDescent="0.2">
      <c r="A3307" s="549"/>
      <c r="C3307" s="548"/>
      <c r="D3307" s="550"/>
      <c r="E3307" s="550"/>
      <c r="F3307" s="550"/>
      <c r="G3307" s="550"/>
      <c r="H3307" s="551"/>
      <c r="I3307" s="550"/>
    </row>
    <row r="3308" spans="1:9" x14ac:dyDescent="0.2">
      <c r="A3308" s="549"/>
      <c r="C3308" s="548"/>
      <c r="D3308" s="550"/>
      <c r="E3308" s="550"/>
      <c r="F3308" s="550"/>
      <c r="G3308" s="550"/>
      <c r="H3308" s="551"/>
      <c r="I3308" s="550"/>
    </row>
    <row r="3309" spans="1:9" x14ac:dyDescent="0.2">
      <c r="A3309" s="549"/>
      <c r="C3309" s="548"/>
      <c r="D3309" s="550"/>
      <c r="E3309" s="550"/>
      <c r="F3309" s="550"/>
      <c r="G3309" s="550"/>
      <c r="H3309" s="551"/>
      <c r="I3309" s="550"/>
    </row>
    <row r="3310" spans="1:9" x14ac:dyDescent="0.2">
      <c r="A3310" s="549"/>
      <c r="C3310" s="548"/>
      <c r="D3310" s="550"/>
      <c r="E3310" s="550"/>
      <c r="F3310" s="550"/>
      <c r="G3310" s="550"/>
      <c r="H3310" s="551"/>
      <c r="I3310" s="550"/>
    </row>
    <row r="3311" spans="1:9" x14ac:dyDescent="0.2">
      <c r="A3311" s="549"/>
      <c r="C3311" s="548"/>
      <c r="D3311" s="550"/>
      <c r="E3311" s="550"/>
      <c r="F3311" s="550"/>
      <c r="G3311" s="550"/>
      <c r="H3311" s="551"/>
      <c r="I3311" s="550"/>
    </row>
    <row r="3312" spans="1:9" x14ac:dyDescent="0.2">
      <c r="A3312" s="549"/>
      <c r="C3312" s="548"/>
      <c r="D3312" s="550"/>
      <c r="E3312" s="550"/>
      <c r="F3312" s="550"/>
      <c r="G3312" s="550"/>
      <c r="H3312" s="551"/>
      <c r="I3312" s="550"/>
    </row>
    <row r="3313" spans="1:9" x14ac:dyDescent="0.2">
      <c r="A3313" s="549"/>
      <c r="C3313" s="548"/>
      <c r="D3313" s="550"/>
      <c r="E3313" s="550"/>
      <c r="F3313" s="550"/>
      <c r="G3313" s="550"/>
      <c r="H3313" s="551"/>
      <c r="I3313" s="550"/>
    </row>
    <row r="3314" spans="1:9" x14ac:dyDescent="0.2">
      <c r="A3314" s="549"/>
      <c r="C3314" s="548"/>
      <c r="D3314" s="550"/>
      <c r="E3314" s="550"/>
      <c r="F3314" s="550"/>
      <c r="G3314" s="550"/>
      <c r="H3314" s="551"/>
      <c r="I3314" s="550"/>
    </row>
    <row r="3315" spans="1:9" x14ac:dyDescent="0.2">
      <c r="A3315" s="549"/>
      <c r="C3315" s="548"/>
      <c r="D3315" s="550"/>
      <c r="E3315" s="550"/>
      <c r="F3315" s="550"/>
      <c r="G3315" s="550"/>
      <c r="H3315" s="551"/>
      <c r="I3315" s="550"/>
    </row>
    <row r="3316" spans="1:9" x14ac:dyDescent="0.2">
      <c r="A3316" s="549"/>
      <c r="C3316" s="548"/>
      <c r="D3316" s="550"/>
      <c r="E3316" s="550"/>
      <c r="F3316" s="550"/>
      <c r="G3316" s="550"/>
      <c r="H3316" s="551"/>
      <c r="I3316" s="550"/>
    </row>
    <row r="3317" spans="1:9" x14ac:dyDescent="0.2">
      <c r="A3317" s="549"/>
      <c r="C3317" s="548"/>
      <c r="D3317" s="550"/>
      <c r="E3317" s="550"/>
      <c r="F3317" s="550"/>
      <c r="G3317" s="550"/>
      <c r="H3317" s="551"/>
      <c r="I3317" s="550"/>
    </row>
    <row r="3318" spans="1:9" x14ac:dyDescent="0.2">
      <c r="A3318" s="549"/>
      <c r="C3318" s="548"/>
      <c r="D3318" s="550"/>
      <c r="E3318" s="550"/>
      <c r="F3318" s="550"/>
      <c r="G3318" s="550"/>
      <c r="H3318" s="551"/>
      <c r="I3318" s="550"/>
    </row>
    <row r="3319" spans="1:9" x14ac:dyDescent="0.2">
      <c r="A3319" s="549"/>
      <c r="C3319" s="548"/>
      <c r="D3319" s="550"/>
      <c r="E3319" s="550"/>
      <c r="F3319" s="550"/>
      <c r="G3319" s="550"/>
      <c r="H3319" s="551"/>
      <c r="I3319" s="550"/>
    </row>
    <row r="3320" spans="1:9" x14ac:dyDescent="0.2">
      <c r="A3320" s="549"/>
      <c r="C3320" s="548"/>
      <c r="D3320" s="550"/>
      <c r="E3320" s="550"/>
      <c r="F3320" s="550"/>
      <c r="G3320" s="550"/>
      <c r="H3320" s="551"/>
      <c r="I3320" s="550"/>
    </row>
    <row r="3321" spans="1:9" x14ac:dyDescent="0.2">
      <c r="A3321" s="549"/>
      <c r="C3321" s="548"/>
      <c r="D3321" s="550"/>
      <c r="E3321" s="550"/>
      <c r="F3321" s="550"/>
      <c r="G3321" s="550"/>
      <c r="H3321" s="551"/>
      <c r="I3321" s="550"/>
    </row>
    <row r="3322" spans="1:9" x14ac:dyDescent="0.2">
      <c r="A3322" s="549"/>
      <c r="C3322" s="548"/>
      <c r="D3322" s="550"/>
      <c r="E3322" s="550"/>
      <c r="F3322" s="550"/>
      <c r="G3322" s="550"/>
      <c r="H3322" s="551"/>
      <c r="I3322" s="550"/>
    </row>
    <row r="3323" spans="1:9" x14ac:dyDescent="0.2">
      <c r="A3323" s="549"/>
      <c r="C3323" s="548"/>
      <c r="D3323" s="550"/>
      <c r="E3323" s="550"/>
      <c r="F3323" s="550"/>
      <c r="G3323" s="550"/>
      <c r="H3323" s="551"/>
      <c r="I3323" s="550"/>
    </row>
    <row r="3324" spans="1:9" x14ac:dyDescent="0.2">
      <c r="A3324" s="549"/>
      <c r="C3324" s="548"/>
      <c r="D3324" s="550"/>
      <c r="E3324" s="550"/>
      <c r="F3324" s="550"/>
      <c r="G3324" s="550"/>
      <c r="H3324" s="551"/>
      <c r="I3324" s="550"/>
    </row>
    <row r="3325" spans="1:9" x14ac:dyDescent="0.2">
      <c r="A3325" s="549"/>
      <c r="C3325" s="548"/>
      <c r="D3325" s="550"/>
      <c r="E3325" s="550"/>
      <c r="F3325" s="550"/>
      <c r="G3325" s="550"/>
      <c r="H3325" s="551"/>
      <c r="I3325" s="550"/>
    </row>
    <row r="3326" spans="1:9" x14ac:dyDescent="0.2">
      <c r="A3326" s="549"/>
      <c r="C3326" s="548"/>
      <c r="D3326" s="550"/>
      <c r="E3326" s="550"/>
      <c r="F3326" s="550"/>
      <c r="G3326" s="550"/>
      <c r="H3326" s="551"/>
      <c r="I3326" s="550"/>
    </row>
    <row r="3327" spans="1:9" x14ac:dyDescent="0.2">
      <c r="A3327" s="549"/>
      <c r="C3327" s="548"/>
      <c r="D3327" s="550"/>
      <c r="E3327" s="550"/>
      <c r="F3327" s="550"/>
      <c r="G3327" s="550"/>
      <c r="H3327" s="551"/>
      <c r="I3327" s="550"/>
    </row>
    <row r="3328" spans="1:9" x14ac:dyDescent="0.2">
      <c r="A3328" s="549"/>
      <c r="C3328" s="548"/>
      <c r="D3328" s="550"/>
      <c r="E3328" s="550"/>
      <c r="F3328" s="550"/>
      <c r="G3328" s="550"/>
      <c r="H3328" s="551"/>
      <c r="I3328" s="550"/>
    </row>
    <row r="3329" spans="1:9" x14ac:dyDescent="0.2">
      <c r="A3329" s="549"/>
      <c r="C3329" s="548"/>
      <c r="D3329" s="550"/>
      <c r="E3329" s="550"/>
      <c r="F3329" s="550"/>
      <c r="G3329" s="550"/>
      <c r="H3329" s="551"/>
      <c r="I3329" s="550"/>
    </row>
    <row r="3330" spans="1:9" x14ac:dyDescent="0.2">
      <c r="A3330" s="549"/>
      <c r="C3330" s="548"/>
      <c r="D3330" s="550"/>
      <c r="E3330" s="550"/>
      <c r="F3330" s="550"/>
      <c r="G3330" s="550"/>
      <c r="H3330" s="551"/>
      <c r="I3330" s="550"/>
    </row>
    <row r="3331" spans="1:9" x14ac:dyDescent="0.2">
      <c r="A3331" s="549"/>
      <c r="C3331" s="548"/>
      <c r="D3331" s="550"/>
      <c r="E3331" s="550"/>
      <c r="F3331" s="550"/>
      <c r="G3331" s="550"/>
      <c r="H3331" s="551"/>
      <c r="I3331" s="550"/>
    </row>
    <row r="3332" spans="1:9" x14ac:dyDescent="0.2">
      <c r="A3332" s="549"/>
      <c r="C3332" s="548"/>
      <c r="D3332" s="550"/>
      <c r="E3332" s="550"/>
      <c r="F3332" s="550"/>
      <c r="G3332" s="550"/>
      <c r="H3332" s="551"/>
      <c r="I3332" s="550"/>
    </row>
    <row r="3333" spans="1:9" x14ac:dyDescent="0.2">
      <c r="A3333" s="549"/>
      <c r="C3333" s="548"/>
      <c r="D3333" s="550"/>
      <c r="E3333" s="550"/>
      <c r="F3333" s="550"/>
      <c r="G3333" s="550"/>
      <c r="H3333" s="551"/>
      <c r="I3333" s="550"/>
    </row>
    <row r="3334" spans="1:9" x14ac:dyDescent="0.2">
      <c r="A3334" s="549"/>
      <c r="C3334" s="548"/>
      <c r="D3334" s="550"/>
      <c r="E3334" s="550"/>
      <c r="F3334" s="550"/>
      <c r="G3334" s="550"/>
      <c r="H3334" s="551"/>
      <c r="I3334" s="550"/>
    </row>
    <row r="3335" spans="1:9" x14ac:dyDescent="0.2">
      <c r="A3335" s="549"/>
      <c r="C3335" s="548"/>
      <c r="D3335" s="550"/>
      <c r="E3335" s="550"/>
      <c r="F3335" s="550"/>
      <c r="G3335" s="550"/>
      <c r="H3335" s="551"/>
      <c r="I3335" s="550"/>
    </row>
    <row r="3336" spans="1:9" x14ac:dyDescent="0.2">
      <c r="A3336" s="549"/>
      <c r="C3336" s="548"/>
      <c r="D3336" s="550"/>
      <c r="E3336" s="550"/>
      <c r="F3336" s="550"/>
      <c r="G3336" s="550"/>
      <c r="H3336" s="551"/>
      <c r="I3336" s="550"/>
    </row>
    <row r="3337" spans="1:9" x14ac:dyDescent="0.2">
      <c r="A3337" s="549"/>
      <c r="C3337" s="548"/>
      <c r="D3337" s="550"/>
      <c r="E3337" s="550"/>
      <c r="F3337" s="550"/>
      <c r="G3337" s="550"/>
      <c r="H3337" s="551"/>
      <c r="I3337" s="550"/>
    </row>
    <row r="3338" spans="1:9" x14ac:dyDescent="0.2">
      <c r="A3338" s="549"/>
      <c r="C3338" s="548"/>
      <c r="D3338" s="550"/>
      <c r="E3338" s="550"/>
      <c r="F3338" s="550"/>
      <c r="G3338" s="550"/>
      <c r="H3338" s="551"/>
      <c r="I3338" s="550"/>
    </row>
    <row r="3339" spans="1:9" x14ac:dyDescent="0.2">
      <c r="A3339" s="549"/>
      <c r="C3339" s="548"/>
      <c r="D3339" s="550"/>
      <c r="E3339" s="550"/>
      <c r="F3339" s="550"/>
      <c r="G3339" s="550"/>
      <c r="H3339" s="551"/>
      <c r="I3339" s="550"/>
    </row>
    <row r="3340" spans="1:9" x14ac:dyDescent="0.2">
      <c r="A3340" s="549"/>
      <c r="C3340" s="548"/>
      <c r="D3340" s="550"/>
      <c r="E3340" s="550"/>
      <c r="F3340" s="550"/>
      <c r="G3340" s="550"/>
      <c r="H3340" s="551"/>
      <c r="I3340" s="550"/>
    </row>
    <row r="3341" spans="1:9" x14ac:dyDescent="0.2">
      <c r="A3341" s="549"/>
      <c r="C3341" s="548"/>
      <c r="D3341" s="550"/>
      <c r="E3341" s="550"/>
      <c r="F3341" s="550"/>
      <c r="G3341" s="550"/>
      <c r="H3341" s="551"/>
      <c r="I3341" s="550"/>
    </row>
    <row r="3342" spans="1:9" x14ac:dyDescent="0.2">
      <c r="A3342" s="549"/>
      <c r="C3342" s="548"/>
      <c r="D3342" s="550"/>
      <c r="E3342" s="550"/>
      <c r="F3342" s="550"/>
      <c r="G3342" s="550"/>
      <c r="H3342" s="551"/>
      <c r="I3342" s="550"/>
    </row>
    <row r="3343" spans="1:9" x14ac:dyDescent="0.2">
      <c r="A3343" s="549"/>
      <c r="C3343" s="548"/>
      <c r="D3343" s="550"/>
      <c r="E3343" s="550"/>
      <c r="F3343" s="550"/>
      <c r="G3343" s="550"/>
      <c r="H3343" s="551"/>
      <c r="I3343" s="550"/>
    </row>
    <row r="3344" spans="1:9" x14ac:dyDescent="0.2">
      <c r="A3344" s="549"/>
      <c r="C3344" s="548"/>
      <c r="D3344" s="550"/>
      <c r="E3344" s="550"/>
      <c r="F3344" s="550"/>
      <c r="G3344" s="550"/>
      <c r="H3344" s="551"/>
      <c r="I3344" s="550"/>
    </row>
    <row r="3345" spans="1:9" x14ac:dyDescent="0.2">
      <c r="A3345" s="549"/>
      <c r="C3345" s="548"/>
      <c r="D3345" s="550"/>
      <c r="E3345" s="550"/>
      <c r="F3345" s="550"/>
      <c r="G3345" s="550"/>
      <c r="H3345" s="551"/>
      <c r="I3345" s="550"/>
    </row>
    <row r="3346" spans="1:9" x14ac:dyDescent="0.2">
      <c r="A3346" s="549"/>
      <c r="C3346" s="548"/>
      <c r="D3346" s="550"/>
      <c r="E3346" s="550"/>
      <c r="F3346" s="550"/>
      <c r="G3346" s="550"/>
      <c r="H3346" s="551"/>
      <c r="I3346" s="550"/>
    </row>
    <row r="3347" spans="1:9" x14ac:dyDescent="0.2">
      <c r="A3347" s="549"/>
      <c r="C3347" s="548"/>
      <c r="D3347" s="550"/>
      <c r="E3347" s="550"/>
      <c r="F3347" s="550"/>
      <c r="G3347" s="550"/>
      <c r="H3347" s="551"/>
      <c r="I3347" s="550"/>
    </row>
    <row r="3348" spans="1:9" x14ac:dyDescent="0.2">
      <c r="A3348" s="549"/>
      <c r="C3348" s="548"/>
      <c r="D3348" s="550"/>
      <c r="E3348" s="550"/>
      <c r="F3348" s="550"/>
      <c r="G3348" s="550"/>
      <c r="H3348" s="551"/>
      <c r="I3348" s="550"/>
    </row>
    <row r="3349" spans="1:9" x14ac:dyDescent="0.2">
      <c r="A3349" s="549"/>
      <c r="C3349" s="548"/>
      <c r="D3349" s="550"/>
      <c r="E3349" s="550"/>
      <c r="F3349" s="550"/>
      <c r="G3349" s="550"/>
      <c r="H3349" s="551"/>
      <c r="I3349" s="550"/>
    </row>
    <row r="3350" spans="1:9" x14ac:dyDescent="0.2">
      <c r="A3350" s="549"/>
      <c r="C3350" s="548"/>
      <c r="D3350" s="550"/>
      <c r="E3350" s="550"/>
      <c r="F3350" s="550"/>
      <c r="G3350" s="550"/>
      <c r="H3350" s="551"/>
      <c r="I3350" s="550"/>
    </row>
    <row r="3351" spans="1:9" x14ac:dyDescent="0.2">
      <c r="A3351" s="549"/>
      <c r="C3351" s="548"/>
      <c r="D3351" s="550"/>
      <c r="E3351" s="550"/>
      <c r="F3351" s="550"/>
      <c r="G3351" s="550"/>
      <c r="H3351" s="551"/>
      <c r="I3351" s="550"/>
    </row>
    <row r="3352" spans="1:9" x14ac:dyDescent="0.2">
      <c r="A3352" s="549"/>
      <c r="C3352" s="548"/>
      <c r="D3352" s="550"/>
      <c r="E3352" s="550"/>
      <c r="F3352" s="550"/>
      <c r="G3352" s="550"/>
      <c r="H3352" s="551"/>
      <c r="I3352" s="550"/>
    </row>
    <row r="3353" spans="1:9" x14ac:dyDescent="0.2">
      <c r="A3353" s="549"/>
      <c r="C3353" s="548"/>
      <c r="D3353" s="550"/>
      <c r="E3353" s="550"/>
      <c r="F3353" s="550"/>
      <c r="G3353" s="550"/>
      <c r="H3353" s="551"/>
      <c r="I3353" s="550"/>
    </row>
    <row r="3354" spans="1:9" x14ac:dyDescent="0.2">
      <c r="A3354" s="549"/>
      <c r="C3354" s="548"/>
      <c r="D3354" s="550"/>
      <c r="E3354" s="550"/>
      <c r="F3354" s="550"/>
      <c r="G3354" s="550"/>
      <c r="H3354" s="551"/>
      <c r="I3354" s="550"/>
    </row>
    <row r="3355" spans="1:9" x14ac:dyDescent="0.2">
      <c r="A3355" s="549"/>
      <c r="C3355" s="548"/>
      <c r="D3355" s="550"/>
      <c r="E3355" s="550"/>
      <c r="F3355" s="550"/>
      <c r="G3355" s="550"/>
      <c r="H3355" s="551"/>
      <c r="I3355" s="550"/>
    </row>
    <row r="3356" spans="1:9" x14ac:dyDescent="0.2">
      <c r="A3356" s="549"/>
      <c r="C3356" s="548"/>
      <c r="D3356" s="550"/>
      <c r="E3356" s="550"/>
      <c r="F3356" s="550"/>
      <c r="G3356" s="550"/>
      <c r="H3356" s="551"/>
      <c r="I3356" s="550"/>
    </row>
    <row r="3357" spans="1:9" x14ac:dyDescent="0.2">
      <c r="A3357" s="549"/>
      <c r="C3357" s="548"/>
      <c r="D3357" s="550"/>
      <c r="E3357" s="550"/>
      <c r="F3357" s="550"/>
      <c r="G3357" s="550"/>
      <c r="H3357" s="551"/>
      <c r="I3357" s="550"/>
    </row>
    <row r="3358" spans="1:9" x14ac:dyDescent="0.2">
      <c r="A3358" s="549"/>
      <c r="C3358" s="548"/>
      <c r="D3358" s="550"/>
      <c r="E3358" s="550"/>
      <c r="F3358" s="550"/>
      <c r="G3358" s="550"/>
      <c r="H3358" s="551"/>
      <c r="I3358" s="550"/>
    </row>
    <row r="3359" spans="1:9" x14ac:dyDescent="0.2">
      <c r="A3359" s="549"/>
      <c r="C3359" s="548"/>
      <c r="D3359" s="550"/>
      <c r="E3359" s="550"/>
      <c r="F3359" s="550"/>
      <c r="G3359" s="550"/>
      <c r="H3359" s="551"/>
      <c r="I3359" s="550"/>
    </row>
    <row r="3360" spans="1:9" x14ac:dyDescent="0.2">
      <c r="A3360" s="549"/>
      <c r="C3360" s="548"/>
      <c r="D3360" s="550"/>
      <c r="E3360" s="550"/>
      <c r="F3360" s="550"/>
      <c r="G3360" s="550"/>
      <c r="H3360" s="551"/>
      <c r="I3360" s="550"/>
    </row>
    <row r="3361" spans="1:9" x14ac:dyDescent="0.2">
      <c r="A3361" s="549"/>
      <c r="C3361" s="548"/>
      <c r="D3361" s="550"/>
      <c r="E3361" s="550"/>
      <c r="F3361" s="550"/>
      <c r="G3361" s="550"/>
      <c r="H3361" s="551"/>
      <c r="I3361" s="550"/>
    </row>
    <row r="3362" spans="1:9" x14ac:dyDescent="0.2">
      <c r="A3362" s="549"/>
      <c r="C3362" s="548"/>
      <c r="D3362" s="550"/>
      <c r="E3362" s="550"/>
      <c r="F3362" s="550"/>
      <c r="G3362" s="550"/>
      <c r="H3362" s="551"/>
      <c r="I3362" s="550"/>
    </row>
    <row r="3363" spans="1:9" x14ac:dyDescent="0.2">
      <c r="A3363" s="549"/>
      <c r="C3363" s="548"/>
      <c r="D3363" s="550"/>
      <c r="E3363" s="550"/>
      <c r="F3363" s="550"/>
      <c r="G3363" s="550"/>
      <c r="H3363" s="551"/>
      <c r="I3363" s="550"/>
    </row>
    <row r="3364" spans="1:9" x14ac:dyDescent="0.2">
      <c r="A3364" s="549"/>
      <c r="C3364" s="548"/>
      <c r="D3364" s="550"/>
      <c r="E3364" s="550"/>
      <c r="F3364" s="550"/>
      <c r="G3364" s="550"/>
      <c r="H3364" s="551"/>
      <c r="I3364" s="550"/>
    </row>
    <row r="3365" spans="1:9" x14ac:dyDescent="0.2">
      <c r="A3365" s="549"/>
      <c r="C3365" s="548"/>
      <c r="D3365" s="550"/>
      <c r="E3365" s="550"/>
      <c r="F3365" s="550"/>
      <c r="G3365" s="550"/>
      <c r="H3365" s="551"/>
      <c r="I3365" s="550"/>
    </row>
    <row r="3366" spans="1:9" x14ac:dyDescent="0.2">
      <c r="A3366" s="549"/>
      <c r="C3366" s="548"/>
      <c r="D3366" s="550"/>
      <c r="E3366" s="550"/>
      <c r="F3366" s="550"/>
      <c r="G3366" s="550"/>
      <c r="H3366" s="551"/>
      <c r="I3366" s="550"/>
    </row>
    <row r="3367" spans="1:9" x14ac:dyDescent="0.2">
      <c r="A3367" s="549"/>
      <c r="C3367" s="548"/>
      <c r="D3367" s="550"/>
      <c r="E3367" s="550"/>
      <c r="F3367" s="550"/>
      <c r="G3367" s="550"/>
      <c r="H3367" s="551"/>
      <c r="I3367" s="550"/>
    </row>
    <row r="3368" spans="1:9" x14ac:dyDescent="0.2">
      <c r="A3368" s="549"/>
      <c r="C3368" s="548"/>
      <c r="D3368" s="550"/>
      <c r="E3368" s="550"/>
      <c r="F3368" s="550"/>
      <c r="G3368" s="550"/>
      <c r="H3368" s="551"/>
      <c r="I3368" s="550"/>
    </row>
    <row r="3369" spans="1:9" x14ac:dyDescent="0.2">
      <c r="A3369" s="549"/>
      <c r="C3369" s="548"/>
      <c r="D3369" s="550"/>
      <c r="E3369" s="550"/>
      <c r="F3369" s="550"/>
      <c r="G3369" s="550"/>
      <c r="H3369" s="551"/>
      <c r="I3369" s="550"/>
    </row>
    <row r="3370" spans="1:9" x14ac:dyDescent="0.2">
      <c r="A3370" s="549"/>
      <c r="C3370" s="548"/>
      <c r="D3370" s="550"/>
      <c r="E3370" s="550"/>
      <c r="F3370" s="550"/>
      <c r="G3370" s="550"/>
      <c r="H3370" s="551"/>
      <c r="I3370" s="550"/>
    </row>
    <row r="3371" spans="1:9" x14ac:dyDescent="0.2">
      <c r="A3371" s="549"/>
      <c r="C3371" s="548"/>
      <c r="D3371" s="550"/>
      <c r="E3371" s="550"/>
      <c r="F3371" s="550"/>
      <c r="G3371" s="550"/>
      <c r="H3371" s="551"/>
      <c r="I3371" s="550"/>
    </row>
    <row r="3372" spans="1:9" x14ac:dyDescent="0.2">
      <c r="A3372" s="549"/>
      <c r="C3372" s="548"/>
      <c r="D3372" s="550"/>
      <c r="E3372" s="550"/>
      <c r="F3372" s="550"/>
      <c r="G3372" s="550"/>
      <c r="H3372" s="551"/>
      <c r="I3372" s="550"/>
    </row>
    <row r="3373" spans="1:9" x14ac:dyDescent="0.2">
      <c r="A3373" s="549"/>
      <c r="C3373" s="548"/>
      <c r="D3373" s="550"/>
      <c r="E3373" s="550"/>
      <c r="F3373" s="550"/>
      <c r="G3373" s="550"/>
      <c r="H3373" s="551"/>
      <c r="I3373" s="550"/>
    </row>
    <row r="3374" spans="1:9" x14ac:dyDescent="0.2">
      <c r="A3374" s="549"/>
      <c r="C3374" s="548"/>
      <c r="D3374" s="550"/>
      <c r="E3374" s="550"/>
      <c r="F3374" s="550"/>
      <c r="G3374" s="550"/>
      <c r="H3374" s="551"/>
      <c r="I3374" s="550"/>
    </row>
    <row r="3375" spans="1:9" x14ac:dyDescent="0.2">
      <c r="A3375" s="549"/>
      <c r="C3375" s="548"/>
      <c r="D3375" s="550"/>
      <c r="E3375" s="550"/>
      <c r="F3375" s="550"/>
      <c r="G3375" s="550"/>
      <c r="H3375" s="551"/>
      <c r="I3375" s="550"/>
    </row>
    <row r="3376" spans="1:9" x14ac:dyDescent="0.2">
      <c r="A3376" s="549"/>
      <c r="C3376" s="548"/>
      <c r="D3376" s="550"/>
      <c r="E3376" s="550"/>
      <c r="F3376" s="550"/>
      <c r="G3376" s="550"/>
      <c r="H3376" s="551"/>
      <c r="I3376" s="550"/>
    </row>
    <row r="3377" spans="1:9" x14ac:dyDescent="0.2">
      <c r="A3377" s="549"/>
      <c r="C3377" s="548"/>
      <c r="D3377" s="550"/>
      <c r="E3377" s="550"/>
      <c r="F3377" s="550"/>
      <c r="G3377" s="550"/>
      <c r="H3377" s="551"/>
      <c r="I3377" s="550"/>
    </row>
    <row r="3378" spans="1:9" x14ac:dyDescent="0.2">
      <c r="A3378" s="549"/>
      <c r="C3378" s="548"/>
      <c r="D3378" s="550"/>
      <c r="E3378" s="550"/>
      <c r="F3378" s="550"/>
      <c r="G3378" s="550"/>
      <c r="H3378" s="551"/>
      <c r="I3378" s="550"/>
    </row>
    <row r="3379" spans="1:9" x14ac:dyDescent="0.2">
      <c r="A3379" s="549"/>
      <c r="C3379" s="548"/>
      <c r="D3379" s="550"/>
      <c r="E3379" s="550"/>
      <c r="F3379" s="550"/>
      <c r="G3379" s="550"/>
      <c r="H3379" s="551"/>
      <c r="I3379" s="550"/>
    </row>
    <row r="3380" spans="1:9" x14ac:dyDescent="0.2">
      <c r="A3380" s="549"/>
      <c r="C3380" s="548"/>
      <c r="D3380" s="550"/>
      <c r="E3380" s="550"/>
      <c r="F3380" s="550"/>
      <c r="G3380" s="550"/>
      <c r="H3380" s="551"/>
      <c r="I3380" s="550"/>
    </row>
    <row r="3381" spans="1:9" x14ac:dyDescent="0.2">
      <c r="A3381" s="549"/>
      <c r="C3381" s="548"/>
      <c r="D3381" s="550"/>
      <c r="E3381" s="550"/>
      <c r="F3381" s="550"/>
      <c r="G3381" s="550"/>
      <c r="H3381" s="551"/>
      <c r="I3381" s="550"/>
    </row>
    <row r="3382" spans="1:9" x14ac:dyDescent="0.2">
      <c r="A3382" s="549"/>
      <c r="C3382" s="548"/>
      <c r="D3382" s="550"/>
      <c r="E3382" s="550"/>
      <c r="F3382" s="550"/>
      <c r="G3382" s="550"/>
      <c r="H3382" s="551"/>
      <c r="I3382" s="550"/>
    </row>
    <row r="3383" spans="1:9" x14ac:dyDescent="0.2">
      <c r="A3383" s="549"/>
      <c r="C3383" s="548"/>
      <c r="D3383" s="550"/>
      <c r="E3383" s="550"/>
      <c r="F3383" s="550"/>
      <c r="G3383" s="550"/>
      <c r="H3383" s="551"/>
      <c r="I3383" s="550"/>
    </row>
    <row r="3384" spans="1:9" x14ac:dyDescent="0.2">
      <c r="A3384" s="549"/>
      <c r="C3384" s="548"/>
      <c r="D3384" s="550"/>
      <c r="E3384" s="550"/>
      <c r="F3384" s="550"/>
      <c r="G3384" s="550"/>
      <c r="H3384" s="551"/>
      <c r="I3384" s="550"/>
    </row>
    <row r="3385" spans="1:9" x14ac:dyDescent="0.2">
      <c r="A3385" s="549"/>
      <c r="C3385" s="548"/>
      <c r="D3385" s="550"/>
      <c r="E3385" s="550"/>
      <c r="F3385" s="550"/>
      <c r="G3385" s="550"/>
      <c r="H3385" s="551"/>
      <c r="I3385" s="550"/>
    </row>
    <row r="3386" spans="1:9" x14ac:dyDescent="0.2">
      <c r="A3386" s="549"/>
      <c r="C3386" s="548"/>
      <c r="D3386" s="550"/>
      <c r="E3386" s="550"/>
      <c r="F3386" s="550"/>
      <c r="G3386" s="550"/>
      <c r="H3386" s="551"/>
      <c r="I3386" s="550"/>
    </row>
    <row r="3387" spans="1:9" x14ac:dyDescent="0.2">
      <c r="A3387" s="549"/>
      <c r="C3387" s="548"/>
      <c r="D3387" s="550"/>
      <c r="E3387" s="550"/>
      <c r="F3387" s="550"/>
      <c r="G3387" s="550"/>
      <c r="H3387" s="551"/>
      <c r="I3387" s="550"/>
    </row>
    <row r="3388" spans="1:9" x14ac:dyDescent="0.2">
      <c r="A3388" s="549"/>
      <c r="C3388" s="548"/>
      <c r="D3388" s="550"/>
      <c r="E3388" s="550"/>
      <c r="F3388" s="550"/>
      <c r="G3388" s="550"/>
      <c r="H3388" s="551"/>
      <c r="I3388" s="550"/>
    </row>
    <row r="3389" spans="1:9" x14ac:dyDescent="0.2">
      <c r="A3389" s="549"/>
      <c r="C3389" s="548"/>
      <c r="D3389" s="550"/>
      <c r="E3389" s="550"/>
      <c r="F3389" s="550"/>
      <c r="G3389" s="550"/>
      <c r="H3389" s="551"/>
      <c r="I3389" s="550"/>
    </row>
    <row r="3390" spans="1:9" x14ac:dyDescent="0.2">
      <c r="A3390" s="549"/>
      <c r="C3390" s="548"/>
      <c r="D3390" s="550"/>
      <c r="E3390" s="550"/>
      <c r="F3390" s="550"/>
      <c r="G3390" s="550"/>
      <c r="H3390" s="551"/>
      <c r="I3390" s="550"/>
    </row>
    <row r="3391" spans="1:9" x14ac:dyDescent="0.2">
      <c r="A3391" s="549"/>
      <c r="C3391" s="548"/>
      <c r="D3391" s="550"/>
      <c r="E3391" s="550"/>
      <c r="F3391" s="550"/>
      <c r="G3391" s="550"/>
      <c r="H3391" s="551"/>
      <c r="I3391" s="550"/>
    </row>
    <row r="3392" spans="1:9" x14ac:dyDescent="0.2">
      <c r="A3392" s="549"/>
      <c r="C3392" s="548"/>
      <c r="D3392" s="550"/>
      <c r="E3392" s="550"/>
      <c r="F3392" s="550"/>
      <c r="G3392" s="550"/>
      <c r="H3392" s="551"/>
      <c r="I3392" s="550"/>
    </row>
    <row r="3393" spans="1:9" x14ac:dyDescent="0.2">
      <c r="A3393" s="549"/>
      <c r="C3393" s="548"/>
      <c r="D3393" s="550"/>
      <c r="E3393" s="550"/>
      <c r="F3393" s="550"/>
      <c r="G3393" s="550"/>
      <c r="H3393" s="551"/>
      <c r="I3393" s="550"/>
    </row>
    <row r="3394" spans="1:9" x14ac:dyDescent="0.2">
      <c r="A3394" s="549"/>
      <c r="C3394" s="548"/>
      <c r="D3394" s="550"/>
      <c r="E3394" s="550"/>
      <c r="F3394" s="550"/>
      <c r="G3394" s="550"/>
      <c r="H3394" s="551"/>
      <c r="I3394" s="550"/>
    </row>
    <row r="3395" spans="1:9" x14ac:dyDescent="0.2">
      <c r="A3395" s="549"/>
      <c r="C3395" s="548"/>
      <c r="D3395" s="550"/>
      <c r="E3395" s="550"/>
      <c r="F3395" s="550"/>
      <c r="G3395" s="550"/>
      <c r="H3395" s="551"/>
      <c r="I3395" s="550"/>
    </row>
    <row r="3396" spans="1:9" x14ac:dyDescent="0.2">
      <c r="A3396" s="549"/>
      <c r="C3396" s="548"/>
      <c r="D3396" s="550"/>
      <c r="E3396" s="550"/>
      <c r="F3396" s="550"/>
      <c r="G3396" s="550"/>
      <c r="H3396" s="551"/>
      <c r="I3396" s="550"/>
    </row>
    <row r="3397" spans="1:9" x14ac:dyDescent="0.2">
      <c r="A3397" s="549"/>
      <c r="C3397" s="548"/>
      <c r="D3397" s="550"/>
      <c r="E3397" s="550"/>
      <c r="F3397" s="550"/>
      <c r="G3397" s="550"/>
      <c r="H3397" s="551"/>
      <c r="I3397" s="550"/>
    </row>
    <row r="3398" spans="1:9" x14ac:dyDescent="0.2">
      <c r="A3398" s="549"/>
      <c r="C3398" s="548"/>
      <c r="D3398" s="550"/>
      <c r="E3398" s="550"/>
      <c r="F3398" s="550"/>
      <c r="G3398" s="550"/>
      <c r="H3398" s="551"/>
      <c r="I3398" s="550"/>
    </row>
    <row r="3399" spans="1:9" x14ac:dyDescent="0.2">
      <c r="A3399" s="549"/>
      <c r="C3399" s="548"/>
      <c r="D3399" s="550"/>
      <c r="E3399" s="550"/>
      <c r="F3399" s="550"/>
      <c r="G3399" s="550"/>
      <c r="H3399" s="551"/>
      <c r="I3399" s="550"/>
    </row>
    <row r="3400" spans="1:9" x14ac:dyDescent="0.2">
      <c r="A3400" s="549"/>
      <c r="C3400" s="548"/>
      <c r="D3400" s="550"/>
      <c r="E3400" s="550"/>
      <c r="F3400" s="550"/>
      <c r="G3400" s="550"/>
      <c r="H3400" s="551"/>
      <c r="I3400" s="550"/>
    </row>
    <row r="3401" spans="1:9" x14ac:dyDescent="0.2">
      <c r="A3401" s="549"/>
      <c r="C3401" s="548"/>
      <c r="D3401" s="550"/>
      <c r="E3401" s="550"/>
      <c r="F3401" s="550"/>
      <c r="G3401" s="550"/>
      <c r="H3401" s="551"/>
      <c r="I3401" s="550"/>
    </row>
    <row r="3402" spans="1:9" x14ac:dyDescent="0.2">
      <c r="A3402" s="549"/>
      <c r="C3402" s="548"/>
      <c r="D3402" s="550"/>
      <c r="E3402" s="550"/>
      <c r="F3402" s="550"/>
      <c r="G3402" s="550"/>
      <c r="H3402" s="551"/>
      <c r="I3402" s="550"/>
    </row>
    <row r="3403" spans="1:9" x14ac:dyDescent="0.2">
      <c r="A3403" s="549"/>
      <c r="C3403" s="548"/>
      <c r="D3403" s="550"/>
      <c r="E3403" s="550"/>
      <c r="F3403" s="550"/>
      <c r="G3403" s="550"/>
      <c r="H3403" s="551"/>
      <c r="I3403" s="550"/>
    </row>
    <row r="3404" spans="1:9" x14ac:dyDescent="0.2">
      <c r="A3404" s="549"/>
      <c r="C3404" s="548"/>
      <c r="D3404" s="550"/>
      <c r="E3404" s="550"/>
      <c r="F3404" s="550"/>
      <c r="G3404" s="550"/>
      <c r="H3404" s="551"/>
      <c r="I3404" s="550"/>
    </row>
    <row r="3405" spans="1:9" x14ac:dyDescent="0.2">
      <c r="A3405" s="549"/>
      <c r="C3405" s="548"/>
      <c r="D3405" s="550"/>
      <c r="E3405" s="550"/>
      <c r="F3405" s="550"/>
      <c r="G3405" s="550"/>
      <c r="H3405" s="551"/>
      <c r="I3405" s="550"/>
    </row>
    <row r="3406" spans="1:9" x14ac:dyDescent="0.2">
      <c r="A3406" s="549"/>
      <c r="C3406" s="548"/>
      <c r="D3406" s="550"/>
      <c r="E3406" s="550"/>
      <c r="F3406" s="550"/>
      <c r="G3406" s="550"/>
      <c r="H3406" s="551"/>
      <c r="I3406" s="550"/>
    </row>
    <row r="3407" spans="1:9" x14ac:dyDescent="0.2">
      <c r="A3407" s="549"/>
      <c r="C3407" s="548"/>
      <c r="D3407" s="550"/>
      <c r="E3407" s="550"/>
      <c r="F3407" s="550"/>
      <c r="G3407" s="550"/>
      <c r="H3407" s="551"/>
      <c r="I3407" s="550"/>
    </row>
    <row r="3408" spans="1:9" x14ac:dyDescent="0.2">
      <c r="A3408" s="549"/>
      <c r="C3408" s="548"/>
      <c r="D3408" s="550"/>
      <c r="E3408" s="550"/>
      <c r="F3408" s="550"/>
      <c r="G3408" s="550"/>
      <c r="H3408" s="551"/>
      <c r="I3408" s="550"/>
    </row>
    <row r="3409" spans="1:9" x14ac:dyDescent="0.2">
      <c r="A3409" s="549"/>
      <c r="C3409" s="548"/>
      <c r="D3409" s="550"/>
      <c r="E3409" s="550"/>
      <c r="F3409" s="550"/>
      <c r="G3409" s="550"/>
      <c r="H3409" s="551"/>
      <c r="I3409" s="550"/>
    </row>
    <row r="3410" spans="1:9" x14ac:dyDescent="0.2">
      <c r="A3410" s="549"/>
      <c r="C3410" s="548"/>
      <c r="D3410" s="550"/>
      <c r="E3410" s="550"/>
      <c r="F3410" s="550"/>
      <c r="G3410" s="550"/>
      <c r="H3410" s="551"/>
      <c r="I3410" s="550"/>
    </row>
    <row r="3411" spans="1:9" x14ac:dyDescent="0.2">
      <c r="A3411" s="549"/>
      <c r="C3411" s="548"/>
      <c r="D3411" s="550"/>
      <c r="E3411" s="550"/>
      <c r="F3411" s="550"/>
      <c r="G3411" s="550"/>
      <c r="H3411" s="551"/>
      <c r="I3411" s="550"/>
    </row>
    <row r="3412" spans="1:9" x14ac:dyDescent="0.2">
      <c r="A3412" s="549"/>
      <c r="C3412" s="548"/>
      <c r="D3412" s="550"/>
      <c r="E3412" s="550"/>
      <c r="F3412" s="550"/>
      <c r="G3412" s="550"/>
      <c r="H3412" s="551"/>
      <c r="I3412" s="550"/>
    </row>
    <row r="3413" spans="1:9" x14ac:dyDescent="0.2">
      <c r="A3413" s="549"/>
      <c r="C3413" s="548"/>
      <c r="D3413" s="550"/>
      <c r="E3413" s="550"/>
      <c r="F3413" s="550"/>
      <c r="G3413" s="550"/>
      <c r="H3413" s="551"/>
      <c r="I3413" s="550"/>
    </row>
    <row r="3414" spans="1:9" x14ac:dyDescent="0.2">
      <c r="A3414" s="549"/>
      <c r="C3414" s="548"/>
      <c r="D3414" s="550"/>
      <c r="E3414" s="550"/>
      <c r="F3414" s="550"/>
      <c r="G3414" s="550"/>
      <c r="H3414" s="551"/>
      <c r="I3414" s="550"/>
    </row>
    <row r="3415" spans="1:9" x14ac:dyDescent="0.2">
      <c r="A3415" s="549"/>
      <c r="C3415" s="548"/>
      <c r="D3415" s="550"/>
      <c r="E3415" s="550"/>
      <c r="F3415" s="550"/>
      <c r="G3415" s="550"/>
      <c r="H3415" s="551"/>
      <c r="I3415" s="550"/>
    </row>
    <row r="3416" spans="1:9" x14ac:dyDescent="0.2">
      <c r="A3416" s="549"/>
      <c r="C3416" s="548"/>
      <c r="D3416" s="550"/>
      <c r="E3416" s="550"/>
      <c r="F3416" s="550"/>
      <c r="G3416" s="550"/>
      <c r="H3416" s="551"/>
      <c r="I3416" s="550"/>
    </row>
    <row r="3417" spans="1:9" x14ac:dyDescent="0.2">
      <c r="A3417" s="549"/>
      <c r="C3417" s="548"/>
      <c r="D3417" s="550"/>
      <c r="E3417" s="550"/>
      <c r="F3417" s="550"/>
      <c r="G3417" s="550"/>
      <c r="H3417" s="551"/>
      <c r="I3417" s="550"/>
    </row>
    <row r="3418" spans="1:9" x14ac:dyDescent="0.2">
      <c r="A3418" s="549"/>
      <c r="C3418" s="548"/>
      <c r="D3418" s="550"/>
      <c r="E3418" s="550"/>
      <c r="F3418" s="550"/>
      <c r="G3418" s="550"/>
      <c r="H3418" s="551"/>
      <c r="I3418" s="550"/>
    </row>
    <row r="3419" spans="1:9" x14ac:dyDescent="0.2">
      <c r="A3419" s="549"/>
      <c r="C3419" s="548"/>
      <c r="D3419" s="550"/>
      <c r="E3419" s="550"/>
      <c r="F3419" s="550"/>
      <c r="G3419" s="550"/>
      <c r="H3419" s="551"/>
      <c r="I3419" s="550"/>
    </row>
    <row r="3420" spans="1:9" x14ac:dyDescent="0.2">
      <c r="A3420" s="549"/>
      <c r="C3420" s="548"/>
      <c r="D3420" s="550"/>
      <c r="E3420" s="550"/>
      <c r="F3420" s="550"/>
      <c r="G3420" s="550"/>
      <c r="H3420" s="551"/>
      <c r="I3420" s="550"/>
    </row>
    <row r="3421" spans="1:9" x14ac:dyDescent="0.2">
      <c r="A3421" s="549"/>
      <c r="C3421" s="548"/>
      <c r="D3421" s="550"/>
      <c r="E3421" s="550"/>
      <c r="F3421" s="550"/>
      <c r="G3421" s="550"/>
      <c r="H3421" s="551"/>
      <c r="I3421" s="550"/>
    </row>
    <row r="3422" spans="1:9" x14ac:dyDescent="0.2">
      <c r="A3422" s="549"/>
      <c r="C3422" s="548"/>
      <c r="D3422" s="550"/>
      <c r="E3422" s="550"/>
      <c r="F3422" s="550"/>
      <c r="G3422" s="550"/>
      <c r="H3422" s="551"/>
      <c r="I3422" s="550"/>
    </row>
    <row r="3423" spans="1:9" x14ac:dyDescent="0.2">
      <c r="A3423" s="549"/>
      <c r="C3423" s="548"/>
      <c r="D3423" s="550"/>
      <c r="E3423" s="550"/>
      <c r="F3423" s="550"/>
      <c r="G3423" s="550"/>
      <c r="H3423" s="551"/>
      <c r="I3423" s="550"/>
    </row>
    <row r="3424" spans="1:9" x14ac:dyDescent="0.2">
      <c r="A3424" s="549"/>
      <c r="C3424" s="548"/>
      <c r="D3424" s="550"/>
      <c r="E3424" s="550"/>
      <c r="F3424" s="550"/>
      <c r="G3424" s="550"/>
      <c r="H3424" s="551"/>
      <c r="I3424" s="550"/>
    </row>
    <row r="3425" spans="1:9" x14ac:dyDescent="0.2">
      <c r="A3425" s="549"/>
      <c r="C3425" s="548"/>
      <c r="D3425" s="550"/>
      <c r="E3425" s="550"/>
      <c r="F3425" s="550"/>
      <c r="G3425" s="550"/>
      <c r="H3425" s="551"/>
      <c r="I3425" s="550"/>
    </row>
    <row r="3426" spans="1:9" x14ac:dyDescent="0.2">
      <c r="A3426" s="549"/>
      <c r="C3426" s="548"/>
      <c r="D3426" s="550"/>
      <c r="E3426" s="550"/>
      <c r="F3426" s="550"/>
      <c r="G3426" s="550"/>
      <c r="H3426" s="551"/>
      <c r="I3426" s="550"/>
    </row>
    <row r="3427" spans="1:9" x14ac:dyDescent="0.2">
      <c r="A3427" s="549"/>
      <c r="C3427" s="548"/>
      <c r="D3427" s="550"/>
      <c r="E3427" s="550"/>
      <c r="F3427" s="550"/>
      <c r="G3427" s="550"/>
      <c r="H3427" s="551"/>
      <c r="I3427" s="550"/>
    </row>
    <row r="3428" spans="1:9" x14ac:dyDescent="0.2">
      <c r="A3428" s="549"/>
      <c r="C3428" s="548"/>
      <c r="D3428" s="550"/>
      <c r="E3428" s="550"/>
      <c r="F3428" s="550"/>
      <c r="G3428" s="550"/>
      <c r="H3428" s="551"/>
      <c r="I3428" s="550"/>
    </row>
    <row r="3429" spans="1:9" x14ac:dyDescent="0.2">
      <c r="A3429" s="549"/>
      <c r="C3429" s="548"/>
      <c r="D3429" s="550"/>
      <c r="E3429" s="550"/>
      <c r="F3429" s="550"/>
      <c r="G3429" s="550"/>
      <c r="H3429" s="551"/>
      <c r="I3429" s="550"/>
    </row>
    <row r="3430" spans="1:9" x14ac:dyDescent="0.2">
      <c r="A3430" s="549"/>
      <c r="C3430" s="548"/>
      <c r="D3430" s="550"/>
      <c r="E3430" s="550"/>
      <c r="F3430" s="550"/>
      <c r="G3430" s="550"/>
      <c r="H3430" s="551"/>
      <c r="I3430" s="550"/>
    </row>
    <row r="3431" spans="1:9" x14ac:dyDescent="0.2">
      <c r="A3431" s="549"/>
      <c r="C3431" s="548"/>
      <c r="D3431" s="550"/>
      <c r="E3431" s="550"/>
      <c r="F3431" s="550"/>
      <c r="G3431" s="550"/>
      <c r="H3431" s="551"/>
      <c r="I3431" s="550"/>
    </row>
    <row r="3432" spans="1:9" x14ac:dyDescent="0.2">
      <c r="A3432" s="549"/>
      <c r="C3432" s="548"/>
      <c r="D3432" s="550"/>
      <c r="E3432" s="550"/>
      <c r="F3432" s="550"/>
      <c r="G3432" s="550"/>
      <c r="H3432" s="551"/>
      <c r="I3432" s="550"/>
    </row>
    <row r="3433" spans="1:9" x14ac:dyDescent="0.2">
      <c r="A3433" s="549"/>
      <c r="C3433" s="548"/>
      <c r="D3433" s="550"/>
      <c r="E3433" s="550"/>
      <c r="F3433" s="550"/>
      <c r="G3433" s="550"/>
      <c r="H3433" s="551"/>
      <c r="I3433" s="550"/>
    </row>
    <row r="3434" spans="1:9" x14ac:dyDescent="0.2">
      <c r="A3434" s="549"/>
      <c r="C3434" s="548"/>
      <c r="D3434" s="550"/>
      <c r="E3434" s="550"/>
      <c r="F3434" s="550"/>
      <c r="G3434" s="550"/>
      <c r="H3434" s="551"/>
      <c r="I3434" s="550"/>
    </row>
    <row r="3435" spans="1:9" x14ac:dyDescent="0.2">
      <c r="A3435" s="549"/>
      <c r="C3435" s="548"/>
      <c r="D3435" s="550"/>
      <c r="E3435" s="550"/>
      <c r="F3435" s="550"/>
      <c r="G3435" s="550"/>
      <c r="H3435" s="551"/>
      <c r="I3435" s="550"/>
    </row>
    <row r="3436" spans="1:9" x14ac:dyDescent="0.2">
      <c r="A3436" s="549"/>
      <c r="C3436" s="548"/>
      <c r="D3436" s="550"/>
      <c r="E3436" s="550"/>
      <c r="F3436" s="550"/>
      <c r="G3436" s="550"/>
      <c r="H3436" s="551"/>
      <c r="I3436" s="550"/>
    </row>
    <row r="3437" spans="1:9" x14ac:dyDescent="0.2">
      <c r="A3437" s="549"/>
      <c r="C3437" s="548"/>
      <c r="D3437" s="550"/>
      <c r="E3437" s="550"/>
      <c r="F3437" s="550"/>
      <c r="G3437" s="550"/>
      <c r="H3437" s="551"/>
      <c r="I3437" s="550"/>
    </row>
    <row r="3438" spans="1:9" x14ac:dyDescent="0.2">
      <c r="A3438" s="549"/>
      <c r="C3438" s="548"/>
      <c r="D3438" s="550"/>
      <c r="E3438" s="550"/>
      <c r="F3438" s="550"/>
      <c r="G3438" s="550"/>
      <c r="H3438" s="551"/>
      <c r="I3438" s="550"/>
    </row>
    <row r="3439" spans="1:9" x14ac:dyDescent="0.2">
      <c r="A3439" s="549"/>
      <c r="C3439" s="548"/>
      <c r="D3439" s="550"/>
      <c r="E3439" s="550"/>
      <c r="F3439" s="550"/>
      <c r="G3439" s="550"/>
      <c r="H3439" s="551"/>
      <c r="I3439" s="550"/>
    </row>
    <row r="3440" spans="1:9" x14ac:dyDescent="0.2">
      <c r="A3440" s="549"/>
      <c r="C3440" s="548"/>
      <c r="D3440" s="550"/>
      <c r="E3440" s="550"/>
      <c r="F3440" s="550"/>
      <c r="G3440" s="550"/>
      <c r="H3440" s="551"/>
      <c r="I3440" s="550"/>
    </row>
    <row r="3441" spans="1:9" x14ac:dyDescent="0.2">
      <c r="A3441" s="549"/>
      <c r="C3441" s="548"/>
      <c r="D3441" s="550"/>
      <c r="E3441" s="550"/>
      <c r="F3441" s="550"/>
      <c r="G3441" s="550"/>
      <c r="H3441" s="551"/>
      <c r="I3441" s="550"/>
    </row>
    <row r="3442" spans="1:9" x14ac:dyDescent="0.2">
      <c r="A3442" s="549"/>
      <c r="C3442" s="548"/>
      <c r="D3442" s="550"/>
      <c r="E3442" s="550"/>
      <c r="F3442" s="550"/>
      <c r="G3442" s="550"/>
      <c r="H3442" s="551"/>
      <c r="I3442" s="550"/>
    </row>
    <row r="3443" spans="1:9" x14ac:dyDescent="0.2">
      <c r="A3443" s="549"/>
      <c r="C3443" s="548"/>
      <c r="D3443" s="550"/>
      <c r="E3443" s="550"/>
      <c r="F3443" s="550"/>
      <c r="G3443" s="550"/>
      <c r="H3443" s="551"/>
      <c r="I3443" s="550"/>
    </row>
    <row r="3444" spans="1:9" x14ac:dyDescent="0.2">
      <c r="A3444" s="549"/>
      <c r="C3444" s="548"/>
      <c r="D3444" s="550"/>
      <c r="E3444" s="550"/>
      <c r="F3444" s="550"/>
      <c r="G3444" s="550"/>
      <c r="H3444" s="551"/>
      <c r="I3444" s="550"/>
    </row>
    <row r="3445" spans="1:9" x14ac:dyDescent="0.2">
      <c r="A3445" s="549"/>
      <c r="C3445" s="548"/>
      <c r="D3445" s="550"/>
      <c r="E3445" s="550"/>
      <c r="F3445" s="550"/>
      <c r="G3445" s="550"/>
      <c r="H3445" s="551"/>
      <c r="I3445" s="550"/>
    </row>
    <row r="3446" spans="1:9" x14ac:dyDescent="0.2">
      <c r="A3446" s="549"/>
      <c r="C3446" s="548"/>
      <c r="D3446" s="550"/>
      <c r="E3446" s="550"/>
      <c r="F3446" s="550"/>
      <c r="G3446" s="550"/>
      <c r="H3446" s="551"/>
      <c r="I3446" s="550"/>
    </row>
    <row r="3447" spans="1:9" x14ac:dyDescent="0.2">
      <c r="A3447" s="549"/>
      <c r="C3447" s="548"/>
      <c r="D3447" s="550"/>
      <c r="E3447" s="550"/>
      <c r="F3447" s="550"/>
      <c r="G3447" s="550"/>
      <c r="H3447" s="551"/>
      <c r="I3447" s="550"/>
    </row>
    <row r="3448" spans="1:9" x14ac:dyDescent="0.2">
      <c r="A3448" s="549"/>
      <c r="C3448" s="548"/>
      <c r="D3448" s="550"/>
      <c r="E3448" s="550"/>
      <c r="F3448" s="550"/>
      <c r="G3448" s="550"/>
      <c r="H3448" s="551"/>
      <c r="I3448" s="550"/>
    </row>
    <row r="3449" spans="1:9" x14ac:dyDescent="0.2">
      <c r="A3449" s="549"/>
      <c r="C3449" s="548"/>
      <c r="D3449" s="550"/>
      <c r="E3449" s="550"/>
      <c r="F3449" s="550"/>
      <c r="G3449" s="550"/>
      <c r="H3449" s="551"/>
      <c r="I3449" s="550"/>
    </row>
    <row r="3450" spans="1:9" x14ac:dyDescent="0.2">
      <c r="A3450" s="549"/>
      <c r="C3450" s="548"/>
      <c r="D3450" s="550"/>
      <c r="E3450" s="550"/>
      <c r="F3450" s="550"/>
      <c r="G3450" s="550"/>
      <c r="H3450" s="551"/>
      <c r="I3450" s="550"/>
    </row>
    <row r="3451" spans="1:9" x14ac:dyDescent="0.2">
      <c r="A3451" s="549"/>
      <c r="C3451" s="548"/>
      <c r="D3451" s="550"/>
      <c r="E3451" s="550"/>
      <c r="F3451" s="550"/>
      <c r="G3451" s="550"/>
      <c r="H3451" s="551"/>
      <c r="I3451" s="550"/>
    </row>
    <row r="3452" spans="1:9" x14ac:dyDescent="0.2">
      <c r="A3452" s="549"/>
      <c r="C3452" s="548"/>
      <c r="D3452" s="550"/>
      <c r="E3452" s="550"/>
      <c r="F3452" s="550"/>
      <c r="G3452" s="550"/>
      <c r="H3452" s="551"/>
      <c r="I3452" s="550"/>
    </row>
    <row r="3453" spans="1:9" x14ac:dyDescent="0.2">
      <c r="A3453" s="549"/>
      <c r="C3453" s="548"/>
      <c r="D3453" s="550"/>
      <c r="E3453" s="550"/>
      <c r="F3453" s="550"/>
      <c r="G3453" s="550"/>
      <c r="H3453" s="551"/>
      <c r="I3453" s="550"/>
    </row>
    <row r="3454" spans="1:9" x14ac:dyDescent="0.2">
      <c r="A3454" s="549"/>
      <c r="C3454" s="548"/>
      <c r="D3454" s="550"/>
      <c r="E3454" s="550"/>
      <c r="F3454" s="550"/>
      <c r="G3454" s="550"/>
      <c r="H3454" s="551"/>
      <c r="I3454" s="550"/>
    </row>
    <row r="3455" spans="1:9" x14ac:dyDescent="0.2">
      <c r="A3455" s="549"/>
      <c r="C3455" s="548"/>
      <c r="D3455" s="550"/>
      <c r="E3455" s="550"/>
      <c r="F3455" s="550"/>
      <c r="G3455" s="550"/>
      <c r="H3455" s="551"/>
      <c r="I3455" s="550"/>
    </row>
    <row r="3456" spans="1:9" x14ac:dyDescent="0.2">
      <c r="A3456" s="549"/>
      <c r="C3456" s="548"/>
      <c r="D3456" s="550"/>
      <c r="E3456" s="550"/>
      <c r="F3456" s="550"/>
      <c r="G3456" s="550"/>
      <c r="H3456" s="551"/>
      <c r="I3456" s="550"/>
    </row>
    <row r="3457" spans="1:9" x14ac:dyDescent="0.2">
      <c r="A3457" s="549"/>
      <c r="C3457" s="548"/>
      <c r="D3457" s="550"/>
      <c r="E3457" s="550"/>
      <c r="F3457" s="550"/>
      <c r="G3457" s="550"/>
      <c r="H3457" s="551"/>
      <c r="I3457" s="550"/>
    </row>
    <row r="3458" spans="1:9" x14ac:dyDescent="0.2">
      <c r="A3458" s="549"/>
      <c r="C3458" s="548"/>
      <c r="D3458" s="550"/>
      <c r="E3458" s="550"/>
      <c r="F3458" s="550"/>
      <c r="G3458" s="550"/>
      <c r="H3458" s="551"/>
      <c r="I3458" s="550"/>
    </row>
    <row r="3459" spans="1:9" x14ac:dyDescent="0.2">
      <c r="A3459" s="549"/>
      <c r="C3459" s="548"/>
      <c r="D3459" s="550"/>
      <c r="E3459" s="550"/>
      <c r="F3459" s="550"/>
      <c r="G3459" s="550"/>
      <c r="H3459" s="551"/>
      <c r="I3459" s="550"/>
    </row>
    <row r="3460" spans="1:9" x14ac:dyDescent="0.2">
      <c r="A3460" s="549"/>
      <c r="C3460" s="548"/>
      <c r="D3460" s="550"/>
      <c r="E3460" s="550"/>
      <c r="F3460" s="550"/>
      <c r="G3460" s="550"/>
      <c r="H3460" s="551"/>
      <c r="I3460" s="550"/>
    </row>
    <row r="3461" spans="1:9" x14ac:dyDescent="0.2">
      <c r="A3461" s="549"/>
      <c r="C3461" s="548"/>
      <c r="D3461" s="550"/>
      <c r="E3461" s="550"/>
      <c r="F3461" s="550"/>
      <c r="G3461" s="550"/>
      <c r="H3461" s="551"/>
      <c r="I3461" s="550"/>
    </row>
    <row r="3462" spans="1:9" x14ac:dyDescent="0.2">
      <c r="A3462" s="549"/>
      <c r="C3462" s="548"/>
      <c r="D3462" s="550"/>
      <c r="E3462" s="550"/>
      <c r="F3462" s="550"/>
      <c r="G3462" s="550"/>
      <c r="H3462" s="551"/>
      <c r="I3462" s="550"/>
    </row>
    <row r="3463" spans="1:9" x14ac:dyDescent="0.2">
      <c r="A3463" s="549"/>
      <c r="C3463" s="548"/>
      <c r="D3463" s="550"/>
      <c r="E3463" s="550"/>
      <c r="F3463" s="550"/>
      <c r="G3463" s="550"/>
      <c r="H3463" s="551"/>
      <c r="I3463" s="550"/>
    </row>
    <row r="3464" spans="1:9" x14ac:dyDescent="0.2">
      <c r="A3464" s="549"/>
      <c r="C3464" s="548"/>
      <c r="D3464" s="550"/>
      <c r="E3464" s="550"/>
      <c r="F3464" s="550"/>
      <c r="G3464" s="550"/>
      <c r="H3464" s="551"/>
      <c r="I3464" s="550"/>
    </row>
    <row r="3465" spans="1:9" x14ac:dyDescent="0.2">
      <c r="A3465" s="549"/>
      <c r="C3465" s="548"/>
      <c r="D3465" s="550"/>
      <c r="E3465" s="550"/>
      <c r="F3465" s="550"/>
      <c r="G3465" s="550"/>
      <c r="H3465" s="551"/>
      <c r="I3465" s="550"/>
    </row>
    <row r="3466" spans="1:9" x14ac:dyDescent="0.2">
      <c r="A3466" s="549"/>
      <c r="C3466" s="548"/>
      <c r="D3466" s="550"/>
      <c r="E3466" s="550"/>
      <c r="F3466" s="550"/>
      <c r="G3466" s="550"/>
      <c r="H3466" s="551"/>
      <c r="I3466" s="550"/>
    </row>
    <row r="3467" spans="1:9" x14ac:dyDescent="0.2">
      <c r="A3467" s="549"/>
      <c r="C3467" s="548"/>
      <c r="D3467" s="550"/>
      <c r="E3467" s="550"/>
      <c r="F3467" s="550"/>
      <c r="G3467" s="550"/>
      <c r="H3467" s="551"/>
      <c r="I3467" s="550"/>
    </row>
    <row r="3468" spans="1:9" x14ac:dyDescent="0.2">
      <c r="A3468" s="549"/>
      <c r="C3468" s="548"/>
      <c r="D3468" s="550"/>
      <c r="E3468" s="550"/>
      <c r="F3468" s="550"/>
      <c r="G3468" s="550"/>
      <c r="H3468" s="551"/>
      <c r="I3468" s="550"/>
    </row>
    <row r="3469" spans="1:9" x14ac:dyDescent="0.2">
      <c r="A3469" s="549"/>
      <c r="C3469" s="548"/>
      <c r="D3469" s="550"/>
      <c r="E3469" s="550"/>
      <c r="F3469" s="550"/>
      <c r="G3469" s="550"/>
      <c r="H3469" s="551"/>
      <c r="I3469" s="550"/>
    </row>
    <row r="3470" spans="1:9" x14ac:dyDescent="0.2">
      <c r="A3470" s="549"/>
      <c r="C3470" s="548"/>
      <c r="D3470" s="550"/>
      <c r="E3470" s="550"/>
      <c r="F3470" s="550"/>
      <c r="G3470" s="550"/>
      <c r="H3470" s="551"/>
      <c r="I3470" s="550"/>
    </row>
    <row r="3471" spans="1:9" x14ac:dyDescent="0.2">
      <c r="A3471" s="549"/>
      <c r="C3471" s="548"/>
      <c r="D3471" s="550"/>
      <c r="E3471" s="550"/>
      <c r="F3471" s="550"/>
      <c r="G3471" s="550"/>
      <c r="H3471" s="551"/>
      <c r="I3471" s="550"/>
    </row>
    <row r="3472" spans="1:9" x14ac:dyDescent="0.2">
      <c r="A3472" s="549"/>
      <c r="C3472" s="548"/>
      <c r="D3472" s="550"/>
      <c r="E3472" s="550"/>
      <c r="F3472" s="550"/>
      <c r="G3472" s="550"/>
      <c r="H3472" s="551"/>
      <c r="I3472" s="550"/>
    </row>
    <row r="3473" spans="1:9" x14ac:dyDescent="0.2">
      <c r="A3473" s="549"/>
      <c r="C3473" s="548"/>
      <c r="D3473" s="550"/>
      <c r="E3473" s="550"/>
      <c r="F3473" s="550"/>
      <c r="G3473" s="550"/>
      <c r="H3473" s="551"/>
      <c r="I3473" s="550"/>
    </row>
    <row r="3474" spans="1:9" x14ac:dyDescent="0.2">
      <c r="A3474" s="549"/>
      <c r="C3474" s="548"/>
      <c r="D3474" s="550"/>
      <c r="E3474" s="550"/>
      <c r="F3474" s="550"/>
      <c r="G3474" s="550"/>
      <c r="H3474" s="551"/>
      <c r="I3474" s="550"/>
    </row>
    <row r="3475" spans="1:9" x14ac:dyDescent="0.2">
      <c r="A3475" s="549"/>
      <c r="C3475" s="548"/>
      <c r="D3475" s="550"/>
      <c r="E3475" s="550"/>
      <c r="F3475" s="550"/>
      <c r="G3475" s="550"/>
      <c r="H3475" s="551"/>
      <c r="I3475" s="550"/>
    </row>
    <row r="3476" spans="1:9" x14ac:dyDescent="0.2">
      <c r="A3476" s="549"/>
      <c r="C3476" s="548"/>
      <c r="D3476" s="550"/>
      <c r="E3476" s="550"/>
      <c r="F3476" s="550"/>
      <c r="G3476" s="550"/>
      <c r="H3476" s="551"/>
      <c r="I3476" s="550"/>
    </row>
    <row r="3477" spans="1:9" x14ac:dyDescent="0.2">
      <c r="A3477" s="549"/>
      <c r="C3477" s="548"/>
      <c r="D3477" s="550"/>
      <c r="E3477" s="550"/>
      <c r="F3477" s="550"/>
      <c r="G3477" s="550"/>
      <c r="H3477" s="551"/>
      <c r="I3477" s="550"/>
    </row>
    <row r="3478" spans="1:9" x14ac:dyDescent="0.2">
      <c r="A3478" s="549"/>
      <c r="C3478" s="548"/>
      <c r="D3478" s="550"/>
      <c r="E3478" s="550"/>
      <c r="F3478" s="550"/>
      <c r="G3478" s="550"/>
      <c r="H3478" s="551"/>
      <c r="I3478" s="550"/>
    </row>
    <row r="3479" spans="1:9" x14ac:dyDescent="0.2">
      <c r="A3479" s="549"/>
      <c r="C3479" s="548"/>
      <c r="D3479" s="550"/>
      <c r="E3479" s="550"/>
      <c r="F3479" s="550"/>
      <c r="G3479" s="550"/>
      <c r="H3479" s="551"/>
      <c r="I3479" s="550"/>
    </row>
    <row r="3480" spans="1:9" x14ac:dyDescent="0.2">
      <c r="A3480" s="549"/>
      <c r="C3480" s="548"/>
      <c r="D3480" s="550"/>
      <c r="E3480" s="550"/>
      <c r="F3480" s="550"/>
      <c r="G3480" s="550"/>
      <c r="H3480" s="551"/>
      <c r="I3480" s="550"/>
    </row>
    <row r="3481" spans="1:9" x14ac:dyDescent="0.2">
      <c r="A3481" s="549"/>
      <c r="C3481" s="548"/>
      <c r="D3481" s="550"/>
      <c r="E3481" s="550"/>
      <c r="F3481" s="550"/>
      <c r="G3481" s="550"/>
      <c r="H3481" s="551"/>
      <c r="I3481" s="550"/>
    </row>
    <row r="3482" spans="1:9" x14ac:dyDescent="0.2">
      <c r="A3482" s="549"/>
      <c r="C3482" s="548"/>
      <c r="D3482" s="550"/>
      <c r="E3482" s="550"/>
      <c r="F3482" s="550"/>
      <c r="G3482" s="550"/>
      <c r="H3482" s="551"/>
      <c r="I3482" s="550"/>
    </row>
    <row r="3483" spans="1:9" x14ac:dyDescent="0.2">
      <c r="A3483" s="549"/>
      <c r="C3483" s="548"/>
      <c r="D3483" s="550"/>
      <c r="E3483" s="550"/>
      <c r="F3483" s="550"/>
      <c r="G3483" s="550"/>
      <c r="H3483" s="551"/>
      <c r="I3483" s="550"/>
    </row>
    <row r="3484" spans="1:9" x14ac:dyDescent="0.2">
      <c r="A3484" s="549"/>
      <c r="C3484" s="548"/>
      <c r="D3484" s="550"/>
      <c r="E3484" s="550"/>
      <c r="F3484" s="550"/>
      <c r="G3484" s="550"/>
      <c r="H3484" s="551"/>
      <c r="I3484" s="550"/>
    </row>
    <row r="3485" spans="1:9" x14ac:dyDescent="0.2">
      <c r="A3485" s="549"/>
      <c r="C3485" s="548"/>
      <c r="D3485" s="550"/>
      <c r="E3485" s="550"/>
      <c r="F3485" s="550"/>
      <c r="G3485" s="550"/>
      <c r="H3485" s="551"/>
      <c r="I3485" s="550"/>
    </row>
    <row r="3486" spans="1:9" x14ac:dyDescent="0.2">
      <c r="A3486" s="549"/>
      <c r="C3486" s="548"/>
      <c r="D3486" s="550"/>
      <c r="E3486" s="550"/>
      <c r="F3486" s="550"/>
      <c r="G3486" s="550"/>
      <c r="H3486" s="551"/>
      <c r="I3486" s="550"/>
    </row>
    <row r="3487" spans="1:9" x14ac:dyDescent="0.2">
      <c r="A3487" s="549"/>
      <c r="C3487" s="548"/>
      <c r="D3487" s="550"/>
      <c r="E3487" s="550"/>
      <c r="F3487" s="550"/>
      <c r="G3487" s="550"/>
      <c r="H3487" s="551"/>
      <c r="I3487" s="550"/>
    </row>
    <row r="3488" spans="1:9" x14ac:dyDescent="0.2">
      <c r="A3488" s="549"/>
      <c r="C3488" s="548"/>
      <c r="D3488" s="550"/>
      <c r="E3488" s="550"/>
      <c r="F3488" s="550"/>
      <c r="G3488" s="550"/>
      <c r="H3488" s="551"/>
      <c r="I3488" s="550"/>
    </row>
    <row r="3489" spans="1:9" x14ac:dyDescent="0.2">
      <c r="A3489" s="549"/>
      <c r="C3489" s="548"/>
      <c r="D3489" s="550"/>
      <c r="E3489" s="550"/>
      <c r="F3489" s="550"/>
      <c r="G3489" s="550"/>
      <c r="H3489" s="551"/>
      <c r="I3489" s="550"/>
    </row>
    <row r="3490" spans="1:9" x14ac:dyDescent="0.2">
      <c r="A3490" s="549"/>
      <c r="C3490" s="548"/>
      <c r="D3490" s="550"/>
      <c r="E3490" s="550"/>
      <c r="F3490" s="550"/>
      <c r="G3490" s="550"/>
      <c r="H3490" s="551"/>
      <c r="I3490" s="550"/>
    </row>
    <row r="3491" spans="1:9" x14ac:dyDescent="0.2">
      <c r="A3491" s="549"/>
      <c r="C3491" s="548"/>
      <c r="D3491" s="550"/>
      <c r="E3491" s="550"/>
      <c r="F3491" s="550"/>
      <c r="G3491" s="550"/>
      <c r="H3491" s="551"/>
      <c r="I3491" s="550"/>
    </row>
    <row r="3492" spans="1:9" x14ac:dyDescent="0.2">
      <c r="A3492" s="549"/>
      <c r="C3492" s="548"/>
      <c r="D3492" s="550"/>
      <c r="E3492" s="550"/>
      <c r="F3492" s="550"/>
      <c r="G3492" s="550"/>
      <c r="H3492" s="551"/>
      <c r="I3492" s="550"/>
    </row>
    <row r="3493" spans="1:9" x14ac:dyDescent="0.2">
      <c r="A3493" s="549"/>
      <c r="C3493" s="548"/>
      <c r="D3493" s="550"/>
      <c r="E3493" s="550"/>
      <c r="F3493" s="550"/>
      <c r="G3493" s="550"/>
      <c r="H3493" s="551"/>
      <c r="I3493" s="550"/>
    </row>
    <row r="3494" spans="1:9" x14ac:dyDescent="0.2">
      <c r="A3494" s="549"/>
      <c r="C3494" s="548"/>
      <c r="D3494" s="550"/>
      <c r="E3494" s="550"/>
      <c r="F3494" s="550"/>
      <c r="G3494" s="550"/>
      <c r="H3494" s="551"/>
      <c r="I3494" s="550"/>
    </row>
    <row r="3495" spans="1:9" x14ac:dyDescent="0.2">
      <c r="A3495" s="549"/>
      <c r="C3495" s="548"/>
      <c r="D3495" s="550"/>
      <c r="E3495" s="550"/>
      <c r="F3495" s="550"/>
      <c r="G3495" s="550"/>
      <c r="H3495" s="551"/>
      <c r="I3495" s="550"/>
    </row>
    <row r="3496" spans="1:9" x14ac:dyDescent="0.2">
      <c r="A3496" s="549"/>
      <c r="C3496" s="548"/>
      <c r="D3496" s="550"/>
      <c r="E3496" s="550"/>
      <c r="F3496" s="550"/>
      <c r="G3496" s="550"/>
      <c r="H3496" s="551"/>
      <c r="I3496" s="550"/>
    </row>
    <row r="3497" spans="1:9" x14ac:dyDescent="0.2">
      <c r="A3497" s="549"/>
      <c r="C3497" s="548"/>
      <c r="D3497" s="550"/>
      <c r="E3497" s="550"/>
      <c r="F3497" s="550"/>
      <c r="G3497" s="550"/>
      <c r="H3497" s="551"/>
      <c r="I3497" s="550"/>
    </row>
    <row r="3498" spans="1:9" x14ac:dyDescent="0.2">
      <c r="A3498" s="549"/>
      <c r="C3498" s="548"/>
      <c r="D3498" s="550"/>
      <c r="E3498" s="550"/>
      <c r="F3498" s="550"/>
      <c r="G3498" s="550"/>
      <c r="H3498" s="551"/>
      <c r="I3498" s="550"/>
    </row>
    <row r="3499" spans="1:9" x14ac:dyDescent="0.2">
      <c r="A3499" s="549"/>
      <c r="C3499" s="548"/>
      <c r="D3499" s="550"/>
      <c r="E3499" s="550"/>
      <c r="F3499" s="550"/>
      <c r="G3499" s="550"/>
      <c r="H3499" s="551"/>
      <c r="I3499" s="550"/>
    </row>
    <row r="3500" spans="1:9" x14ac:dyDescent="0.2">
      <c r="A3500" s="549"/>
      <c r="C3500" s="548"/>
      <c r="D3500" s="550"/>
      <c r="E3500" s="550"/>
      <c r="F3500" s="550"/>
      <c r="G3500" s="550"/>
      <c r="H3500" s="551"/>
      <c r="I3500" s="550"/>
    </row>
    <row r="3501" spans="1:9" x14ac:dyDescent="0.2">
      <c r="A3501" s="549"/>
      <c r="C3501" s="548"/>
      <c r="D3501" s="550"/>
      <c r="E3501" s="550"/>
      <c r="F3501" s="550"/>
      <c r="G3501" s="550"/>
      <c r="H3501" s="551"/>
      <c r="I3501" s="550"/>
    </row>
    <row r="3502" spans="1:9" x14ac:dyDescent="0.2">
      <c r="A3502" s="549"/>
      <c r="C3502" s="548"/>
      <c r="D3502" s="550"/>
      <c r="E3502" s="550"/>
      <c r="F3502" s="550"/>
      <c r="G3502" s="550"/>
      <c r="H3502" s="551"/>
      <c r="I3502" s="550"/>
    </row>
    <row r="3503" spans="1:9" x14ac:dyDescent="0.2">
      <c r="A3503" s="549"/>
      <c r="C3503" s="548"/>
      <c r="D3503" s="550"/>
      <c r="E3503" s="550"/>
      <c r="F3503" s="550"/>
      <c r="G3503" s="550"/>
      <c r="H3503" s="551"/>
      <c r="I3503" s="550"/>
    </row>
    <row r="3504" spans="1:9" x14ac:dyDescent="0.2">
      <c r="A3504" s="549"/>
      <c r="C3504" s="548"/>
      <c r="D3504" s="550"/>
      <c r="E3504" s="550"/>
      <c r="F3504" s="550"/>
      <c r="G3504" s="550"/>
      <c r="H3504" s="551"/>
      <c r="I3504" s="550"/>
    </row>
    <row r="3505" spans="1:9" x14ac:dyDescent="0.2">
      <c r="A3505" s="549"/>
      <c r="C3505" s="548"/>
      <c r="D3505" s="550"/>
      <c r="E3505" s="550"/>
      <c r="F3505" s="550"/>
      <c r="G3505" s="550"/>
      <c r="H3505" s="551"/>
      <c r="I3505" s="550"/>
    </row>
    <row r="3506" spans="1:9" x14ac:dyDescent="0.2">
      <c r="A3506" s="549"/>
      <c r="C3506" s="548"/>
      <c r="D3506" s="550"/>
      <c r="E3506" s="550"/>
      <c r="F3506" s="550"/>
      <c r="G3506" s="550"/>
      <c r="H3506" s="551"/>
      <c r="I3506" s="550"/>
    </row>
    <row r="3507" spans="1:9" x14ac:dyDescent="0.2">
      <c r="A3507" s="549"/>
      <c r="C3507" s="548"/>
      <c r="D3507" s="550"/>
      <c r="E3507" s="550"/>
      <c r="F3507" s="550"/>
      <c r="G3507" s="550"/>
      <c r="H3507" s="551"/>
      <c r="I3507" s="550"/>
    </row>
    <row r="3508" spans="1:9" x14ac:dyDescent="0.2">
      <c r="A3508" s="549"/>
      <c r="C3508" s="548"/>
      <c r="D3508" s="550"/>
      <c r="E3508" s="550"/>
      <c r="F3508" s="550"/>
      <c r="G3508" s="550"/>
      <c r="H3508" s="551"/>
      <c r="I3508" s="550"/>
    </row>
    <row r="3509" spans="1:9" x14ac:dyDescent="0.2">
      <c r="A3509" s="549"/>
      <c r="C3509" s="548"/>
      <c r="D3509" s="550"/>
      <c r="E3509" s="550"/>
      <c r="F3509" s="550"/>
      <c r="G3509" s="550"/>
      <c r="H3509" s="551"/>
      <c r="I3509" s="550"/>
    </row>
    <row r="3510" spans="1:9" x14ac:dyDescent="0.2">
      <c r="A3510" s="549"/>
      <c r="C3510" s="548"/>
      <c r="D3510" s="550"/>
      <c r="E3510" s="550"/>
      <c r="F3510" s="550"/>
      <c r="G3510" s="550"/>
      <c r="H3510" s="551"/>
      <c r="I3510" s="550"/>
    </row>
    <row r="3511" spans="1:9" x14ac:dyDescent="0.2">
      <c r="A3511" s="549"/>
      <c r="C3511" s="548"/>
      <c r="D3511" s="550"/>
      <c r="E3511" s="550"/>
      <c r="F3511" s="550"/>
      <c r="G3511" s="550"/>
      <c r="H3511" s="551"/>
      <c r="I3511" s="550"/>
    </row>
    <row r="3512" spans="1:9" x14ac:dyDescent="0.2">
      <c r="A3512" s="549"/>
      <c r="C3512" s="548"/>
      <c r="D3512" s="550"/>
      <c r="E3512" s="550"/>
      <c r="F3512" s="550"/>
      <c r="G3512" s="550"/>
      <c r="H3512" s="551"/>
      <c r="I3512" s="550"/>
    </row>
    <row r="3513" spans="1:9" x14ac:dyDescent="0.2">
      <c r="A3513" s="549"/>
      <c r="C3513" s="548"/>
      <c r="D3513" s="550"/>
      <c r="E3513" s="550"/>
      <c r="F3513" s="550"/>
      <c r="G3513" s="550"/>
      <c r="H3513" s="551"/>
      <c r="I3513" s="550"/>
    </row>
    <row r="3514" spans="1:9" x14ac:dyDescent="0.2">
      <c r="A3514" s="549"/>
      <c r="C3514" s="548"/>
      <c r="D3514" s="550"/>
      <c r="E3514" s="550"/>
      <c r="F3514" s="550"/>
      <c r="G3514" s="550"/>
      <c r="H3514" s="551"/>
      <c r="I3514" s="550"/>
    </row>
    <row r="3515" spans="1:9" x14ac:dyDescent="0.2">
      <c r="A3515" s="549"/>
      <c r="C3515" s="548"/>
      <c r="D3515" s="550"/>
      <c r="E3515" s="550"/>
      <c r="F3515" s="550"/>
      <c r="G3515" s="550"/>
      <c r="H3515" s="551"/>
      <c r="I3515" s="550"/>
    </row>
    <row r="3516" spans="1:9" x14ac:dyDescent="0.2">
      <c r="A3516" s="549"/>
      <c r="C3516" s="548"/>
      <c r="D3516" s="550"/>
      <c r="E3516" s="550"/>
      <c r="F3516" s="550"/>
      <c r="G3516" s="550"/>
      <c r="H3516" s="551"/>
      <c r="I3516" s="550"/>
    </row>
    <row r="3517" spans="1:9" x14ac:dyDescent="0.2">
      <c r="A3517" s="549"/>
      <c r="C3517" s="548"/>
      <c r="D3517" s="550"/>
      <c r="E3517" s="550"/>
      <c r="F3517" s="550"/>
      <c r="G3517" s="550"/>
      <c r="H3517" s="551"/>
      <c r="I3517" s="550"/>
    </row>
    <row r="3518" spans="1:9" x14ac:dyDescent="0.2">
      <c r="A3518" s="549"/>
      <c r="C3518" s="548"/>
      <c r="D3518" s="550"/>
      <c r="E3518" s="550"/>
      <c r="F3518" s="550"/>
      <c r="G3518" s="550"/>
      <c r="H3518" s="551"/>
      <c r="I3518" s="550"/>
    </row>
    <row r="3519" spans="1:9" x14ac:dyDescent="0.2">
      <c r="A3519" s="549"/>
      <c r="C3519" s="548"/>
      <c r="D3519" s="550"/>
      <c r="E3519" s="550"/>
      <c r="F3519" s="550"/>
      <c r="G3519" s="550"/>
      <c r="H3519" s="551"/>
      <c r="I3519" s="550"/>
    </row>
    <row r="3520" spans="1:9" x14ac:dyDescent="0.2">
      <c r="A3520" s="549"/>
      <c r="C3520" s="548"/>
      <c r="D3520" s="550"/>
      <c r="E3520" s="550"/>
      <c r="F3520" s="550"/>
      <c r="G3520" s="550"/>
      <c r="H3520" s="551"/>
      <c r="I3520" s="550"/>
    </row>
    <row r="3521" spans="1:9" x14ac:dyDescent="0.2">
      <c r="A3521" s="549"/>
      <c r="C3521" s="548"/>
      <c r="D3521" s="550"/>
      <c r="E3521" s="550"/>
      <c r="F3521" s="550"/>
      <c r="G3521" s="550"/>
      <c r="H3521" s="551"/>
      <c r="I3521" s="550"/>
    </row>
    <row r="3522" spans="1:9" x14ac:dyDescent="0.2">
      <c r="A3522" s="549"/>
      <c r="C3522" s="548"/>
      <c r="D3522" s="550"/>
      <c r="E3522" s="550"/>
      <c r="F3522" s="550"/>
      <c r="G3522" s="550"/>
      <c r="H3522" s="551"/>
      <c r="I3522" s="550"/>
    </row>
    <row r="3523" spans="1:9" x14ac:dyDescent="0.2">
      <c r="A3523" s="549"/>
      <c r="C3523" s="548"/>
      <c r="D3523" s="550"/>
      <c r="E3523" s="550"/>
      <c r="F3523" s="550"/>
      <c r="G3523" s="550"/>
      <c r="H3523" s="551"/>
      <c r="I3523" s="550"/>
    </row>
    <row r="3524" spans="1:9" x14ac:dyDescent="0.2">
      <c r="A3524" s="549"/>
      <c r="C3524" s="548"/>
      <c r="D3524" s="550"/>
      <c r="E3524" s="550"/>
      <c r="F3524" s="550"/>
      <c r="G3524" s="550"/>
      <c r="H3524" s="551"/>
      <c r="I3524" s="550"/>
    </row>
    <row r="3525" spans="1:9" x14ac:dyDescent="0.2">
      <c r="A3525" s="549"/>
      <c r="C3525" s="548"/>
      <c r="D3525" s="550"/>
      <c r="E3525" s="550"/>
      <c r="F3525" s="550"/>
      <c r="G3525" s="550"/>
      <c r="H3525" s="551"/>
      <c r="I3525" s="550"/>
    </row>
    <row r="3526" spans="1:9" x14ac:dyDescent="0.2">
      <c r="A3526" s="549"/>
      <c r="C3526" s="548"/>
      <c r="D3526" s="550"/>
      <c r="E3526" s="550"/>
      <c r="F3526" s="550"/>
      <c r="G3526" s="550"/>
      <c r="H3526" s="551"/>
      <c r="I3526" s="550"/>
    </row>
    <row r="3527" spans="1:9" x14ac:dyDescent="0.2">
      <c r="A3527" s="549"/>
      <c r="C3527" s="548"/>
      <c r="D3527" s="550"/>
      <c r="E3527" s="550"/>
      <c r="F3527" s="550"/>
      <c r="G3527" s="550"/>
      <c r="H3527" s="551"/>
      <c r="I3527" s="550"/>
    </row>
    <row r="3528" spans="1:9" x14ac:dyDescent="0.2">
      <c r="A3528" s="549"/>
      <c r="C3528" s="548"/>
      <c r="D3528" s="550"/>
      <c r="E3528" s="550"/>
      <c r="F3528" s="550"/>
      <c r="G3528" s="550"/>
      <c r="H3528" s="551"/>
      <c r="I3528" s="550"/>
    </row>
    <row r="3529" spans="1:9" x14ac:dyDescent="0.2">
      <c r="A3529" s="549"/>
      <c r="C3529" s="548"/>
      <c r="D3529" s="550"/>
      <c r="E3529" s="550"/>
      <c r="F3529" s="550"/>
      <c r="G3529" s="550"/>
      <c r="H3529" s="551"/>
      <c r="I3529" s="550"/>
    </row>
    <row r="3530" spans="1:9" x14ac:dyDescent="0.2">
      <c r="A3530" s="549"/>
      <c r="C3530" s="548"/>
      <c r="D3530" s="550"/>
      <c r="E3530" s="550"/>
      <c r="F3530" s="550"/>
      <c r="G3530" s="550"/>
      <c r="H3530" s="551"/>
      <c r="I3530" s="550"/>
    </row>
    <row r="3531" spans="1:9" x14ac:dyDescent="0.2">
      <c r="A3531" s="549"/>
      <c r="C3531" s="548"/>
      <c r="D3531" s="550"/>
      <c r="E3531" s="550"/>
      <c r="F3531" s="550"/>
      <c r="G3531" s="550"/>
      <c r="H3531" s="551"/>
      <c r="I3531" s="550"/>
    </row>
    <row r="3532" spans="1:9" x14ac:dyDescent="0.2">
      <c r="A3532" s="549"/>
      <c r="C3532" s="548"/>
      <c r="D3532" s="550"/>
      <c r="E3532" s="550"/>
      <c r="F3532" s="550"/>
      <c r="G3532" s="550"/>
      <c r="H3532" s="551"/>
      <c r="I3532" s="550"/>
    </row>
    <row r="3533" spans="1:9" x14ac:dyDescent="0.2">
      <c r="A3533" s="549"/>
      <c r="C3533" s="548"/>
      <c r="D3533" s="550"/>
      <c r="E3533" s="550"/>
      <c r="F3533" s="550"/>
      <c r="G3533" s="550"/>
      <c r="H3533" s="551"/>
      <c r="I3533" s="550"/>
    </row>
    <row r="3534" spans="1:9" x14ac:dyDescent="0.2">
      <c r="A3534" s="549"/>
      <c r="C3534" s="548"/>
      <c r="D3534" s="550"/>
      <c r="E3534" s="550"/>
      <c r="F3534" s="550"/>
      <c r="G3534" s="550"/>
      <c r="H3534" s="551"/>
      <c r="I3534" s="550"/>
    </row>
    <row r="3535" spans="1:9" x14ac:dyDescent="0.2">
      <c r="A3535" s="549"/>
      <c r="C3535" s="548"/>
      <c r="D3535" s="550"/>
      <c r="E3535" s="550"/>
      <c r="F3535" s="550"/>
      <c r="G3535" s="550"/>
      <c r="H3535" s="551"/>
      <c r="I3535" s="550"/>
    </row>
    <row r="3536" spans="1:9" x14ac:dyDescent="0.2">
      <c r="A3536" s="549"/>
      <c r="C3536" s="548"/>
      <c r="D3536" s="550"/>
      <c r="E3536" s="550"/>
      <c r="F3536" s="550"/>
      <c r="G3536" s="550"/>
      <c r="H3536" s="551"/>
      <c r="I3536" s="550"/>
    </row>
    <row r="3537" spans="1:9" x14ac:dyDescent="0.2">
      <c r="A3537" s="549"/>
      <c r="C3537" s="548"/>
      <c r="D3537" s="550"/>
      <c r="E3537" s="550"/>
      <c r="F3537" s="550"/>
      <c r="G3537" s="550"/>
      <c r="H3537" s="551"/>
      <c r="I3537" s="550"/>
    </row>
    <row r="3538" spans="1:9" x14ac:dyDescent="0.2">
      <c r="A3538" s="549"/>
      <c r="C3538" s="548"/>
      <c r="D3538" s="550"/>
      <c r="E3538" s="550"/>
      <c r="F3538" s="550"/>
      <c r="G3538" s="550"/>
      <c r="H3538" s="551"/>
      <c r="I3538" s="550"/>
    </row>
    <row r="3539" spans="1:9" x14ac:dyDescent="0.2">
      <c r="A3539" s="549"/>
      <c r="C3539" s="548"/>
      <c r="D3539" s="550"/>
      <c r="E3539" s="550"/>
      <c r="F3539" s="550"/>
      <c r="G3539" s="550"/>
      <c r="H3539" s="551"/>
      <c r="I3539" s="550"/>
    </row>
    <row r="3540" spans="1:9" x14ac:dyDescent="0.2">
      <c r="A3540" s="549"/>
      <c r="C3540" s="548"/>
      <c r="D3540" s="550"/>
      <c r="E3540" s="550"/>
      <c r="F3540" s="550"/>
      <c r="G3540" s="550"/>
      <c r="H3540" s="551"/>
      <c r="I3540" s="550"/>
    </row>
    <row r="3541" spans="1:9" x14ac:dyDescent="0.2">
      <c r="A3541" s="549"/>
      <c r="C3541" s="548"/>
      <c r="D3541" s="550"/>
      <c r="E3541" s="550"/>
      <c r="F3541" s="550"/>
      <c r="G3541" s="550"/>
      <c r="H3541" s="551"/>
      <c r="I3541" s="550"/>
    </row>
    <row r="3542" spans="1:9" x14ac:dyDescent="0.2">
      <c r="A3542" s="549"/>
      <c r="C3542" s="548"/>
      <c r="D3542" s="550"/>
      <c r="E3542" s="550"/>
      <c r="F3542" s="550"/>
      <c r="G3542" s="550"/>
      <c r="H3542" s="551"/>
      <c r="I3542" s="550"/>
    </row>
    <row r="3543" spans="1:9" x14ac:dyDescent="0.2">
      <c r="A3543" s="549"/>
      <c r="C3543" s="548"/>
      <c r="D3543" s="550"/>
      <c r="E3543" s="550"/>
      <c r="F3543" s="550"/>
      <c r="G3543" s="550"/>
      <c r="H3543" s="551"/>
      <c r="I3543" s="550"/>
    </row>
    <row r="3544" spans="1:9" x14ac:dyDescent="0.2">
      <c r="A3544" s="549"/>
      <c r="C3544" s="548"/>
      <c r="D3544" s="550"/>
      <c r="E3544" s="550"/>
      <c r="F3544" s="550"/>
      <c r="G3544" s="550"/>
      <c r="H3544" s="551"/>
      <c r="I3544" s="550"/>
    </row>
    <row r="3545" spans="1:9" x14ac:dyDescent="0.2">
      <c r="A3545" s="549"/>
      <c r="C3545" s="548"/>
      <c r="D3545" s="550"/>
      <c r="E3545" s="550"/>
      <c r="F3545" s="550"/>
      <c r="G3545" s="550"/>
      <c r="H3545" s="551"/>
      <c r="I3545" s="550"/>
    </row>
    <row r="3546" spans="1:9" x14ac:dyDescent="0.2">
      <c r="A3546" s="549"/>
      <c r="C3546" s="548"/>
      <c r="D3546" s="550"/>
      <c r="E3546" s="550"/>
      <c r="F3546" s="550"/>
      <c r="G3546" s="550"/>
      <c r="H3546" s="551"/>
      <c r="I3546" s="550"/>
    </row>
    <row r="3547" spans="1:9" x14ac:dyDescent="0.2">
      <c r="A3547" s="549"/>
      <c r="C3547" s="548"/>
      <c r="D3547" s="550"/>
      <c r="E3547" s="550"/>
      <c r="F3547" s="550"/>
      <c r="G3547" s="550"/>
      <c r="H3547" s="551"/>
      <c r="I3547" s="550"/>
    </row>
    <row r="3548" spans="1:9" x14ac:dyDescent="0.2">
      <c r="A3548" s="549"/>
      <c r="C3548" s="548"/>
      <c r="D3548" s="550"/>
      <c r="E3548" s="550"/>
      <c r="F3548" s="550"/>
      <c r="G3548" s="550"/>
      <c r="H3548" s="551"/>
      <c r="I3548" s="550"/>
    </row>
    <row r="3549" spans="1:9" x14ac:dyDescent="0.2">
      <c r="A3549" s="549"/>
      <c r="C3549" s="548"/>
      <c r="D3549" s="550"/>
      <c r="E3549" s="550"/>
      <c r="F3549" s="550"/>
      <c r="G3549" s="550"/>
      <c r="H3549" s="551"/>
      <c r="I3549" s="550"/>
    </row>
    <row r="3550" spans="1:9" x14ac:dyDescent="0.2">
      <c r="A3550" s="549"/>
      <c r="C3550" s="548"/>
      <c r="D3550" s="550"/>
      <c r="E3550" s="550"/>
      <c r="F3550" s="550"/>
      <c r="G3550" s="550"/>
      <c r="H3550" s="551"/>
      <c r="I3550" s="550"/>
    </row>
    <row r="3551" spans="1:9" x14ac:dyDescent="0.2">
      <c r="A3551" s="549"/>
      <c r="C3551" s="548"/>
      <c r="D3551" s="550"/>
      <c r="E3551" s="550"/>
      <c r="F3551" s="550"/>
      <c r="G3551" s="550"/>
      <c r="H3551" s="551"/>
      <c r="I3551" s="550"/>
    </row>
    <row r="3552" spans="1:9" x14ac:dyDescent="0.2">
      <c r="A3552" s="549"/>
      <c r="C3552" s="548"/>
      <c r="D3552" s="550"/>
      <c r="E3552" s="550"/>
      <c r="F3552" s="550"/>
      <c r="G3552" s="550"/>
      <c r="H3552" s="551"/>
      <c r="I3552" s="550"/>
    </row>
    <row r="3553" spans="1:9" x14ac:dyDescent="0.2">
      <c r="A3553" s="549"/>
      <c r="C3553" s="548"/>
      <c r="D3553" s="550"/>
      <c r="E3553" s="550"/>
      <c r="F3553" s="550"/>
      <c r="G3553" s="550"/>
      <c r="H3553" s="551"/>
      <c r="I3553" s="550"/>
    </row>
    <row r="3554" spans="1:9" x14ac:dyDescent="0.2">
      <c r="A3554" s="549"/>
      <c r="C3554" s="548"/>
      <c r="D3554" s="550"/>
      <c r="E3554" s="550"/>
      <c r="F3554" s="550"/>
      <c r="G3554" s="550"/>
      <c r="H3554" s="551"/>
      <c r="I3554" s="550"/>
    </row>
    <row r="3555" spans="1:9" x14ac:dyDescent="0.2">
      <c r="A3555" s="549"/>
      <c r="C3555" s="548"/>
      <c r="D3555" s="550"/>
      <c r="E3555" s="550"/>
      <c r="F3555" s="550"/>
      <c r="G3555" s="550"/>
      <c r="H3555" s="551"/>
      <c r="I3555" s="550"/>
    </row>
    <row r="3556" spans="1:9" x14ac:dyDescent="0.2">
      <c r="A3556" s="549"/>
      <c r="C3556" s="548"/>
      <c r="D3556" s="550"/>
      <c r="E3556" s="550"/>
      <c r="F3556" s="550"/>
      <c r="G3556" s="550"/>
      <c r="H3556" s="551"/>
      <c r="I3556" s="550"/>
    </row>
    <row r="3557" spans="1:9" x14ac:dyDescent="0.2">
      <c r="A3557" s="549"/>
      <c r="C3557" s="548"/>
      <c r="D3557" s="550"/>
      <c r="E3557" s="550"/>
      <c r="F3557" s="550"/>
      <c r="G3557" s="550"/>
      <c r="H3557" s="551"/>
      <c r="I3557" s="550"/>
    </row>
    <row r="3558" spans="1:9" x14ac:dyDescent="0.2">
      <c r="A3558" s="549"/>
      <c r="C3558" s="548"/>
      <c r="D3558" s="550"/>
      <c r="E3558" s="550"/>
      <c r="F3558" s="550"/>
      <c r="G3558" s="550"/>
      <c r="H3558" s="551"/>
      <c r="I3558" s="550"/>
    </row>
    <row r="3559" spans="1:9" x14ac:dyDescent="0.2">
      <c r="A3559" s="549"/>
      <c r="C3559" s="548"/>
      <c r="D3559" s="550"/>
      <c r="E3559" s="550"/>
      <c r="F3559" s="550"/>
      <c r="G3559" s="550"/>
      <c r="H3559" s="551"/>
      <c r="I3559" s="550"/>
    </row>
    <row r="3560" spans="1:9" x14ac:dyDescent="0.2">
      <c r="A3560" s="549"/>
      <c r="C3560" s="548"/>
      <c r="D3560" s="550"/>
      <c r="E3560" s="550"/>
      <c r="F3560" s="550"/>
      <c r="G3560" s="550"/>
      <c r="H3560" s="551"/>
      <c r="I3560" s="550"/>
    </row>
    <row r="3561" spans="1:9" x14ac:dyDescent="0.2">
      <c r="A3561" s="549"/>
      <c r="C3561" s="548"/>
      <c r="D3561" s="550"/>
      <c r="E3561" s="550"/>
      <c r="F3561" s="550"/>
      <c r="G3561" s="550"/>
      <c r="H3561" s="551"/>
      <c r="I3561" s="550"/>
    </row>
    <row r="3562" spans="1:9" x14ac:dyDescent="0.2">
      <c r="A3562" s="549"/>
      <c r="C3562" s="548"/>
      <c r="D3562" s="550"/>
      <c r="E3562" s="550"/>
      <c r="F3562" s="550"/>
      <c r="G3562" s="550"/>
      <c r="H3562" s="551"/>
      <c r="I3562" s="550"/>
    </row>
    <row r="3563" spans="1:9" x14ac:dyDescent="0.2">
      <c r="A3563" s="549"/>
      <c r="C3563" s="548"/>
      <c r="D3563" s="550"/>
      <c r="E3563" s="550"/>
      <c r="F3563" s="550"/>
      <c r="G3563" s="550"/>
      <c r="H3563" s="551"/>
      <c r="I3563" s="550"/>
    </row>
    <row r="3564" spans="1:9" x14ac:dyDescent="0.2">
      <c r="A3564" s="549"/>
      <c r="C3564" s="548"/>
      <c r="D3564" s="550"/>
      <c r="E3564" s="550"/>
      <c r="F3564" s="550"/>
      <c r="G3564" s="550"/>
      <c r="H3564" s="551"/>
      <c r="I3564" s="550"/>
    </row>
    <row r="3565" spans="1:9" x14ac:dyDescent="0.2">
      <c r="A3565" s="549"/>
      <c r="C3565" s="548"/>
      <c r="D3565" s="550"/>
      <c r="E3565" s="550"/>
      <c r="F3565" s="550"/>
      <c r="G3565" s="550"/>
      <c r="H3565" s="551"/>
      <c r="I3565" s="550"/>
    </row>
    <row r="3566" spans="1:9" x14ac:dyDescent="0.2">
      <c r="A3566" s="549"/>
      <c r="C3566" s="548"/>
      <c r="D3566" s="550"/>
      <c r="E3566" s="550"/>
      <c r="F3566" s="550"/>
      <c r="G3566" s="550"/>
      <c r="H3566" s="551"/>
      <c r="I3566" s="550"/>
    </row>
    <row r="3567" spans="1:9" x14ac:dyDescent="0.2">
      <c r="A3567" s="549"/>
      <c r="C3567" s="548"/>
      <c r="D3567" s="550"/>
      <c r="E3567" s="550"/>
      <c r="F3567" s="550"/>
      <c r="G3567" s="550"/>
      <c r="H3567" s="551"/>
      <c r="I3567" s="550"/>
    </row>
    <row r="3568" spans="1:9" x14ac:dyDescent="0.2">
      <c r="A3568" s="549"/>
      <c r="C3568" s="548"/>
      <c r="D3568" s="550"/>
      <c r="E3568" s="550"/>
      <c r="F3568" s="550"/>
      <c r="G3568" s="550"/>
      <c r="H3568" s="551"/>
      <c r="I3568" s="550"/>
    </row>
    <row r="3569" spans="1:9" x14ac:dyDescent="0.2">
      <c r="A3569" s="549"/>
      <c r="C3569" s="548"/>
      <c r="D3569" s="550"/>
      <c r="E3569" s="550"/>
      <c r="F3569" s="550"/>
      <c r="G3569" s="550"/>
      <c r="H3569" s="551"/>
      <c r="I3569" s="550"/>
    </row>
    <row r="3570" spans="1:9" x14ac:dyDescent="0.2">
      <c r="A3570" s="549"/>
      <c r="C3570" s="548"/>
      <c r="D3570" s="550"/>
      <c r="E3570" s="550"/>
      <c r="F3570" s="550"/>
      <c r="G3570" s="550"/>
      <c r="H3570" s="551"/>
      <c r="I3570" s="550"/>
    </row>
    <row r="3571" spans="1:9" x14ac:dyDescent="0.2">
      <c r="A3571" s="549"/>
      <c r="C3571" s="548"/>
      <c r="D3571" s="550"/>
      <c r="E3571" s="550"/>
      <c r="F3571" s="550"/>
      <c r="G3571" s="550"/>
      <c r="H3571" s="551"/>
      <c r="I3571" s="550"/>
    </row>
    <row r="3572" spans="1:9" x14ac:dyDescent="0.2">
      <c r="A3572" s="549"/>
      <c r="C3572" s="548"/>
      <c r="D3572" s="550"/>
      <c r="E3572" s="550"/>
      <c r="F3572" s="550"/>
      <c r="G3572" s="550"/>
      <c r="H3572" s="551"/>
      <c r="I3572" s="550"/>
    </row>
    <row r="3573" spans="1:9" x14ac:dyDescent="0.2">
      <c r="A3573" s="549"/>
      <c r="C3573" s="548"/>
      <c r="D3573" s="550"/>
      <c r="E3573" s="550"/>
      <c r="F3573" s="550"/>
      <c r="G3573" s="550"/>
      <c r="H3573" s="551"/>
      <c r="I3573" s="550"/>
    </row>
    <row r="3574" spans="1:9" x14ac:dyDescent="0.2">
      <c r="A3574" s="549"/>
      <c r="C3574" s="548"/>
      <c r="D3574" s="550"/>
      <c r="E3574" s="550"/>
      <c r="F3574" s="550"/>
      <c r="G3574" s="550"/>
      <c r="H3574" s="551"/>
      <c r="I3574" s="550"/>
    </row>
    <row r="3575" spans="1:9" x14ac:dyDescent="0.2">
      <c r="A3575" s="549"/>
      <c r="C3575" s="548"/>
      <c r="D3575" s="550"/>
      <c r="E3575" s="550"/>
      <c r="F3575" s="550"/>
      <c r="G3575" s="550"/>
      <c r="H3575" s="551"/>
      <c r="I3575" s="550"/>
    </row>
    <row r="3576" spans="1:9" x14ac:dyDescent="0.2">
      <c r="A3576" s="549"/>
      <c r="C3576" s="548"/>
      <c r="D3576" s="550"/>
      <c r="E3576" s="550"/>
      <c r="F3576" s="550"/>
      <c r="G3576" s="550"/>
      <c r="H3576" s="551"/>
      <c r="I3576" s="550"/>
    </row>
    <row r="3577" spans="1:9" x14ac:dyDescent="0.2">
      <c r="A3577" s="549"/>
      <c r="C3577" s="548"/>
      <c r="D3577" s="550"/>
      <c r="E3577" s="550"/>
      <c r="F3577" s="550"/>
      <c r="G3577" s="550"/>
      <c r="H3577" s="551"/>
      <c r="I3577" s="550"/>
    </row>
    <row r="3578" spans="1:9" x14ac:dyDescent="0.2">
      <c r="A3578" s="549"/>
      <c r="C3578" s="548"/>
      <c r="D3578" s="550"/>
      <c r="E3578" s="550"/>
      <c r="F3578" s="550"/>
      <c r="G3578" s="550"/>
      <c r="H3578" s="551"/>
      <c r="I3578" s="550"/>
    </row>
    <row r="3579" spans="1:9" x14ac:dyDescent="0.2">
      <c r="A3579" s="549"/>
      <c r="C3579" s="548"/>
      <c r="D3579" s="550"/>
      <c r="E3579" s="550"/>
      <c r="F3579" s="550"/>
      <c r="G3579" s="550"/>
      <c r="H3579" s="551"/>
      <c r="I3579" s="550"/>
    </row>
    <row r="3580" spans="1:9" x14ac:dyDescent="0.2">
      <c r="A3580" s="549"/>
      <c r="C3580" s="548"/>
      <c r="D3580" s="550"/>
      <c r="E3580" s="550"/>
      <c r="F3580" s="550"/>
      <c r="G3580" s="550"/>
      <c r="H3580" s="551"/>
      <c r="I3580" s="550"/>
    </row>
    <row r="3581" spans="1:9" x14ac:dyDescent="0.2">
      <c r="A3581" s="549"/>
      <c r="C3581" s="548"/>
      <c r="D3581" s="550"/>
      <c r="E3581" s="550"/>
      <c r="F3581" s="550"/>
      <c r="G3581" s="550"/>
      <c r="H3581" s="551"/>
      <c r="I3581" s="550"/>
    </row>
    <row r="3582" spans="1:9" x14ac:dyDescent="0.2">
      <c r="A3582" s="549"/>
      <c r="C3582" s="548"/>
      <c r="D3582" s="550"/>
      <c r="E3582" s="550"/>
      <c r="F3582" s="550"/>
      <c r="G3582" s="550"/>
      <c r="H3582" s="551"/>
      <c r="I3582" s="550"/>
    </row>
    <row r="3583" spans="1:9" x14ac:dyDescent="0.2">
      <c r="A3583" s="549"/>
      <c r="C3583" s="548"/>
      <c r="D3583" s="550"/>
      <c r="E3583" s="550"/>
      <c r="F3583" s="550"/>
      <c r="G3583" s="550"/>
      <c r="H3583" s="551"/>
      <c r="I3583" s="550"/>
    </row>
    <row r="3584" spans="1:9" x14ac:dyDescent="0.2">
      <c r="A3584" s="549"/>
      <c r="C3584" s="548"/>
      <c r="D3584" s="550"/>
      <c r="E3584" s="550"/>
      <c r="F3584" s="550"/>
      <c r="G3584" s="550"/>
      <c r="H3584" s="551"/>
      <c r="I3584" s="550"/>
    </row>
    <row r="3585" spans="1:9" x14ac:dyDescent="0.2">
      <c r="A3585" s="549"/>
      <c r="C3585" s="548"/>
      <c r="D3585" s="550"/>
      <c r="E3585" s="550"/>
      <c r="F3585" s="550"/>
      <c r="G3585" s="550"/>
      <c r="H3585" s="551"/>
      <c r="I3585" s="550"/>
    </row>
    <row r="3586" spans="1:9" x14ac:dyDescent="0.2">
      <c r="A3586" s="549"/>
      <c r="C3586" s="548"/>
      <c r="D3586" s="550"/>
      <c r="E3586" s="550"/>
      <c r="F3586" s="550"/>
      <c r="G3586" s="550"/>
      <c r="H3586" s="551"/>
      <c r="I3586" s="550"/>
    </row>
    <row r="3587" spans="1:9" x14ac:dyDescent="0.2">
      <c r="A3587" s="549"/>
      <c r="C3587" s="548"/>
      <c r="D3587" s="550"/>
      <c r="E3587" s="550"/>
      <c r="F3587" s="550"/>
      <c r="G3587" s="550"/>
      <c r="H3587" s="551"/>
      <c r="I3587" s="550"/>
    </row>
    <row r="3588" spans="1:9" x14ac:dyDescent="0.2">
      <c r="A3588" s="549"/>
      <c r="C3588" s="548"/>
      <c r="D3588" s="550"/>
      <c r="E3588" s="550"/>
      <c r="F3588" s="550"/>
      <c r="G3588" s="550"/>
      <c r="H3588" s="551"/>
      <c r="I3588" s="550"/>
    </row>
    <row r="3589" spans="1:9" x14ac:dyDescent="0.2">
      <c r="A3589" s="549"/>
      <c r="C3589" s="548"/>
      <c r="D3589" s="550"/>
      <c r="E3589" s="550"/>
      <c r="F3589" s="550"/>
      <c r="G3589" s="550"/>
      <c r="H3589" s="551"/>
      <c r="I3589" s="550"/>
    </row>
    <row r="3590" spans="1:9" x14ac:dyDescent="0.2">
      <c r="A3590" s="549"/>
      <c r="C3590" s="548"/>
      <c r="D3590" s="550"/>
      <c r="E3590" s="550"/>
      <c r="F3590" s="550"/>
      <c r="G3590" s="550"/>
      <c r="H3590" s="551"/>
      <c r="I3590" s="550"/>
    </row>
    <row r="3591" spans="1:9" x14ac:dyDescent="0.2">
      <c r="A3591" s="549"/>
      <c r="C3591" s="548"/>
      <c r="D3591" s="550"/>
      <c r="E3591" s="550"/>
      <c r="F3591" s="550"/>
      <c r="G3591" s="550"/>
      <c r="H3591" s="551"/>
      <c r="I3591" s="550"/>
    </row>
    <row r="3592" spans="1:9" x14ac:dyDescent="0.2">
      <c r="A3592" s="549"/>
      <c r="C3592" s="548"/>
      <c r="D3592" s="550"/>
      <c r="E3592" s="550"/>
      <c r="F3592" s="550"/>
      <c r="G3592" s="550"/>
      <c r="H3592" s="551"/>
      <c r="I3592" s="550"/>
    </row>
    <row r="3593" spans="1:9" x14ac:dyDescent="0.2">
      <c r="A3593" s="549"/>
      <c r="C3593" s="548"/>
      <c r="D3593" s="550"/>
      <c r="E3593" s="550"/>
      <c r="F3593" s="550"/>
      <c r="G3593" s="550"/>
      <c r="H3593" s="551"/>
      <c r="I3593" s="550"/>
    </row>
    <row r="3594" spans="1:9" x14ac:dyDescent="0.2">
      <c r="A3594" s="549"/>
      <c r="C3594" s="548"/>
      <c r="D3594" s="550"/>
      <c r="E3594" s="550"/>
      <c r="F3594" s="550"/>
      <c r="G3594" s="550"/>
      <c r="H3594" s="551"/>
      <c r="I3594" s="550"/>
    </row>
    <row r="3595" spans="1:9" x14ac:dyDescent="0.2">
      <c r="A3595" s="549"/>
      <c r="C3595" s="548"/>
      <c r="D3595" s="550"/>
      <c r="E3595" s="550"/>
      <c r="F3595" s="550"/>
      <c r="G3595" s="550"/>
      <c r="H3595" s="551"/>
      <c r="I3595" s="550"/>
    </row>
    <row r="3596" spans="1:9" x14ac:dyDescent="0.2">
      <c r="A3596" s="549"/>
      <c r="C3596" s="548"/>
      <c r="D3596" s="550"/>
      <c r="E3596" s="550"/>
      <c r="F3596" s="550"/>
      <c r="G3596" s="550"/>
      <c r="H3596" s="551"/>
      <c r="I3596" s="550"/>
    </row>
    <row r="3597" spans="1:9" x14ac:dyDescent="0.2">
      <c r="A3597" s="549"/>
      <c r="C3597" s="548"/>
      <c r="D3597" s="550"/>
      <c r="E3597" s="550"/>
      <c r="F3597" s="550"/>
      <c r="G3597" s="550"/>
      <c r="H3597" s="551"/>
      <c r="I3597" s="550"/>
    </row>
    <row r="3598" spans="1:9" x14ac:dyDescent="0.2">
      <c r="A3598" s="549"/>
      <c r="C3598" s="548"/>
      <c r="D3598" s="550"/>
      <c r="E3598" s="550"/>
      <c r="F3598" s="550"/>
      <c r="G3598" s="550"/>
      <c r="H3598" s="551"/>
      <c r="I3598" s="550"/>
    </row>
    <row r="3599" spans="1:9" x14ac:dyDescent="0.2">
      <c r="A3599" s="549"/>
      <c r="C3599" s="548"/>
      <c r="D3599" s="550"/>
      <c r="E3599" s="550"/>
      <c r="F3599" s="550"/>
      <c r="G3599" s="550"/>
      <c r="H3599" s="551"/>
      <c r="I3599" s="550"/>
    </row>
    <row r="3600" spans="1:9" x14ac:dyDescent="0.2">
      <c r="A3600" s="549"/>
      <c r="C3600" s="548"/>
      <c r="D3600" s="550"/>
      <c r="E3600" s="550"/>
      <c r="F3600" s="550"/>
      <c r="G3600" s="550"/>
      <c r="H3600" s="551"/>
      <c r="I3600" s="550"/>
    </row>
    <row r="3601" spans="1:9" x14ac:dyDescent="0.2">
      <c r="A3601" s="549"/>
      <c r="C3601" s="548"/>
      <c r="D3601" s="550"/>
      <c r="E3601" s="550"/>
      <c r="F3601" s="550"/>
      <c r="G3601" s="550"/>
      <c r="H3601" s="551"/>
      <c r="I3601" s="550"/>
    </row>
    <row r="3602" spans="1:9" x14ac:dyDescent="0.2">
      <c r="A3602" s="549"/>
      <c r="C3602" s="548"/>
      <c r="D3602" s="550"/>
      <c r="E3602" s="550"/>
      <c r="F3602" s="550"/>
      <c r="G3602" s="550"/>
      <c r="H3602" s="551"/>
      <c r="I3602" s="550"/>
    </row>
    <row r="3603" spans="1:9" x14ac:dyDescent="0.2">
      <c r="A3603" s="549"/>
      <c r="C3603" s="548"/>
      <c r="D3603" s="550"/>
      <c r="E3603" s="550"/>
      <c r="F3603" s="550"/>
      <c r="G3603" s="550"/>
      <c r="H3603" s="551"/>
      <c r="I3603" s="550"/>
    </row>
    <row r="3604" spans="1:9" x14ac:dyDescent="0.2">
      <c r="A3604" s="549"/>
      <c r="C3604" s="548"/>
      <c r="D3604" s="550"/>
      <c r="E3604" s="550"/>
      <c r="F3604" s="550"/>
      <c r="G3604" s="550"/>
      <c r="H3604" s="551"/>
      <c r="I3604" s="550"/>
    </row>
    <row r="3605" spans="1:9" x14ac:dyDescent="0.2">
      <c r="A3605" s="549"/>
      <c r="C3605" s="548"/>
      <c r="D3605" s="550"/>
      <c r="E3605" s="550"/>
      <c r="F3605" s="550"/>
      <c r="G3605" s="550"/>
      <c r="H3605" s="551"/>
      <c r="I3605" s="550"/>
    </row>
    <row r="3606" spans="1:9" x14ac:dyDescent="0.2">
      <c r="A3606" s="549"/>
      <c r="C3606" s="548"/>
      <c r="D3606" s="550"/>
      <c r="E3606" s="550"/>
      <c r="F3606" s="550"/>
      <c r="G3606" s="550"/>
      <c r="H3606" s="551"/>
      <c r="I3606" s="550"/>
    </row>
    <row r="3607" spans="1:9" x14ac:dyDescent="0.2">
      <c r="A3607" s="549"/>
      <c r="C3607" s="548"/>
      <c r="D3607" s="550"/>
      <c r="E3607" s="550"/>
      <c r="F3607" s="550"/>
      <c r="G3607" s="550"/>
      <c r="H3607" s="551"/>
      <c r="I3607" s="550"/>
    </row>
    <row r="3608" spans="1:9" x14ac:dyDescent="0.2">
      <c r="A3608" s="549"/>
      <c r="C3608" s="548"/>
      <c r="D3608" s="550"/>
      <c r="E3608" s="550"/>
      <c r="F3608" s="550"/>
      <c r="G3608" s="550"/>
      <c r="H3608" s="551"/>
      <c r="I3608" s="550"/>
    </row>
    <row r="3609" spans="1:9" x14ac:dyDescent="0.2">
      <c r="A3609" s="549"/>
      <c r="C3609" s="548"/>
      <c r="D3609" s="550"/>
      <c r="E3609" s="550"/>
      <c r="F3609" s="550"/>
      <c r="G3609" s="550"/>
      <c r="H3609" s="551"/>
      <c r="I3609" s="550"/>
    </row>
    <row r="3610" spans="1:9" x14ac:dyDescent="0.2">
      <c r="A3610" s="549"/>
      <c r="C3610" s="548"/>
      <c r="D3610" s="550"/>
      <c r="E3610" s="550"/>
      <c r="F3610" s="550"/>
      <c r="G3610" s="550"/>
      <c r="H3610" s="551"/>
      <c r="I3610" s="550"/>
    </row>
    <row r="3611" spans="1:9" x14ac:dyDescent="0.2">
      <c r="A3611" s="549"/>
      <c r="C3611" s="548"/>
      <c r="D3611" s="550"/>
      <c r="E3611" s="550"/>
      <c r="F3611" s="550"/>
      <c r="G3611" s="550"/>
      <c r="H3611" s="551"/>
      <c r="I3611" s="550"/>
    </row>
    <row r="3612" spans="1:9" x14ac:dyDescent="0.2">
      <c r="A3612" s="549"/>
      <c r="C3612" s="548"/>
      <c r="D3612" s="550"/>
      <c r="E3612" s="550"/>
      <c r="F3612" s="550"/>
      <c r="G3612" s="550"/>
      <c r="H3612" s="551"/>
      <c r="I3612" s="550"/>
    </row>
    <row r="3613" spans="1:9" x14ac:dyDescent="0.2">
      <c r="A3613" s="549"/>
      <c r="C3613" s="548"/>
      <c r="D3613" s="550"/>
      <c r="E3613" s="550"/>
      <c r="F3613" s="550"/>
      <c r="G3613" s="550"/>
      <c r="H3613" s="551"/>
      <c r="I3613" s="550"/>
    </row>
    <row r="3614" spans="1:9" x14ac:dyDescent="0.2">
      <c r="A3614" s="549"/>
      <c r="C3614" s="548"/>
      <c r="D3614" s="550"/>
      <c r="E3614" s="550"/>
      <c r="F3614" s="550"/>
      <c r="G3614" s="550"/>
      <c r="H3614" s="551"/>
      <c r="I3614" s="550"/>
    </row>
    <row r="3615" spans="1:9" x14ac:dyDescent="0.2">
      <c r="A3615" s="549"/>
      <c r="C3615" s="548"/>
      <c r="D3615" s="550"/>
      <c r="E3615" s="550"/>
      <c r="F3615" s="550"/>
      <c r="G3615" s="550"/>
      <c r="H3615" s="551"/>
      <c r="I3615" s="550"/>
    </row>
    <row r="3616" spans="1:9" x14ac:dyDescent="0.2">
      <c r="A3616" s="549"/>
      <c r="C3616" s="548"/>
      <c r="D3616" s="550"/>
      <c r="E3616" s="550"/>
      <c r="F3616" s="550"/>
      <c r="G3616" s="550"/>
      <c r="H3616" s="551"/>
      <c r="I3616" s="550"/>
    </row>
    <row r="3617" spans="1:9" x14ac:dyDescent="0.2">
      <c r="A3617" s="549"/>
      <c r="C3617" s="548"/>
      <c r="D3617" s="550"/>
      <c r="E3617" s="550"/>
      <c r="F3617" s="550"/>
      <c r="G3617" s="550"/>
      <c r="H3617" s="551"/>
      <c r="I3617" s="550"/>
    </row>
    <row r="3618" spans="1:9" x14ac:dyDescent="0.2">
      <c r="A3618" s="549"/>
      <c r="C3618" s="548"/>
      <c r="D3618" s="550"/>
      <c r="E3618" s="550"/>
      <c r="F3618" s="550"/>
      <c r="G3618" s="550"/>
      <c r="H3618" s="551"/>
      <c r="I3618" s="550"/>
    </row>
    <row r="3619" spans="1:9" x14ac:dyDescent="0.2">
      <c r="A3619" s="549"/>
      <c r="C3619" s="548"/>
      <c r="D3619" s="550"/>
      <c r="E3619" s="550"/>
      <c r="F3619" s="550"/>
      <c r="G3619" s="550"/>
      <c r="H3619" s="551"/>
      <c r="I3619" s="550"/>
    </row>
    <row r="3620" spans="1:9" x14ac:dyDescent="0.2">
      <c r="A3620" s="549"/>
      <c r="C3620" s="548"/>
      <c r="D3620" s="550"/>
      <c r="E3620" s="550"/>
      <c r="F3620" s="550"/>
      <c r="G3620" s="550"/>
      <c r="H3620" s="551"/>
      <c r="I3620" s="550"/>
    </row>
    <row r="3621" spans="1:9" x14ac:dyDescent="0.2">
      <c r="A3621" s="549"/>
      <c r="C3621" s="548"/>
      <c r="D3621" s="550"/>
      <c r="E3621" s="550"/>
      <c r="F3621" s="550"/>
      <c r="G3621" s="550"/>
      <c r="H3621" s="551"/>
      <c r="I3621" s="550"/>
    </row>
    <row r="3622" spans="1:9" x14ac:dyDescent="0.2">
      <c r="A3622" s="549"/>
      <c r="C3622" s="548"/>
      <c r="D3622" s="550"/>
      <c r="E3622" s="550"/>
      <c r="F3622" s="550"/>
      <c r="G3622" s="550"/>
      <c r="H3622" s="551"/>
      <c r="I3622" s="550"/>
    </row>
    <row r="3623" spans="1:9" x14ac:dyDescent="0.2">
      <c r="A3623" s="549"/>
      <c r="C3623" s="548"/>
      <c r="D3623" s="550"/>
      <c r="E3623" s="550"/>
      <c r="F3623" s="550"/>
      <c r="G3623" s="550"/>
      <c r="H3623" s="551"/>
      <c r="I3623" s="550"/>
    </row>
    <row r="3624" spans="1:9" x14ac:dyDescent="0.2">
      <c r="A3624" s="549"/>
      <c r="C3624" s="548"/>
      <c r="D3624" s="550"/>
      <c r="E3624" s="550"/>
      <c r="F3624" s="550"/>
      <c r="G3624" s="550"/>
      <c r="H3624" s="551"/>
      <c r="I3624" s="550"/>
    </row>
    <row r="3625" spans="1:9" x14ac:dyDescent="0.2">
      <c r="A3625" s="549"/>
      <c r="C3625" s="548"/>
      <c r="D3625" s="550"/>
      <c r="E3625" s="550"/>
      <c r="F3625" s="550"/>
      <c r="G3625" s="550"/>
      <c r="H3625" s="551"/>
      <c r="I3625" s="550"/>
    </row>
    <row r="3626" spans="1:9" x14ac:dyDescent="0.2">
      <c r="A3626" s="549"/>
      <c r="C3626" s="548"/>
      <c r="D3626" s="550"/>
      <c r="E3626" s="550"/>
      <c r="F3626" s="550"/>
      <c r="G3626" s="550"/>
      <c r="H3626" s="551"/>
      <c r="I3626" s="550"/>
    </row>
    <row r="3627" spans="1:9" x14ac:dyDescent="0.2">
      <c r="A3627" s="549"/>
      <c r="C3627" s="548"/>
      <c r="D3627" s="550"/>
      <c r="E3627" s="550"/>
      <c r="F3627" s="550"/>
      <c r="G3627" s="550"/>
      <c r="H3627" s="551"/>
      <c r="I3627" s="550"/>
    </row>
    <row r="3628" spans="1:9" x14ac:dyDescent="0.2">
      <c r="A3628" s="549"/>
      <c r="C3628" s="548"/>
      <c r="D3628" s="550"/>
      <c r="E3628" s="550"/>
      <c r="F3628" s="550"/>
      <c r="G3628" s="550"/>
      <c r="H3628" s="551"/>
      <c r="I3628" s="550"/>
    </row>
    <row r="3629" spans="1:9" x14ac:dyDescent="0.2">
      <c r="A3629" s="549"/>
      <c r="C3629" s="548"/>
      <c r="D3629" s="550"/>
      <c r="E3629" s="550"/>
      <c r="F3629" s="550"/>
      <c r="G3629" s="550"/>
      <c r="H3629" s="551"/>
      <c r="I3629" s="550"/>
    </row>
    <row r="3630" spans="1:9" x14ac:dyDescent="0.2">
      <c r="A3630" s="549"/>
      <c r="C3630" s="548"/>
      <c r="D3630" s="550"/>
      <c r="E3630" s="550"/>
      <c r="F3630" s="550"/>
      <c r="G3630" s="550"/>
      <c r="H3630" s="551"/>
      <c r="I3630" s="550"/>
    </row>
    <row r="3631" spans="1:9" x14ac:dyDescent="0.2">
      <c r="A3631" s="549"/>
      <c r="C3631" s="548"/>
      <c r="D3631" s="550"/>
      <c r="E3631" s="550"/>
      <c r="F3631" s="550"/>
      <c r="G3631" s="550"/>
      <c r="H3631" s="551"/>
      <c r="I3631" s="550"/>
    </row>
    <row r="3632" spans="1:9" x14ac:dyDescent="0.2">
      <c r="A3632" s="549"/>
      <c r="C3632" s="548"/>
      <c r="D3632" s="550"/>
      <c r="E3632" s="550"/>
      <c r="F3632" s="550"/>
      <c r="G3632" s="550"/>
      <c r="H3632" s="551"/>
      <c r="I3632" s="550"/>
    </row>
    <row r="3633" spans="1:9" x14ac:dyDescent="0.2">
      <c r="A3633" s="549"/>
      <c r="C3633" s="548"/>
      <c r="D3633" s="550"/>
      <c r="E3633" s="550"/>
      <c r="F3633" s="550"/>
      <c r="G3633" s="550"/>
      <c r="H3633" s="551"/>
      <c r="I3633" s="550"/>
    </row>
    <row r="3634" spans="1:9" x14ac:dyDescent="0.2">
      <c r="A3634" s="549"/>
      <c r="C3634" s="548"/>
      <c r="D3634" s="550"/>
      <c r="E3634" s="550"/>
      <c r="F3634" s="550"/>
      <c r="G3634" s="550"/>
      <c r="H3634" s="551"/>
      <c r="I3634" s="550"/>
    </row>
    <row r="3635" spans="1:9" x14ac:dyDescent="0.2">
      <c r="A3635" s="549"/>
      <c r="C3635" s="548"/>
      <c r="D3635" s="550"/>
      <c r="E3635" s="550"/>
      <c r="F3635" s="550"/>
      <c r="G3635" s="550"/>
      <c r="H3635" s="551"/>
      <c r="I3635" s="550"/>
    </row>
    <row r="3636" spans="1:9" x14ac:dyDescent="0.2">
      <c r="A3636" s="549"/>
      <c r="C3636" s="548"/>
      <c r="D3636" s="550"/>
      <c r="E3636" s="550"/>
      <c r="F3636" s="550"/>
      <c r="G3636" s="550"/>
      <c r="H3636" s="551"/>
      <c r="I3636" s="550"/>
    </row>
    <row r="3637" spans="1:9" x14ac:dyDescent="0.2">
      <c r="A3637" s="549"/>
      <c r="C3637" s="548"/>
      <c r="D3637" s="550"/>
      <c r="E3637" s="550"/>
      <c r="F3637" s="550"/>
      <c r="G3637" s="550"/>
      <c r="H3637" s="551"/>
      <c r="I3637" s="550"/>
    </row>
    <row r="3638" spans="1:9" x14ac:dyDescent="0.2">
      <c r="A3638" s="549"/>
      <c r="C3638" s="548"/>
      <c r="D3638" s="550"/>
      <c r="E3638" s="550"/>
      <c r="F3638" s="550"/>
      <c r="G3638" s="550"/>
      <c r="H3638" s="551"/>
      <c r="I3638" s="550"/>
    </row>
    <row r="3639" spans="1:9" x14ac:dyDescent="0.2">
      <c r="A3639" s="549"/>
      <c r="C3639" s="548"/>
      <c r="D3639" s="550"/>
      <c r="E3639" s="550"/>
      <c r="F3639" s="550"/>
      <c r="G3639" s="550"/>
      <c r="H3639" s="551"/>
      <c r="I3639" s="550"/>
    </row>
    <row r="3640" spans="1:9" x14ac:dyDescent="0.2">
      <c r="A3640" s="549"/>
      <c r="C3640" s="548"/>
      <c r="D3640" s="550"/>
      <c r="E3640" s="550"/>
      <c r="F3640" s="550"/>
      <c r="G3640" s="550"/>
      <c r="H3640" s="551"/>
      <c r="I3640" s="550"/>
    </row>
    <row r="3641" spans="1:9" x14ac:dyDescent="0.2">
      <c r="A3641" s="549"/>
      <c r="C3641" s="548"/>
      <c r="D3641" s="550"/>
      <c r="E3641" s="550"/>
      <c r="F3641" s="550"/>
      <c r="G3641" s="550"/>
      <c r="H3641" s="551"/>
      <c r="I3641" s="550"/>
    </row>
    <row r="3642" spans="1:9" x14ac:dyDescent="0.2">
      <c r="A3642" s="549"/>
      <c r="C3642" s="548"/>
      <c r="D3642" s="550"/>
      <c r="E3642" s="550"/>
      <c r="F3642" s="550"/>
      <c r="G3642" s="550"/>
      <c r="H3642" s="551"/>
      <c r="I3642" s="550"/>
    </row>
    <row r="3643" spans="1:9" x14ac:dyDescent="0.2">
      <c r="A3643" s="549"/>
      <c r="C3643" s="548"/>
      <c r="D3643" s="550"/>
      <c r="E3643" s="550"/>
      <c r="F3643" s="550"/>
      <c r="G3643" s="550"/>
      <c r="H3643" s="551"/>
      <c r="I3643" s="550"/>
    </row>
    <row r="3644" spans="1:9" x14ac:dyDescent="0.2">
      <c r="A3644" s="549"/>
      <c r="C3644" s="548"/>
      <c r="D3644" s="550"/>
      <c r="E3644" s="550"/>
      <c r="F3644" s="550"/>
      <c r="G3644" s="550"/>
      <c r="H3644" s="551"/>
      <c r="I3644" s="550"/>
    </row>
    <row r="3645" spans="1:9" x14ac:dyDescent="0.2">
      <c r="A3645" s="549"/>
      <c r="C3645" s="548"/>
      <c r="D3645" s="550"/>
      <c r="E3645" s="550"/>
      <c r="F3645" s="550"/>
      <c r="G3645" s="550"/>
      <c r="H3645" s="551"/>
      <c r="I3645" s="550"/>
    </row>
    <row r="3646" spans="1:9" x14ac:dyDescent="0.2">
      <c r="A3646" s="549"/>
      <c r="C3646" s="548"/>
      <c r="D3646" s="550"/>
      <c r="E3646" s="550"/>
      <c r="F3646" s="550"/>
      <c r="G3646" s="550"/>
      <c r="H3646" s="551"/>
      <c r="I3646" s="550"/>
    </row>
    <row r="3647" spans="1:9" x14ac:dyDescent="0.2">
      <c r="A3647" s="549"/>
      <c r="C3647" s="548"/>
      <c r="D3647" s="550"/>
      <c r="E3647" s="550"/>
      <c r="F3647" s="550"/>
      <c r="G3647" s="550"/>
      <c r="H3647" s="551"/>
      <c r="I3647" s="550"/>
    </row>
    <row r="3648" spans="1:9" x14ac:dyDescent="0.2">
      <c r="A3648" s="549"/>
      <c r="C3648" s="548"/>
      <c r="D3648" s="550"/>
      <c r="E3648" s="550"/>
      <c r="F3648" s="550"/>
      <c r="G3648" s="550"/>
      <c r="H3648" s="551"/>
      <c r="I3648" s="550"/>
    </row>
    <row r="3649" spans="1:9" x14ac:dyDescent="0.2">
      <c r="A3649" s="549"/>
      <c r="C3649" s="548"/>
      <c r="D3649" s="550"/>
      <c r="E3649" s="550"/>
      <c r="F3649" s="550"/>
      <c r="G3649" s="550"/>
      <c r="H3649" s="551"/>
      <c r="I3649" s="550"/>
    </row>
    <row r="3650" spans="1:9" x14ac:dyDescent="0.2">
      <c r="A3650" s="549"/>
      <c r="C3650" s="548"/>
      <c r="D3650" s="550"/>
      <c r="E3650" s="550"/>
      <c r="F3650" s="550"/>
      <c r="G3650" s="550"/>
      <c r="H3650" s="551"/>
      <c r="I3650" s="550"/>
    </row>
    <row r="3651" spans="1:9" x14ac:dyDescent="0.2">
      <c r="A3651" s="549"/>
      <c r="C3651" s="548"/>
      <c r="D3651" s="550"/>
      <c r="E3651" s="550"/>
      <c r="F3651" s="550"/>
      <c r="G3651" s="550"/>
      <c r="H3651" s="551"/>
      <c r="I3651" s="550"/>
    </row>
    <row r="3652" spans="1:9" x14ac:dyDescent="0.2">
      <c r="A3652" s="549"/>
      <c r="C3652" s="548"/>
      <c r="D3652" s="550"/>
      <c r="E3652" s="550"/>
      <c r="F3652" s="550"/>
      <c r="G3652" s="550"/>
      <c r="H3652" s="551"/>
      <c r="I3652" s="550"/>
    </row>
    <row r="3653" spans="1:9" x14ac:dyDescent="0.2">
      <c r="A3653" s="549"/>
      <c r="C3653" s="548"/>
      <c r="D3653" s="550"/>
      <c r="E3653" s="550"/>
      <c r="F3653" s="550"/>
      <c r="G3653" s="550"/>
      <c r="H3653" s="551"/>
      <c r="I3653" s="550"/>
    </row>
    <row r="3654" spans="1:9" x14ac:dyDescent="0.2">
      <c r="A3654" s="549"/>
      <c r="C3654" s="548"/>
      <c r="D3654" s="550"/>
      <c r="E3654" s="550"/>
      <c r="F3654" s="550"/>
      <c r="G3654" s="550"/>
      <c r="H3654" s="551"/>
      <c r="I3654" s="550"/>
    </row>
    <row r="3655" spans="1:9" x14ac:dyDescent="0.2">
      <c r="A3655" s="549"/>
      <c r="C3655" s="548"/>
      <c r="D3655" s="550"/>
      <c r="E3655" s="550"/>
      <c r="F3655" s="550"/>
      <c r="G3655" s="550"/>
      <c r="H3655" s="551"/>
      <c r="I3655" s="550"/>
    </row>
    <row r="3656" spans="1:9" x14ac:dyDescent="0.2">
      <c r="A3656" s="549"/>
      <c r="C3656" s="548"/>
      <c r="D3656" s="550"/>
      <c r="E3656" s="550"/>
      <c r="F3656" s="550"/>
      <c r="G3656" s="550"/>
      <c r="H3656" s="551"/>
      <c r="I3656" s="550"/>
    </row>
    <row r="3657" spans="1:9" x14ac:dyDescent="0.2">
      <c r="A3657" s="549"/>
      <c r="C3657" s="548"/>
      <c r="D3657" s="550"/>
      <c r="E3657" s="550"/>
      <c r="F3657" s="550"/>
      <c r="G3657" s="550"/>
      <c r="H3657" s="551"/>
      <c r="I3657" s="550"/>
    </row>
    <row r="3658" spans="1:9" x14ac:dyDescent="0.2">
      <c r="A3658" s="549"/>
      <c r="C3658" s="548"/>
      <c r="D3658" s="550"/>
      <c r="E3658" s="550"/>
      <c r="F3658" s="550"/>
      <c r="G3658" s="550"/>
      <c r="H3658" s="551"/>
      <c r="I3658" s="550"/>
    </row>
    <row r="3659" spans="1:9" x14ac:dyDescent="0.2">
      <c r="A3659" s="549"/>
      <c r="C3659" s="548"/>
      <c r="D3659" s="550"/>
      <c r="E3659" s="550"/>
      <c r="F3659" s="550"/>
      <c r="G3659" s="550"/>
      <c r="H3659" s="551"/>
      <c r="I3659" s="550"/>
    </row>
    <row r="3660" spans="1:9" x14ac:dyDescent="0.2">
      <c r="A3660" s="549"/>
      <c r="C3660" s="548"/>
      <c r="D3660" s="550"/>
      <c r="E3660" s="550"/>
      <c r="F3660" s="550"/>
      <c r="G3660" s="550"/>
      <c r="H3660" s="551"/>
      <c r="I3660" s="550"/>
    </row>
    <row r="3661" spans="1:9" x14ac:dyDescent="0.2">
      <c r="A3661" s="549"/>
      <c r="C3661" s="548"/>
      <c r="D3661" s="550"/>
      <c r="E3661" s="550"/>
      <c r="F3661" s="550"/>
      <c r="G3661" s="550"/>
      <c r="H3661" s="551"/>
      <c r="I3661" s="550"/>
    </row>
    <row r="3662" spans="1:9" x14ac:dyDescent="0.2">
      <c r="A3662" s="549"/>
      <c r="C3662" s="548"/>
      <c r="D3662" s="550"/>
      <c r="E3662" s="550"/>
      <c r="F3662" s="550"/>
      <c r="G3662" s="550"/>
      <c r="H3662" s="551"/>
      <c r="I3662" s="550"/>
    </row>
    <row r="3663" spans="1:9" x14ac:dyDescent="0.2">
      <c r="A3663" s="549"/>
      <c r="C3663" s="548"/>
      <c r="D3663" s="550"/>
      <c r="E3663" s="550"/>
      <c r="F3663" s="550"/>
      <c r="G3663" s="550"/>
      <c r="H3663" s="551"/>
      <c r="I3663" s="550"/>
    </row>
    <row r="3664" spans="1:9" x14ac:dyDescent="0.2">
      <c r="A3664" s="549"/>
      <c r="C3664" s="548"/>
      <c r="D3664" s="550"/>
      <c r="E3664" s="550"/>
      <c r="F3664" s="550"/>
      <c r="G3664" s="550"/>
      <c r="H3664" s="551"/>
      <c r="I3664" s="550"/>
    </row>
    <row r="3665" spans="1:9" x14ac:dyDescent="0.2">
      <c r="A3665" s="549"/>
      <c r="C3665" s="548"/>
      <c r="D3665" s="550"/>
      <c r="E3665" s="550"/>
      <c r="F3665" s="550"/>
      <c r="G3665" s="550"/>
      <c r="H3665" s="551"/>
      <c r="I3665" s="550"/>
    </row>
    <row r="3666" spans="1:9" x14ac:dyDescent="0.2">
      <c r="A3666" s="549"/>
      <c r="C3666" s="548"/>
      <c r="D3666" s="550"/>
      <c r="E3666" s="550"/>
      <c r="F3666" s="550"/>
      <c r="G3666" s="550"/>
      <c r="H3666" s="551"/>
      <c r="I3666" s="550"/>
    </row>
    <row r="3667" spans="1:9" x14ac:dyDescent="0.2">
      <c r="A3667" s="549"/>
      <c r="C3667" s="548"/>
      <c r="D3667" s="550"/>
      <c r="E3667" s="550"/>
      <c r="F3667" s="550"/>
      <c r="G3667" s="550"/>
      <c r="H3667" s="551"/>
      <c r="I3667" s="550"/>
    </row>
    <row r="3668" spans="1:9" x14ac:dyDescent="0.2">
      <c r="A3668" s="549"/>
      <c r="C3668" s="548"/>
      <c r="D3668" s="550"/>
      <c r="E3668" s="550"/>
      <c r="F3668" s="550"/>
      <c r="G3668" s="550"/>
      <c r="H3668" s="551"/>
      <c r="I3668" s="550"/>
    </row>
    <row r="3669" spans="1:9" x14ac:dyDescent="0.2">
      <c r="A3669" s="549"/>
      <c r="C3669" s="548"/>
      <c r="D3669" s="550"/>
      <c r="E3669" s="550"/>
      <c r="F3669" s="550"/>
      <c r="G3669" s="550"/>
      <c r="H3669" s="551"/>
      <c r="I3669" s="550"/>
    </row>
    <row r="3670" spans="1:9" x14ac:dyDescent="0.2">
      <c r="A3670" s="549"/>
      <c r="C3670" s="548"/>
      <c r="D3670" s="550"/>
      <c r="E3670" s="550"/>
      <c r="F3670" s="550"/>
      <c r="G3670" s="550"/>
      <c r="H3670" s="551"/>
      <c r="I3670" s="550"/>
    </row>
    <row r="3671" spans="1:9" x14ac:dyDescent="0.2">
      <c r="A3671" s="549"/>
      <c r="C3671" s="548"/>
      <c r="D3671" s="550"/>
      <c r="E3671" s="550"/>
      <c r="F3671" s="550"/>
      <c r="G3671" s="550"/>
      <c r="H3671" s="551"/>
      <c r="I3671" s="550"/>
    </row>
    <row r="3672" spans="1:9" x14ac:dyDescent="0.2">
      <c r="A3672" s="549"/>
      <c r="C3672" s="548"/>
      <c r="D3672" s="550"/>
      <c r="E3672" s="550"/>
      <c r="F3672" s="550"/>
      <c r="G3672" s="550"/>
      <c r="H3672" s="551"/>
      <c r="I3672" s="550"/>
    </row>
    <row r="3673" spans="1:9" x14ac:dyDescent="0.2">
      <c r="A3673" s="549"/>
      <c r="C3673" s="548"/>
      <c r="D3673" s="550"/>
      <c r="E3673" s="550"/>
      <c r="F3673" s="550"/>
      <c r="G3673" s="550"/>
      <c r="H3673" s="551"/>
      <c r="I3673" s="550"/>
    </row>
    <row r="3674" spans="1:9" x14ac:dyDescent="0.2">
      <c r="A3674" s="549"/>
      <c r="C3674" s="548"/>
      <c r="D3674" s="550"/>
      <c r="E3674" s="550"/>
      <c r="F3674" s="550"/>
      <c r="G3674" s="550"/>
      <c r="H3674" s="551"/>
      <c r="I3674" s="550"/>
    </row>
    <row r="3675" spans="1:9" x14ac:dyDescent="0.2">
      <c r="A3675" s="549"/>
      <c r="C3675" s="548"/>
      <c r="D3675" s="550"/>
      <c r="E3675" s="550"/>
      <c r="F3675" s="550"/>
      <c r="G3675" s="550"/>
      <c r="H3675" s="551"/>
      <c r="I3675" s="550"/>
    </row>
    <row r="3676" spans="1:9" x14ac:dyDescent="0.2">
      <c r="A3676" s="549"/>
      <c r="C3676" s="548"/>
      <c r="D3676" s="550"/>
      <c r="E3676" s="550"/>
      <c r="F3676" s="550"/>
      <c r="G3676" s="550"/>
      <c r="H3676" s="551"/>
      <c r="I3676" s="550"/>
    </row>
    <row r="3677" spans="1:9" x14ac:dyDescent="0.2">
      <c r="A3677" s="549"/>
      <c r="C3677" s="548"/>
      <c r="D3677" s="550"/>
      <c r="E3677" s="550"/>
      <c r="F3677" s="550"/>
      <c r="G3677" s="550"/>
      <c r="H3677" s="551"/>
      <c r="I3677" s="550"/>
    </row>
    <row r="3678" spans="1:9" x14ac:dyDescent="0.2">
      <c r="A3678" s="549"/>
      <c r="C3678" s="548"/>
      <c r="D3678" s="550"/>
      <c r="E3678" s="550"/>
      <c r="F3678" s="550"/>
      <c r="G3678" s="550"/>
      <c r="H3678" s="551"/>
      <c r="I3678" s="550"/>
    </row>
    <row r="3679" spans="1:9" x14ac:dyDescent="0.2">
      <c r="A3679" s="549"/>
      <c r="C3679" s="548"/>
      <c r="D3679" s="550"/>
      <c r="E3679" s="550"/>
      <c r="F3679" s="550"/>
      <c r="G3679" s="550"/>
      <c r="H3679" s="551"/>
      <c r="I3679" s="550"/>
    </row>
    <row r="3680" spans="1:9" x14ac:dyDescent="0.2">
      <c r="A3680" s="549"/>
      <c r="C3680" s="548"/>
      <c r="D3680" s="550"/>
      <c r="E3680" s="550"/>
      <c r="F3680" s="550"/>
      <c r="G3680" s="550"/>
      <c r="H3680" s="551"/>
      <c r="I3680" s="550"/>
    </row>
    <row r="3681" spans="1:9" x14ac:dyDescent="0.2">
      <c r="A3681" s="549"/>
      <c r="C3681" s="548"/>
      <c r="D3681" s="550"/>
      <c r="E3681" s="550"/>
      <c r="F3681" s="550"/>
      <c r="G3681" s="550"/>
      <c r="H3681" s="551"/>
      <c r="I3681" s="550"/>
    </row>
    <row r="3682" spans="1:9" x14ac:dyDescent="0.2">
      <c r="A3682" s="549"/>
      <c r="C3682" s="548"/>
      <c r="D3682" s="550"/>
      <c r="E3682" s="550"/>
      <c r="F3682" s="550"/>
      <c r="G3682" s="550"/>
      <c r="H3682" s="551"/>
      <c r="I3682" s="550"/>
    </row>
    <row r="3683" spans="1:9" x14ac:dyDescent="0.2">
      <c r="A3683" s="549"/>
      <c r="C3683" s="548"/>
      <c r="D3683" s="550"/>
      <c r="E3683" s="550"/>
      <c r="F3683" s="550"/>
      <c r="G3683" s="550"/>
      <c r="H3683" s="551"/>
      <c r="I3683" s="550"/>
    </row>
    <row r="3684" spans="1:9" x14ac:dyDescent="0.2">
      <c r="A3684" s="549"/>
      <c r="C3684" s="548"/>
      <c r="D3684" s="550"/>
      <c r="E3684" s="550"/>
      <c r="F3684" s="550"/>
      <c r="G3684" s="550"/>
      <c r="H3684" s="551"/>
      <c r="I3684" s="550"/>
    </row>
    <row r="3685" spans="1:9" x14ac:dyDescent="0.2">
      <c r="A3685" s="549"/>
      <c r="C3685" s="548"/>
      <c r="D3685" s="550"/>
      <c r="E3685" s="550"/>
      <c r="F3685" s="550"/>
      <c r="G3685" s="550"/>
      <c r="H3685" s="551"/>
      <c r="I3685" s="550"/>
    </row>
    <row r="3686" spans="1:9" x14ac:dyDescent="0.2">
      <c r="A3686" s="549"/>
      <c r="C3686" s="548"/>
      <c r="D3686" s="550"/>
      <c r="E3686" s="550"/>
      <c r="F3686" s="550"/>
      <c r="G3686" s="550"/>
      <c r="H3686" s="551"/>
      <c r="I3686" s="550"/>
    </row>
    <row r="3687" spans="1:9" x14ac:dyDescent="0.2">
      <c r="A3687" s="549"/>
      <c r="C3687" s="548"/>
      <c r="D3687" s="550"/>
      <c r="E3687" s="550"/>
      <c r="F3687" s="550"/>
      <c r="G3687" s="550"/>
      <c r="H3687" s="551"/>
      <c r="I3687" s="550"/>
    </row>
    <row r="3688" spans="1:9" x14ac:dyDescent="0.2">
      <c r="A3688" s="549"/>
      <c r="C3688" s="548"/>
      <c r="D3688" s="550"/>
      <c r="E3688" s="550"/>
      <c r="F3688" s="550"/>
      <c r="G3688" s="550"/>
      <c r="H3688" s="551"/>
      <c r="I3688" s="550"/>
    </row>
    <row r="3689" spans="1:9" x14ac:dyDescent="0.2">
      <c r="A3689" s="549"/>
      <c r="C3689" s="548"/>
      <c r="D3689" s="550"/>
      <c r="E3689" s="550"/>
      <c r="F3689" s="550"/>
      <c r="G3689" s="550"/>
      <c r="H3689" s="551"/>
      <c r="I3689" s="550"/>
    </row>
    <row r="3690" spans="1:9" x14ac:dyDescent="0.2">
      <c r="A3690" s="549"/>
      <c r="C3690" s="548"/>
      <c r="D3690" s="550"/>
      <c r="E3690" s="550"/>
      <c r="F3690" s="550"/>
      <c r="G3690" s="550"/>
      <c r="H3690" s="551"/>
      <c r="I3690" s="550"/>
    </row>
    <row r="3691" spans="1:9" x14ac:dyDescent="0.2">
      <c r="A3691" s="549"/>
      <c r="C3691" s="548"/>
      <c r="D3691" s="550"/>
      <c r="E3691" s="550"/>
      <c r="F3691" s="550"/>
      <c r="G3691" s="550"/>
      <c r="H3691" s="551"/>
      <c r="I3691" s="550"/>
    </row>
    <row r="3692" spans="1:9" x14ac:dyDescent="0.2">
      <c r="A3692" s="549"/>
      <c r="C3692" s="548"/>
      <c r="D3692" s="550"/>
      <c r="E3692" s="550"/>
      <c r="F3692" s="550"/>
      <c r="G3692" s="550"/>
      <c r="H3692" s="551"/>
      <c r="I3692" s="550"/>
    </row>
    <row r="3693" spans="1:9" x14ac:dyDescent="0.2">
      <c r="A3693" s="549"/>
      <c r="C3693" s="548"/>
      <c r="D3693" s="550"/>
      <c r="E3693" s="550"/>
      <c r="F3693" s="550"/>
      <c r="G3693" s="550"/>
      <c r="H3693" s="551"/>
      <c r="I3693" s="550"/>
    </row>
    <row r="3694" spans="1:9" x14ac:dyDescent="0.2">
      <c r="A3694" s="549"/>
      <c r="C3694" s="548"/>
      <c r="D3694" s="550"/>
      <c r="E3694" s="550"/>
      <c r="F3694" s="550"/>
      <c r="G3694" s="550"/>
      <c r="H3694" s="551"/>
      <c r="I3694" s="550"/>
    </row>
    <row r="3695" spans="1:9" x14ac:dyDescent="0.2">
      <c r="A3695" s="549"/>
      <c r="C3695" s="548"/>
      <c r="D3695" s="550"/>
      <c r="E3695" s="550"/>
      <c r="F3695" s="550"/>
      <c r="G3695" s="550"/>
      <c r="H3695" s="551"/>
      <c r="I3695" s="550"/>
    </row>
    <row r="3696" spans="1:9" x14ac:dyDescent="0.2">
      <c r="A3696" s="549"/>
      <c r="C3696" s="548"/>
      <c r="D3696" s="550"/>
      <c r="E3696" s="550"/>
      <c r="F3696" s="550"/>
      <c r="G3696" s="550"/>
      <c r="H3696" s="551"/>
      <c r="I3696" s="550"/>
    </row>
    <row r="3697" spans="1:9" x14ac:dyDescent="0.2">
      <c r="A3697" s="549"/>
      <c r="C3697" s="548"/>
      <c r="D3697" s="550"/>
      <c r="E3697" s="550"/>
      <c r="F3697" s="550"/>
      <c r="G3697" s="550"/>
      <c r="H3697" s="551"/>
      <c r="I3697" s="550"/>
    </row>
    <row r="3698" spans="1:9" x14ac:dyDescent="0.2">
      <c r="A3698" s="549"/>
      <c r="C3698" s="548"/>
      <c r="D3698" s="550"/>
      <c r="E3698" s="550"/>
      <c r="F3698" s="550"/>
      <c r="G3698" s="550"/>
      <c r="H3698" s="551"/>
      <c r="I3698" s="550"/>
    </row>
    <row r="3699" spans="1:9" x14ac:dyDescent="0.2">
      <c r="A3699" s="549"/>
      <c r="C3699" s="548"/>
      <c r="D3699" s="550"/>
      <c r="E3699" s="550"/>
      <c r="F3699" s="550"/>
      <c r="G3699" s="550"/>
      <c r="H3699" s="551"/>
      <c r="I3699" s="550"/>
    </row>
    <row r="3700" spans="1:9" x14ac:dyDescent="0.2">
      <c r="A3700" s="549"/>
      <c r="C3700" s="548"/>
      <c r="D3700" s="550"/>
      <c r="E3700" s="550"/>
      <c r="F3700" s="550"/>
      <c r="G3700" s="550"/>
      <c r="H3700" s="551"/>
      <c r="I3700" s="550"/>
    </row>
    <row r="3701" spans="1:9" x14ac:dyDescent="0.2">
      <c r="A3701" s="549"/>
      <c r="C3701" s="548"/>
      <c r="D3701" s="550"/>
      <c r="E3701" s="550"/>
      <c r="F3701" s="550"/>
      <c r="G3701" s="550"/>
      <c r="H3701" s="551"/>
      <c r="I3701" s="550"/>
    </row>
    <row r="3702" spans="1:9" x14ac:dyDescent="0.2">
      <c r="A3702" s="549"/>
      <c r="C3702" s="548"/>
      <c r="D3702" s="550"/>
      <c r="E3702" s="550"/>
      <c r="F3702" s="550"/>
      <c r="G3702" s="550"/>
      <c r="H3702" s="551"/>
      <c r="I3702" s="550"/>
    </row>
    <row r="3703" spans="1:9" x14ac:dyDescent="0.2">
      <c r="A3703" s="549"/>
      <c r="C3703" s="548"/>
      <c r="D3703" s="550"/>
      <c r="E3703" s="550"/>
      <c r="F3703" s="550"/>
      <c r="G3703" s="550"/>
      <c r="H3703" s="551"/>
      <c r="I3703" s="550"/>
    </row>
    <row r="3704" spans="1:9" x14ac:dyDescent="0.2">
      <c r="A3704" s="549"/>
      <c r="C3704" s="548"/>
      <c r="D3704" s="550"/>
      <c r="E3704" s="550"/>
      <c r="F3704" s="550"/>
      <c r="G3704" s="550"/>
      <c r="H3704" s="551"/>
      <c r="I3704" s="550"/>
    </row>
    <row r="3705" spans="1:9" x14ac:dyDescent="0.2">
      <c r="A3705" s="549"/>
      <c r="C3705" s="548"/>
      <c r="D3705" s="550"/>
      <c r="E3705" s="550"/>
      <c r="F3705" s="550"/>
      <c r="G3705" s="550"/>
      <c r="H3705" s="551"/>
      <c r="I3705" s="550"/>
    </row>
    <row r="3706" spans="1:9" x14ac:dyDescent="0.2">
      <c r="A3706" s="549"/>
      <c r="C3706" s="548"/>
      <c r="D3706" s="550"/>
      <c r="E3706" s="550"/>
      <c r="F3706" s="550"/>
      <c r="G3706" s="550"/>
      <c r="H3706" s="551"/>
      <c r="I3706" s="550"/>
    </row>
    <row r="3707" spans="1:9" x14ac:dyDescent="0.2">
      <c r="A3707" s="549"/>
      <c r="C3707" s="548"/>
      <c r="D3707" s="550"/>
      <c r="E3707" s="550"/>
      <c r="F3707" s="550"/>
      <c r="G3707" s="550"/>
      <c r="H3707" s="551"/>
      <c r="I3707" s="550"/>
    </row>
    <row r="3708" spans="1:9" x14ac:dyDescent="0.2">
      <c r="A3708" s="549"/>
      <c r="C3708" s="548"/>
      <c r="D3708" s="550"/>
      <c r="E3708" s="550"/>
      <c r="F3708" s="550"/>
      <c r="G3708" s="550"/>
      <c r="H3708" s="551"/>
      <c r="I3708" s="550"/>
    </row>
    <row r="3709" spans="1:9" x14ac:dyDescent="0.2">
      <c r="A3709" s="549"/>
      <c r="C3709" s="548"/>
      <c r="D3709" s="550"/>
      <c r="E3709" s="550"/>
      <c r="F3709" s="550"/>
      <c r="G3709" s="550"/>
      <c r="H3709" s="551"/>
      <c r="I3709" s="550"/>
    </row>
    <row r="3710" spans="1:9" x14ac:dyDescent="0.2">
      <c r="A3710" s="549"/>
      <c r="C3710" s="548"/>
      <c r="D3710" s="550"/>
      <c r="E3710" s="550"/>
      <c r="F3710" s="550"/>
      <c r="G3710" s="550"/>
      <c r="H3710" s="551"/>
      <c r="I3710" s="550"/>
    </row>
    <row r="3711" spans="1:9" x14ac:dyDescent="0.2">
      <c r="A3711" s="549"/>
      <c r="C3711" s="548"/>
      <c r="D3711" s="550"/>
      <c r="E3711" s="550"/>
      <c r="F3711" s="550"/>
      <c r="G3711" s="550"/>
      <c r="H3711" s="551"/>
      <c r="I3711" s="550"/>
    </row>
    <row r="3712" spans="1:9" x14ac:dyDescent="0.2">
      <c r="A3712" s="549"/>
      <c r="C3712" s="548"/>
      <c r="D3712" s="550"/>
      <c r="E3712" s="550"/>
      <c r="F3712" s="550"/>
      <c r="G3712" s="550"/>
      <c r="H3712" s="551"/>
      <c r="I3712" s="550"/>
    </row>
    <row r="3713" spans="1:9" x14ac:dyDescent="0.2">
      <c r="A3713" s="549"/>
      <c r="C3713" s="548"/>
      <c r="D3713" s="550"/>
      <c r="E3713" s="550"/>
      <c r="F3713" s="550"/>
      <c r="G3713" s="550"/>
      <c r="H3713" s="551"/>
      <c r="I3713" s="550"/>
    </row>
    <row r="3714" spans="1:9" x14ac:dyDescent="0.2">
      <c r="A3714" s="549"/>
      <c r="C3714" s="548"/>
      <c r="D3714" s="550"/>
      <c r="E3714" s="550"/>
      <c r="F3714" s="550"/>
      <c r="G3714" s="550"/>
      <c r="H3714" s="551"/>
      <c r="I3714" s="550"/>
    </row>
    <row r="3715" spans="1:9" x14ac:dyDescent="0.2">
      <c r="A3715" s="549"/>
      <c r="C3715" s="548"/>
      <c r="D3715" s="550"/>
      <c r="E3715" s="550"/>
      <c r="F3715" s="550"/>
      <c r="G3715" s="550"/>
      <c r="H3715" s="551"/>
      <c r="I3715" s="550"/>
    </row>
    <row r="3716" spans="1:9" x14ac:dyDescent="0.2">
      <c r="A3716" s="549"/>
      <c r="C3716" s="548"/>
      <c r="D3716" s="550"/>
      <c r="E3716" s="550"/>
      <c r="F3716" s="550"/>
      <c r="G3716" s="550"/>
      <c r="H3716" s="551"/>
      <c r="I3716" s="550"/>
    </row>
    <row r="3717" spans="1:9" x14ac:dyDescent="0.2">
      <c r="A3717" s="549"/>
      <c r="C3717" s="548"/>
      <c r="D3717" s="550"/>
      <c r="E3717" s="550"/>
      <c r="F3717" s="550"/>
      <c r="G3717" s="550"/>
      <c r="H3717" s="551"/>
      <c r="I3717" s="550"/>
    </row>
    <row r="3718" spans="1:9" x14ac:dyDescent="0.2">
      <c r="A3718" s="549"/>
      <c r="C3718" s="548"/>
      <c r="D3718" s="550"/>
      <c r="E3718" s="550"/>
      <c r="F3718" s="550"/>
      <c r="G3718" s="550"/>
      <c r="H3718" s="551"/>
      <c r="I3718" s="550"/>
    </row>
    <row r="3719" spans="1:9" x14ac:dyDescent="0.2">
      <c r="A3719" s="549"/>
      <c r="C3719" s="548"/>
      <c r="D3719" s="550"/>
      <c r="E3719" s="550"/>
      <c r="F3719" s="550"/>
      <c r="G3719" s="550"/>
      <c r="H3719" s="551"/>
      <c r="I3719" s="550"/>
    </row>
    <row r="3720" spans="1:9" x14ac:dyDescent="0.2">
      <c r="A3720" s="549"/>
      <c r="C3720" s="548"/>
      <c r="D3720" s="550"/>
      <c r="E3720" s="550"/>
      <c r="F3720" s="550"/>
      <c r="G3720" s="550"/>
      <c r="H3720" s="551"/>
      <c r="I3720" s="550"/>
    </row>
    <row r="3721" spans="1:9" x14ac:dyDescent="0.2">
      <c r="A3721" s="549"/>
      <c r="C3721" s="548"/>
      <c r="D3721" s="550"/>
      <c r="E3721" s="550"/>
      <c r="F3721" s="550"/>
      <c r="G3721" s="550"/>
      <c r="H3721" s="551"/>
      <c r="I3721" s="550"/>
    </row>
    <row r="3722" spans="1:9" x14ac:dyDescent="0.2">
      <c r="A3722" s="549"/>
      <c r="C3722" s="548"/>
      <c r="D3722" s="550"/>
      <c r="E3722" s="550"/>
      <c r="F3722" s="550"/>
      <c r="G3722" s="550"/>
      <c r="H3722" s="551"/>
      <c r="I3722" s="550"/>
    </row>
    <row r="3723" spans="1:9" x14ac:dyDescent="0.2">
      <c r="A3723" s="549"/>
      <c r="C3723" s="548"/>
      <c r="D3723" s="550"/>
      <c r="E3723" s="550"/>
      <c r="F3723" s="550"/>
      <c r="G3723" s="550"/>
      <c r="H3723" s="551"/>
      <c r="I3723" s="550"/>
    </row>
    <row r="3724" spans="1:9" x14ac:dyDescent="0.2">
      <c r="A3724" s="549"/>
      <c r="C3724" s="548"/>
      <c r="D3724" s="550"/>
      <c r="E3724" s="550"/>
      <c r="F3724" s="550"/>
      <c r="G3724" s="550"/>
      <c r="H3724" s="551"/>
      <c r="I3724" s="550"/>
    </row>
    <row r="3725" spans="1:9" x14ac:dyDescent="0.2">
      <c r="A3725" s="549"/>
      <c r="C3725" s="548"/>
      <c r="D3725" s="550"/>
      <c r="E3725" s="550"/>
      <c r="F3725" s="550"/>
      <c r="G3725" s="550"/>
      <c r="H3725" s="551"/>
      <c r="I3725" s="550"/>
    </row>
    <row r="3726" spans="1:9" x14ac:dyDescent="0.2">
      <c r="A3726" s="549"/>
      <c r="C3726" s="548"/>
      <c r="D3726" s="550"/>
      <c r="E3726" s="550"/>
      <c r="F3726" s="550"/>
      <c r="G3726" s="550"/>
      <c r="H3726" s="551"/>
      <c r="I3726" s="550"/>
    </row>
    <row r="3727" spans="1:9" x14ac:dyDescent="0.2">
      <c r="A3727" s="549"/>
      <c r="C3727" s="548"/>
      <c r="D3727" s="550"/>
      <c r="E3727" s="550"/>
      <c r="F3727" s="550"/>
      <c r="G3727" s="550"/>
      <c r="H3727" s="551"/>
      <c r="I3727" s="550"/>
    </row>
    <row r="3728" spans="1:9" x14ac:dyDescent="0.2">
      <c r="A3728" s="549"/>
      <c r="C3728" s="548"/>
      <c r="H3728" s="164"/>
    </row>
    <row r="3729" spans="1:8" x14ac:dyDescent="0.2">
      <c r="A3729" s="549"/>
      <c r="C3729" s="548"/>
      <c r="H3729" s="164"/>
    </row>
    <row r="3730" spans="1:8" x14ac:dyDescent="0.2">
      <c r="A3730" s="549"/>
      <c r="C3730" s="548"/>
      <c r="H3730" s="164"/>
    </row>
    <row r="3731" spans="1:8" x14ac:dyDescent="0.2">
      <c r="A3731" s="549"/>
      <c r="C3731" s="548"/>
      <c r="H3731" s="164"/>
    </row>
    <row r="3732" spans="1:8" x14ac:dyDescent="0.2">
      <c r="A3732" s="549"/>
      <c r="C3732" s="548"/>
      <c r="H3732" s="164"/>
    </row>
    <row r="3733" spans="1:8" x14ac:dyDescent="0.2">
      <c r="A3733" s="549"/>
      <c r="C3733" s="548"/>
      <c r="H3733" s="164"/>
    </row>
    <row r="3734" spans="1:8" x14ac:dyDescent="0.2">
      <c r="A3734" s="549"/>
      <c r="C3734" s="548"/>
      <c r="H3734" s="164"/>
    </row>
    <row r="3735" spans="1:8" x14ac:dyDescent="0.2">
      <c r="A3735" s="549"/>
      <c r="C3735" s="548"/>
      <c r="H3735" s="164"/>
    </row>
    <row r="3736" spans="1:8" x14ac:dyDescent="0.2">
      <c r="A3736" s="549"/>
      <c r="C3736" s="548"/>
      <c r="H3736" s="164"/>
    </row>
    <row r="3737" spans="1:8" x14ac:dyDescent="0.2">
      <c r="A3737" s="549"/>
      <c r="C3737" s="548"/>
      <c r="H3737" s="164"/>
    </row>
    <row r="3738" spans="1:8" x14ac:dyDescent="0.2">
      <c r="A3738" s="549"/>
      <c r="C3738" s="548"/>
      <c r="H3738" s="164"/>
    </row>
    <row r="3739" spans="1:8" x14ac:dyDescent="0.2">
      <c r="A3739" s="549"/>
      <c r="C3739" s="548"/>
      <c r="H3739" s="164"/>
    </row>
    <row r="3740" spans="1:8" x14ac:dyDescent="0.2">
      <c r="A3740" s="549"/>
      <c r="C3740" s="548"/>
      <c r="H3740" s="164"/>
    </row>
    <row r="3741" spans="1:8" x14ac:dyDescent="0.2">
      <c r="A3741" s="549"/>
      <c r="C3741" s="548"/>
      <c r="H3741" s="164"/>
    </row>
    <row r="3742" spans="1:8" x14ac:dyDescent="0.2">
      <c r="A3742" s="549"/>
      <c r="C3742" s="548"/>
      <c r="H3742" s="164"/>
    </row>
    <row r="3743" spans="1:8" x14ac:dyDescent="0.2">
      <c r="A3743" s="549"/>
      <c r="C3743" s="548"/>
      <c r="H3743" s="164"/>
    </row>
    <row r="3744" spans="1:8" x14ac:dyDescent="0.2">
      <c r="A3744" s="549"/>
      <c r="C3744" s="548"/>
      <c r="H3744" s="164"/>
    </row>
    <row r="3745" spans="1:8" x14ac:dyDescent="0.2">
      <c r="A3745" s="549"/>
      <c r="C3745" s="548"/>
      <c r="H3745" s="164"/>
    </row>
    <row r="3746" spans="1:8" x14ac:dyDescent="0.2">
      <c r="A3746" s="549"/>
      <c r="C3746" s="548"/>
      <c r="H3746" s="164"/>
    </row>
    <row r="3747" spans="1:8" x14ac:dyDescent="0.2">
      <c r="A3747" s="549"/>
      <c r="C3747" s="548"/>
      <c r="H3747" s="164"/>
    </row>
    <row r="3748" spans="1:8" x14ac:dyDescent="0.2">
      <c r="A3748" s="549"/>
      <c r="C3748" s="548"/>
      <c r="H3748" s="164"/>
    </row>
    <row r="3749" spans="1:8" x14ac:dyDescent="0.2">
      <c r="A3749" s="549"/>
      <c r="C3749" s="548"/>
      <c r="H3749" s="164"/>
    </row>
    <row r="3750" spans="1:8" x14ac:dyDescent="0.2">
      <c r="A3750" s="549"/>
      <c r="C3750" s="548"/>
      <c r="H3750" s="164"/>
    </row>
    <row r="3751" spans="1:8" x14ac:dyDescent="0.2">
      <c r="A3751" s="549"/>
      <c r="C3751" s="548"/>
      <c r="H3751" s="164"/>
    </row>
    <row r="3752" spans="1:8" x14ac:dyDescent="0.2">
      <c r="A3752" s="549"/>
      <c r="C3752" s="548"/>
      <c r="H3752" s="164"/>
    </row>
    <row r="3753" spans="1:8" x14ac:dyDescent="0.2">
      <c r="A3753" s="549"/>
      <c r="C3753" s="548"/>
      <c r="H3753" s="164"/>
    </row>
    <row r="3754" spans="1:8" x14ac:dyDescent="0.2">
      <c r="A3754" s="549"/>
      <c r="C3754" s="548"/>
      <c r="H3754" s="164"/>
    </row>
    <row r="3755" spans="1:8" x14ac:dyDescent="0.2">
      <c r="A3755" s="549"/>
      <c r="C3755" s="548"/>
      <c r="H3755" s="164"/>
    </row>
    <row r="3756" spans="1:8" x14ac:dyDescent="0.2">
      <c r="A3756" s="549"/>
      <c r="C3756" s="548"/>
      <c r="H3756" s="164"/>
    </row>
    <row r="3757" spans="1:8" x14ac:dyDescent="0.2">
      <c r="A3757" s="549"/>
      <c r="C3757" s="548"/>
      <c r="H3757" s="164"/>
    </row>
    <row r="3758" spans="1:8" x14ac:dyDescent="0.2">
      <c r="A3758" s="549"/>
      <c r="C3758" s="548"/>
      <c r="H3758" s="164"/>
    </row>
    <row r="3759" spans="1:8" x14ac:dyDescent="0.2">
      <c r="A3759" s="549"/>
      <c r="C3759" s="548"/>
      <c r="H3759" s="164"/>
    </row>
    <row r="3760" spans="1:8" x14ac:dyDescent="0.2">
      <c r="A3760" s="549"/>
      <c r="C3760" s="548"/>
      <c r="H3760" s="164"/>
    </row>
    <row r="3761" spans="1:8" x14ac:dyDescent="0.2">
      <c r="A3761" s="549"/>
      <c r="C3761" s="548"/>
      <c r="H3761" s="164"/>
    </row>
    <row r="3762" spans="1:8" x14ac:dyDescent="0.2">
      <c r="A3762" s="549"/>
      <c r="C3762" s="548"/>
      <c r="H3762" s="164"/>
    </row>
    <row r="3763" spans="1:8" x14ac:dyDescent="0.2">
      <c r="A3763" s="549"/>
      <c r="C3763" s="548"/>
      <c r="H3763" s="164"/>
    </row>
    <row r="3764" spans="1:8" x14ac:dyDescent="0.2">
      <c r="A3764" s="549"/>
      <c r="C3764" s="548"/>
      <c r="H3764" s="164"/>
    </row>
    <row r="3765" spans="1:8" x14ac:dyDescent="0.2">
      <c r="A3765" s="549"/>
      <c r="C3765" s="548"/>
      <c r="H3765" s="164"/>
    </row>
    <row r="3766" spans="1:8" x14ac:dyDescent="0.2">
      <c r="A3766" s="549"/>
      <c r="C3766" s="548"/>
      <c r="H3766" s="164"/>
    </row>
    <row r="3767" spans="1:8" x14ac:dyDescent="0.2">
      <c r="A3767" s="549"/>
      <c r="C3767" s="548"/>
      <c r="H3767" s="164"/>
    </row>
    <row r="3768" spans="1:8" x14ac:dyDescent="0.2">
      <c r="A3768" s="549"/>
      <c r="C3768" s="548"/>
      <c r="H3768" s="164"/>
    </row>
    <row r="3769" spans="1:8" x14ac:dyDescent="0.2">
      <c r="A3769" s="549"/>
      <c r="C3769" s="548"/>
      <c r="H3769" s="164"/>
    </row>
    <row r="3770" spans="1:8" x14ac:dyDescent="0.2">
      <c r="A3770" s="549"/>
      <c r="C3770" s="548"/>
      <c r="H3770" s="164"/>
    </row>
    <row r="3771" spans="1:8" x14ac:dyDescent="0.2">
      <c r="A3771" s="549"/>
      <c r="C3771" s="548"/>
      <c r="H3771" s="164"/>
    </row>
    <row r="3772" spans="1:8" x14ac:dyDescent="0.2">
      <c r="A3772" s="549"/>
      <c r="C3772" s="548"/>
      <c r="H3772" s="164"/>
    </row>
    <row r="3773" spans="1:8" x14ac:dyDescent="0.2">
      <c r="A3773" s="549"/>
      <c r="C3773" s="548"/>
      <c r="H3773" s="164"/>
    </row>
    <row r="3774" spans="1:8" x14ac:dyDescent="0.2">
      <c r="A3774" s="549"/>
      <c r="C3774" s="548"/>
      <c r="H3774" s="164"/>
    </row>
    <row r="3775" spans="1:8" x14ac:dyDescent="0.2">
      <c r="A3775" s="549"/>
      <c r="C3775" s="548"/>
      <c r="H3775" s="164"/>
    </row>
    <row r="3776" spans="1:8" x14ac:dyDescent="0.2">
      <c r="A3776" s="549"/>
      <c r="C3776" s="548"/>
      <c r="H3776" s="164"/>
    </row>
    <row r="3777" spans="1:8" x14ac:dyDescent="0.2">
      <c r="A3777" s="549"/>
      <c r="C3777" s="548"/>
      <c r="H3777" s="164"/>
    </row>
    <row r="3778" spans="1:8" x14ac:dyDescent="0.2">
      <c r="A3778" s="549"/>
      <c r="C3778" s="548"/>
      <c r="H3778" s="164"/>
    </row>
    <row r="3779" spans="1:8" x14ac:dyDescent="0.2">
      <c r="A3779" s="549"/>
      <c r="C3779" s="548"/>
      <c r="H3779" s="164"/>
    </row>
    <row r="3780" spans="1:8" x14ac:dyDescent="0.2">
      <c r="A3780" s="549"/>
      <c r="C3780" s="548"/>
      <c r="H3780" s="164"/>
    </row>
    <row r="3781" spans="1:8" x14ac:dyDescent="0.2">
      <c r="A3781" s="549"/>
      <c r="C3781" s="548"/>
      <c r="H3781" s="164"/>
    </row>
    <row r="3782" spans="1:8" x14ac:dyDescent="0.2">
      <c r="A3782" s="549"/>
      <c r="C3782" s="548"/>
      <c r="H3782" s="164"/>
    </row>
    <row r="3783" spans="1:8" x14ac:dyDescent="0.2">
      <c r="A3783" s="549"/>
      <c r="C3783" s="548"/>
      <c r="H3783" s="164"/>
    </row>
    <row r="3784" spans="1:8" x14ac:dyDescent="0.2">
      <c r="A3784" s="549"/>
      <c r="C3784" s="548"/>
      <c r="H3784" s="164"/>
    </row>
    <row r="3785" spans="1:8" x14ac:dyDescent="0.2">
      <c r="A3785" s="549"/>
      <c r="C3785" s="548"/>
      <c r="H3785" s="164"/>
    </row>
    <row r="3786" spans="1:8" x14ac:dyDescent="0.2">
      <c r="A3786" s="549"/>
      <c r="C3786" s="548"/>
      <c r="H3786" s="164"/>
    </row>
    <row r="3787" spans="1:8" x14ac:dyDescent="0.2">
      <c r="A3787" s="549"/>
      <c r="C3787" s="548"/>
      <c r="H3787" s="164"/>
    </row>
    <row r="3788" spans="1:8" x14ac:dyDescent="0.2">
      <c r="A3788" s="549"/>
      <c r="C3788" s="548"/>
      <c r="H3788" s="164"/>
    </row>
    <row r="3789" spans="1:8" x14ac:dyDescent="0.2">
      <c r="A3789" s="549"/>
      <c r="C3789" s="548"/>
      <c r="H3789" s="164"/>
    </row>
    <row r="3790" spans="1:8" x14ac:dyDescent="0.2">
      <c r="A3790" s="549"/>
      <c r="C3790" s="548"/>
      <c r="H3790" s="164"/>
    </row>
    <row r="3791" spans="1:8" x14ac:dyDescent="0.2">
      <c r="A3791" s="549"/>
      <c r="C3791" s="548"/>
      <c r="H3791" s="164"/>
    </row>
    <row r="3792" spans="1:8" x14ac:dyDescent="0.2">
      <c r="A3792" s="549"/>
      <c r="C3792" s="548"/>
      <c r="H3792" s="164"/>
    </row>
    <row r="3793" spans="1:8" x14ac:dyDescent="0.2">
      <c r="A3793" s="549"/>
      <c r="C3793" s="548"/>
      <c r="H3793" s="164"/>
    </row>
    <row r="3794" spans="1:8" x14ac:dyDescent="0.2">
      <c r="A3794" s="549"/>
      <c r="C3794" s="548"/>
      <c r="H3794" s="164"/>
    </row>
    <row r="3795" spans="1:8" x14ac:dyDescent="0.2">
      <c r="A3795" s="549"/>
      <c r="C3795" s="548"/>
      <c r="H3795" s="164"/>
    </row>
    <row r="3796" spans="1:8" x14ac:dyDescent="0.2">
      <c r="A3796" s="549"/>
      <c r="C3796" s="548"/>
      <c r="H3796" s="164"/>
    </row>
    <row r="3797" spans="1:8" x14ac:dyDescent="0.2">
      <c r="A3797" s="549"/>
      <c r="C3797" s="548"/>
      <c r="H3797" s="164"/>
    </row>
    <row r="3798" spans="1:8" x14ac:dyDescent="0.2">
      <c r="A3798" s="549"/>
      <c r="C3798" s="548"/>
      <c r="H3798" s="164"/>
    </row>
    <row r="3799" spans="1:8" x14ac:dyDescent="0.2">
      <c r="A3799" s="549"/>
      <c r="C3799" s="548"/>
      <c r="H3799" s="164"/>
    </row>
    <row r="3800" spans="1:8" x14ac:dyDescent="0.2">
      <c r="A3800" s="549"/>
      <c r="C3800" s="548"/>
      <c r="H3800" s="164"/>
    </row>
    <row r="3801" spans="1:8" x14ac:dyDescent="0.2">
      <c r="A3801" s="549"/>
      <c r="C3801" s="548"/>
      <c r="H3801" s="164"/>
    </row>
    <row r="3802" spans="1:8" x14ac:dyDescent="0.2">
      <c r="A3802" s="549"/>
      <c r="C3802" s="548"/>
      <c r="H3802" s="164"/>
    </row>
    <row r="3803" spans="1:8" x14ac:dyDescent="0.2">
      <c r="A3803" s="549"/>
      <c r="C3803" s="548"/>
      <c r="H3803" s="164"/>
    </row>
    <row r="3804" spans="1:8" x14ac:dyDescent="0.2">
      <c r="A3804" s="549"/>
      <c r="C3804" s="548"/>
      <c r="H3804" s="164"/>
    </row>
    <row r="3805" spans="1:8" x14ac:dyDescent="0.2">
      <c r="A3805" s="549"/>
      <c r="C3805" s="548"/>
      <c r="H3805" s="164"/>
    </row>
    <row r="3806" spans="1:8" x14ac:dyDescent="0.2">
      <c r="A3806" s="549"/>
      <c r="C3806" s="548"/>
      <c r="H3806" s="164"/>
    </row>
    <row r="3807" spans="1:8" x14ac:dyDescent="0.2">
      <c r="A3807" s="549"/>
      <c r="C3807" s="548"/>
      <c r="H3807" s="164"/>
    </row>
    <row r="3808" spans="1:8" x14ac:dyDescent="0.2">
      <c r="A3808" s="549"/>
      <c r="C3808" s="548"/>
      <c r="H3808" s="164"/>
    </row>
    <row r="3809" spans="1:8" x14ac:dyDescent="0.2">
      <c r="A3809" s="549"/>
      <c r="C3809" s="548"/>
      <c r="H3809" s="164"/>
    </row>
    <row r="3810" spans="1:8" x14ac:dyDescent="0.2">
      <c r="A3810" s="549"/>
      <c r="C3810" s="548"/>
      <c r="H3810" s="164"/>
    </row>
    <row r="3811" spans="1:8" x14ac:dyDescent="0.2">
      <c r="A3811" s="549"/>
      <c r="C3811" s="548"/>
      <c r="H3811" s="164"/>
    </row>
    <row r="3812" spans="1:8" x14ac:dyDescent="0.2">
      <c r="A3812" s="549"/>
      <c r="C3812" s="548"/>
      <c r="H3812" s="164"/>
    </row>
    <row r="3813" spans="1:8" x14ac:dyDescent="0.2">
      <c r="A3813" s="549"/>
      <c r="C3813" s="548"/>
      <c r="H3813" s="164"/>
    </row>
    <row r="3814" spans="1:8" x14ac:dyDescent="0.2">
      <c r="A3814" s="549"/>
      <c r="C3814" s="548"/>
      <c r="H3814" s="164"/>
    </row>
    <row r="3815" spans="1:8" x14ac:dyDescent="0.2">
      <c r="A3815" s="549"/>
      <c r="C3815" s="548"/>
      <c r="H3815" s="164"/>
    </row>
    <row r="3816" spans="1:8" x14ac:dyDescent="0.2">
      <c r="A3816" s="549"/>
      <c r="C3816" s="548"/>
      <c r="H3816" s="164"/>
    </row>
    <row r="3817" spans="1:8" x14ac:dyDescent="0.2">
      <c r="A3817" s="549"/>
      <c r="C3817" s="548"/>
      <c r="H3817" s="164"/>
    </row>
    <row r="3818" spans="1:8" x14ac:dyDescent="0.2">
      <c r="A3818" s="549"/>
      <c r="C3818" s="548"/>
      <c r="H3818" s="164"/>
    </row>
    <row r="3819" spans="1:8" x14ac:dyDescent="0.2">
      <c r="A3819" s="549"/>
      <c r="C3819" s="548"/>
      <c r="H3819" s="164"/>
    </row>
    <row r="3820" spans="1:8" x14ac:dyDescent="0.2">
      <c r="A3820" s="549"/>
      <c r="C3820" s="548"/>
      <c r="H3820" s="164"/>
    </row>
    <row r="3821" spans="1:8" x14ac:dyDescent="0.2">
      <c r="A3821" s="549"/>
      <c r="C3821" s="548"/>
      <c r="H3821" s="164"/>
    </row>
    <row r="3822" spans="1:8" x14ac:dyDescent="0.2">
      <c r="A3822" s="549"/>
      <c r="C3822" s="548"/>
      <c r="H3822" s="164"/>
    </row>
    <row r="3823" spans="1:8" x14ac:dyDescent="0.2">
      <c r="A3823" s="549"/>
      <c r="C3823" s="548"/>
      <c r="H3823" s="164"/>
    </row>
    <row r="3824" spans="1:8" x14ac:dyDescent="0.2">
      <c r="A3824" s="549"/>
      <c r="C3824" s="548"/>
      <c r="H3824" s="164"/>
    </row>
    <row r="3825" spans="1:8" x14ac:dyDescent="0.2">
      <c r="A3825" s="549"/>
      <c r="C3825" s="548"/>
      <c r="H3825" s="164"/>
    </row>
    <row r="3826" spans="1:8" x14ac:dyDescent="0.2">
      <c r="A3826" s="549"/>
      <c r="C3826" s="548"/>
      <c r="H3826" s="164"/>
    </row>
    <row r="3827" spans="1:8" x14ac:dyDescent="0.2">
      <c r="A3827" s="549"/>
      <c r="C3827" s="548"/>
      <c r="H3827" s="164"/>
    </row>
    <row r="3828" spans="1:8" x14ac:dyDescent="0.2">
      <c r="A3828" s="549"/>
      <c r="C3828" s="548"/>
      <c r="H3828" s="164"/>
    </row>
    <row r="3829" spans="1:8" x14ac:dyDescent="0.2">
      <c r="A3829" s="549"/>
      <c r="C3829" s="548"/>
      <c r="H3829" s="164"/>
    </row>
    <row r="3830" spans="1:8" x14ac:dyDescent="0.2">
      <c r="A3830" s="549"/>
      <c r="C3830" s="548"/>
      <c r="H3830" s="164"/>
    </row>
    <row r="3831" spans="1:8" x14ac:dyDescent="0.2">
      <c r="A3831" s="549"/>
      <c r="C3831" s="548"/>
      <c r="H3831" s="164"/>
    </row>
    <row r="3832" spans="1:8" x14ac:dyDescent="0.2">
      <c r="A3832" s="549"/>
      <c r="C3832" s="548"/>
      <c r="H3832" s="164"/>
    </row>
    <row r="3833" spans="1:8" x14ac:dyDescent="0.2">
      <c r="A3833" s="549"/>
      <c r="C3833" s="548"/>
      <c r="H3833" s="164"/>
    </row>
    <row r="3834" spans="1:8" x14ac:dyDescent="0.2">
      <c r="A3834" s="549"/>
      <c r="C3834" s="548"/>
      <c r="H3834" s="164"/>
    </row>
    <row r="3835" spans="1:8" x14ac:dyDescent="0.2">
      <c r="A3835" s="549"/>
      <c r="C3835" s="548"/>
      <c r="H3835" s="164"/>
    </row>
    <row r="3836" spans="1:8" x14ac:dyDescent="0.2">
      <c r="A3836" s="549"/>
      <c r="C3836" s="548"/>
      <c r="H3836" s="164"/>
    </row>
    <row r="3837" spans="1:8" x14ac:dyDescent="0.2">
      <c r="A3837" s="549"/>
      <c r="C3837" s="548"/>
      <c r="H3837" s="164"/>
    </row>
    <row r="3838" spans="1:8" x14ac:dyDescent="0.2">
      <c r="A3838" s="549"/>
      <c r="C3838" s="548"/>
      <c r="H3838" s="164"/>
    </row>
    <row r="3839" spans="1:8" x14ac:dyDescent="0.2">
      <c r="A3839" s="549"/>
      <c r="C3839" s="548"/>
      <c r="H3839" s="164"/>
    </row>
    <row r="3840" spans="1:8" x14ac:dyDescent="0.2">
      <c r="A3840" s="549"/>
      <c r="C3840" s="548"/>
      <c r="H3840" s="164"/>
    </row>
    <row r="3841" spans="1:8" x14ac:dyDescent="0.2">
      <c r="A3841" s="549"/>
      <c r="C3841" s="548"/>
      <c r="H3841" s="164"/>
    </row>
    <row r="3842" spans="1:8" x14ac:dyDescent="0.2">
      <c r="A3842" s="549"/>
      <c r="C3842" s="548"/>
      <c r="H3842" s="164"/>
    </row>
    <row r="3843" spans="1:8" x14ac:dyDescent="0.2">
      <c r="A3843" s="549"/>
      <c r="C3843" s="548"/>
      <c r="H3843" s="164"/>
    </row>
    <row r="3844" spans="1:8" x14ac:dyDescent="0.2">
      <c r="A3844" s="549"/>
      <c r="C3844" s="548"/>
      <c r="H3844" s="164"/>
    </row>
    <row r="3845" spans="1:8" x14ac:dyDescent="0.2">
      <c r="A3845" s="549"/>
      <c r="C3845" s="548"/>
      <c r="H3845" s="164"/>
    </row>
    <row r="3846" spans="1:8" x14ac:dyDescent="0.2">
      <c r="A3846" s="549"/>
      <c r="C3846" s="548"/>
      <c r="H3846" s="164"/>
    </row>
    <row r="3847" spans="1:8" x14ac:dyDescent="0.2">
      <c r="A3847" s="549"/>
      <c r="C3847" s="548"/>
      <c r="H3847" s="164"/>
    </row>
    <row r="3848" spans="1:8" x14ac:dyDescent="0.2">
      <c r="A3848" s="549"/>
      <c r="C3848" s="548"/>
      <c r="H3848" s="164"/>
    </row>
    <row r="3849" spans="1:8" x14ac:dyDescent="0.2">
      <c r="A3849" s="549"/>
      <c r="C3849" s="548"/>
      <c r="H3849" s="164"/>
    </row>
    <row r="3850" spans="1:8" x14ac:dyDescent="0.2">
      <c r="A3850" s="549"/>
      <c r="C3850" s="548"/>
      <c r="H3850" s="164"/>
    </row>
    <row r="3851" spans="1:8" x14ac:dyDescent="0.2">
      <c r="A3851" s="549"/>
      <c r="C3851" s="548"/>
      <c r="H3851" s="164"/>
    </row>
    <row r="3852" spans="1:8" x14ac:dyDescent="0.2">
      <c r="A3852" s="549"/>
      <c r="C3852" s="548"/>
      <c r="H3852" s="164"/>
    </row>
    <row r="3853" spans="1:8" x14ac:dyDescent="0.2">
      <c r="A3853" s="549"/>
      <c r="C3853" s="548"/>
      <c r="H3853" s="164"/>
    </row>
    <row r="3854" spans="1:8" x14ac:dyDescent="0.2">
      <c r="A3854" s="549"/>
      <c r="C3854" s="548"/>
      <c r="H3854" s="164"/>
    </row>
    <row r="3855" spans="1:8" x14ac:dyDescent="0.2">
      <c r="A3855" s="549"/>
      <c r="C3855" s="548"/>
      <c r="H3855" s="164"/>
    </row>
    <row r="3856" spans="1:8" x14ac:dyDescent="0.2">
      <c r="A3856" s="549"/>
      <c r="C3856" s="548"/>
      <c r="H3856" s="164"/>
    </row>
    <row r="3857" spans="1:8" x14ac:dyDescent="0.2">
      <c r="A3857" s="549"/>
      <c r="C3857" s="548"/>
      <c r="H3857" s="164"/>
    </row>
    <row r="3858" spans="1:8" x14ac:dyDescent="0.2">
      <c r="A3858" s="549"/>
      <c r="C3858" s="548"/>
      <c r="H3858" s="164"/>
    </row>
    <row r="3859" spans="1:8" x14ac:dyDescent="0.2">
      <c r="A3859" s="549"/>
      <c r="C3859" s="548"/>
      <c r="H3859" s="164"/>
    </row>
    <row r="3860" spans="1:8" x14ac:dyDescent="0.2">
      <c r="A3860" s="549"/>
      <c r="C3860" s="548"/>
      <c r="H3860" s="164"/>
    </row>
    <row r="3861" spans="1:8" x14ac:dyDescent="0.2">
      <c r="A3861" s="549"/>
      <c r="C3861" s="548"/>
      <c r="H3861" s="164"/>
    </row>
    <row r="3862" spans="1:8" x14ac:dyDescent="0.2">
      <c r="A3862" s="549"/>
      <c r="C3862" s="548"/>
      <c r="H3862" s="164"/>
    </row>
    <row r="3863" spans="1:8" x14ac:dyDescent="0.2">
      <c r="A3863" s="549"/>
      <c r="C3863" s="548"/>
      <c r="H3863" s="164"/>
    </row>
    <row r="3864" spans="1:8" x14ac:dyDescent="0.2">
      <c r="A3864" s="549"/>
      <c r="C3864" s="548"/>
      <c r="H3864" s="164"/>
    </row>
    <row r="3865" spans="1:8" x14ac:dyDescent="0.2">
      <c r="A3865" s="549"/>
      <c r="C3865" s="548"/>
      <c r="H3865" s="164"/>
    </row>
    <row r="3866" spans="1:8" x14ac:dyDescent="0.2">
      <c r="A3866" s="549"/>
      <c r="C3866" s="548"/>
      <c r="H3866" s="164"/>
    </row>
    <row r="3867" spans="1:8" x14ac:dyDescent="0.2">
      <c r="A3867" s="549"/>
      <c r="C3867" s="548"/>
      <c r="H3867" s="164"/>
    </row>
    <row r="3868" spans="1:8" x14ac:dyDescent="0.2">
      <c r="A3868" s="549"/>
      <c r="C3868" s="548"/>
      <c r="H3868" s="164"/>
    </row>
    <row r="3869" spans="1:8" x14ac:dyDescent="0.2">
      <c r="A3869" s="549"/>
      <c r="C3869" s="548"/>
      <c r="H3869" s="164"/>
    </row>
    <row r="3870" spans="1:8" x14ac:dyDescent="0.2">
      <c r="A3870" s="549"/>
      <c r="C3870" s="548"/>
      <c r="H3870" s="164"/>
    </row>
    <row r="3871" spans="1:8" x14ac:dyDescent="0.2">
      <c r="A3871" s="549"/>
      <c r="C3871" s="548"/>
      <c r="H3871" s="164"/>
    </row>
    <row r="3872" spans="1:8" x14ac:dyDescent="0.2">
      <c r="A3872" s="549"/>
      <c r="C3872" s="548"/>
      <c r="H3872" s="164"/>
    </row>
    <row r="3873" spans="1:8" x14ac:dyDescent="0.2">
      <c r="A3873" s="549"/>
      <c r="C3873" s="548"/>
      <c r="H3873" s="164"/>
    </row>
    <row r="3874" spans="1:8" x14ac:dyDescent="0.2">
      <c r="A3874" s="549"/>
      <c r="C3874" s="548"/>
      <c r="H3874" s="164"/>
    </row>
    <row r="3875" spans="1:8" x14ac:dyDescent="0.2">
      <c r="A3875" s="549"/>
      <c r="C3875" s="548"/>
      <c r="H3875" s="164"/>
    </row>
    <row r="3876" spans="1:8" x14ac:dyDescent="0.2">
      <c r="A3876" s="549"/>
      <c r="C3876" s="548"/>
      <c r="H3876" s="164"/>
    </row>
    <row r="3877" spans="1:8" x14ac:dyDescent="0.2">
      <c r="A3877" s="549"/>
      <c r="C3877" s="548"/>
      <c r="H3877" s="164"/>
    </row>
    <row r="3878" spans="1:8" x14ac:dyDescent="0.2">
      <c r="A3878" s="549"/>
      <c r="C3878" s="548"/>
      <c r="H3878" s="164"/>
    </row>
    <row r="3879" spans="1:8" x14ac:dyDescent="0.2">
      <c r="A3879" s="549"/>
      <c r="C3879" s="548"/>
      <c r="H3879" s="164"/>
    </row>
    <row r="3880" spans="1:8" x14ac:dyDescent="0.2">
      <c r="A3880" s="549"/>
      <c r="C3880" s="548"/>
      <c r="H3880" s="164"/>
    </row>
    <row r="3881" spans="1:8" x14ac:dyDescent="0.2">
      <c r="A3881" s="549"/>
      <c r="C3881" s="548"/>
      <c r="H3881" s="164"/>
    </row>
    <row r="3882" spans="1:8" x14ac:dyDescent="0.2">
      <c r="A3882" s="549"/>
      <c r="C3882" s="548"/>
      <c r="H3882" s="164"/>
    </row>
    <row r="3883" spans="1:8" x14ac:dyDescent="0.2">
      <c r="A3883" s="549"/>
      <c r="C3883" s="548"/>
      <c r="H3883" s="164"/>
    </row>
    <row r="3884" spans="1:8" x14ac:dyDescent="0.2">
      <c r="A3884" s="549"/>
      <c r="C3884" s="548"/>
      <c r="H3884" s="164"/>
    </row>
    <row r="3885" spans="1:8" x14ac:dyDescent="0.2">
      <c r="A3885" s="549"/>
      <c r="C3885" s="548"/>
      <c r="H3885" s="164"/>
    </row>
    <row r="3886" spans="1:8" x14ac:dyDescent="0.2">
      <c r="A3886" s="549"/>
      <c r="C3886" s="548"/>
      <c r="H3886" s="164"/>
    </row>
    <row r="3887" spans="1:8" x14ac:dyDescent="0.2">
      <c r="A3887" s="549"/>
      <c r="C3887" s="548"/>
      <c r="H3887" s="164"/>
    </row>
    <row r="3888" spans="1:8" x14ac:dyDescent="0.2">
      <c r="A3888" s="549"/>
      <c r="C3888" s="548"/>
      <c r="H3888" s="164"/>
    </row>
    <row r="3889" spans="1:8" x14ac:dyDescent="0.2">
      <c r="A3889" s="549"/>
      <c r="C3889" s="548"/>
      <c r="H3889" s="164"/>
    </row>
    <row r="3890" spans="1:8" x14ac:dyDescent="0.2">
      <c r="A3890" s="549"/>
      <c r="C3890" s="548"/>
      <c r="H3890" s="164"/>
    </row>
    <row r="3891" spans="1:8" x14ac:dyDescent="0.2">
      <c r="A3891" s="549"/>
      <c r="C3891" s="548"/>
      <c r="H3891" s="164"/>
    </row>
    <row r="3892" spans="1:8" x14ac:dyDescent="0.2">
      <c r="A3892" s="549"/>
      <c r="C3892" s="548"/>
      <c r="H3892" s="164"/>
    </row>
    <row r="3893" spans="1:8" x14ac:dyDescent="0.2">
      <c r="A3893" s="549"/>
      <c r="C3893" s="548"/>
      <c r="H3893" s="164"/>
    </row>
    <row r="3894" spans="1:8" x14ac:dyDescent="0.2">
      <c r="A3894" s="549"/>
      <c r="C3894" s="548"/>
      <c r="H3894" s="164"/>
    </row>
    <row r="3895" spans="1:8" x14ac:dyDescent="0.2">
      <c r="A3895" s="549"/>
      <c r="C3895" s="548"/>
      <c r="H3895" s="164"/>
    </row>
    <row r="3896" spans="1:8" x14ac:dyDescent="0.2">
      <c r="A3896" s="549"/>
      <c r="C3896" s="548"/>
      <c r="H3896" s="164"/>
    </row>
    <row r="3897" spans="1:8" x14ac:dyDescent="0.2">
      <c r="A3897" s="549"/>
      <c r="C3897" s="548"/>
      <c r="H3897" s="164"/>
    </row>
    <row r="3898" spans="1:8" x14ac:dyDescent="0.2">
      <c r="A3898" s="549"/>
      <c r="C3898" s="548"/>
      <c r="H3898" s="164"/>
    </row>
    <row r="3899" spans="1:8" x14ac:dyDescent="0.2">
      <c r="A3899" s="549"/>
      <c r="C3899" s="548"/>
      <c r="H3899" s="164"/>
    </row>
    <row r="3900" spans="1:8" x14ac:dyDescent="0.2">
      <c r="A3900" s="549"/>
      <c r="C3900" s="548"/>
      <c r="H3900" s="164"/>
    </row>
    <row r="3901" spans="1:8" x14ac:dyDescent="0.2">
      <c r="A3901" s="549"/>
      <c r="C3901" s="548"/>
      <c r="H3901" s="164"/>
    </row>
    <row r="3902" spans="1:8" x14ac:dyDescent="0.2">
      <c r="A3902" s="549"/>
      <c r="C3902" s="548"/>
      <c r="H3902" s="164"/>
    </row>
    <row r="3903" spans="1:8" x14ac:dyDescent="0.2">
      <c r="A3903" s="549"/>
      <c r="C3903" s="548"/>
      <c r="H3903" s="164"/>
    </row>
    <row r="3904" spans="1:8" x14ac:dyDescent="0.2">
      <c r="A3904" s="549"/>
      <c r="C3904" s="548"/>
      <c r="H3904" s="164"/>
    </row>
    <row r="3905" spans="1:8" x14ac:dyDescent="0.2">
      <c r="A3905" s="549"/>
      <c r="C3905" s="548"/>
      <c r="H3905" s="164"/>
    </row>
    <row r="3906" spans="1:8" x14ac:dyDescent="0.2">
      <c r="A3906" s="549"/>
      <c r="C3906" s="548"/>
      <c r="H3906" s="164"/>
    </row>
    <row r="3907" spans="1:8" x14ac:dyDescent="0.2">
      <c r="A3907" s="549"/>
      <c r="C3907" s="548"/>
      <c r="H3907" s="164"/>
    </row>
    <row r="3908" spans="1:8" x14ac:dyDescent="0.2">
      <c r="A3908" s="549"/>
      <c r="C3908" s="548"/>
      <c r="H3908" s="164"/>
    </row>
    <row r="3909" spans="1:8" x14ac:dyDescent="0.2">
      <c r="A3909" s="549"/>
      <c r="C3909" s="548"/>
      <c r="H3909" s="164"/>
    </row>
    <row r="3910" spans="1:8" x14ac:dyDescent="0.2">
      <c r="A3910" s="549"/>
      <c r="C3910" s="548"/>
      <c r="H3910" s="164"/>
    </row>
    <row r="3911" spans="1:8" x14ac:dyDescent="0.2">
      <c r="A3911" s="549"/>
      <c r="C3911" s="548"/>
      <c r="H3911" s="164"/>
    </row>
    <row r="3912" spans="1:8" x14ac:dyDescent="0.2">
      <c r="A3912" s="549"/>
      <c r="C3912" s="548"/>
      <c r="H3912" s="164"/>
    </row>
    <row r="3913" spans="1:8" x14ac:dyDescent="0.2">
      <c r="A3913" s="549"/>
      <c r="C3913" s="548"/>
      <c r="H3913" s="164"/>
    </row>
    <row r="3914" spans="1:8" x14ac:dyDescent="0.2">
      <c r="A3914" s="549"/>
      <c r="C3914" s="548"/>
      <c r="H3914" s="164"/>
    </row>
    <row r="3915" spans="1:8" x14ac:dyDescent="0.2">
      <c r="A3915" s="549"/>
      <c r="C3915" s="548"/>
      <c r="H3915" s="164"/>
    </row>
    <row r="3916" spans="1:8" x14ac:dyDescent="0.2">
      <c r="A3916" s="549"/>
      <c r="C3916" s="548"/>
      <c r="H3916" s="164"/>
    </row>
    <row r="3917" spans="1:8" x14ac:dyDescent="0.2">
      <c r="A3917" s="549"/>
      <c r="C3917" s="548"/>
      <c r="H3917" s="164"/>
    </row>
    <row r="3918" spans="1:8" x14ac:dyDescent="0.2">
      <c r="A3918" s="549"/>
      <c r="C3918" s="548"/>
      <c r="H3918" s="164"/>
    </row>
    <row r="3919" spans="1:8" x14ac:dyDescent="0.2">
      <c r="A3919" s="549"/>
      <c r="C3919" s="548"/>
      <c r="H3919" s="164"/>
    </row>
    <row r="3920" spans="1:8" x14ac:dyDescent="0.2">
      <c r="A3920" s="549"/>
      <c r="C3920" s="548"/>
      <c r="H3920" s="164"/>
    </row>
    <row r="3921" spans="1:8" x14ac:dyDescent="0.2">
      <c r="A3921" s="549"/>
      <c r="C3921" s="548"/>
      <c r="H3921" s="164"/>
    </row>
    <row r="3922" spans="1:8" x14ac:dyDescent="0.2">
      <c r="A3922" s="549"/>
      <c r="C3922" s="548"/>
      <c r="H3922" s="164"/>
    </row>
    <row r="3923" spans="1:8" x14ac:dyDescent="0.2">
      <c r="A3923" s="549"/>
      <c r="C3923" s="548"/>
      <c r="H3923" s="164"/>
    </row>
    <row r="3924" spans="1:8" x14ac:dyDescent="0.2">
      <c r="A3924" s="549"/>
      <c r="C3924" s="548"/>
      <c r="H3924" s="164"/>
    </row>
    <row r="3925" spans="1:8" x14ac:dyDescent="0.2">
      <c r="A3925" s="549"/>
      <c r="C3925" s="548"/>
      <c r="H3925" s="164"/>
    </row>
    <row r="3926" spans="1:8" x14ac:dyDescent="0.2">
      <c r="A3926" s="549"/>
      <c r="C3926" s="548"/>
      <c r="H3926" s="164"/>
    </row>
    <row r="3927" spans="1:8" x14ac:dyDescent="0.2">
      <c r="A3927" s="549"/>
      <c r="C3927" s="548"/>
      <c r="H3927" s="164"/>
    </row>
    <row r="3928" spans="1:8" x14ac:dyDescent="0.2">
      <c r="A3928" s="549"/>
      <c r="C3928" s="548"/>
      <c r="H3928" s="164"/>
    </row>
    <row r="3929" spans="1:8" x14ac:dyDescent="0.2">
      <c r="A3929" s="549"/>
      <c r="C3929" s="548"/>
      <c r="H3929" s="164"/>
    </row>
    <row r="3930" spans="1:8" x14ac:dyDescent="0.2">
      <c r="A3930" s="549"/>
      <c r="C3930" s="548"/>
      <c r="H3930" s="164"/>
    </row>
    <row r="3931" spans="1:8" x14ac:dyDescent="0.2">
      <c r="A3931" s="549"/>
      <c r="C3931" s="548"/>
      <c r="H3931" s="164"/>
    </row>
    <row r="3932" spans="1:8" x14ac:dyDescent="0.2">
      <c r="A3932" s="549"/>
      <c r="C3932" s="548"/>
      <c r="H3932" s="164"/>
    </row>
    <row r="3933" spans="1:8" x14ac:dyDescent="0.2">
      <c r="A3933" s="549"/>
      <c r="C3933" s="548"/>
      <c r="H3933" s="164"/>
    </row>
    <row r="3934" spans="1:8" x14ac:dyDescent="0.2">
      <c r="A3934" s="549"/>
      <c r="C3934" s="548"/>
      <c r="H3934" s="164"/>
    </row>
    <row r="3935" spans="1:8" x14ac:dyDescent="0.2">
      <c r="A3935" s="549"/>
      <c r="C3935" s="548"/>
      <c r="H3935" s="164"/>
    </row>
    <row r="3936" spans="1:8" x14ac:dyDescent="0.2">
      <c r="A3936" s="549"/>
      <c r="C3936" s="548"/>
      <c r="H3936" s="164"/>
    </row>
    <row r="3937" spans="1:8" x14ac:dyDescent="0.2">
      <c r="A3937" s="549"/>
      <c r="C3937" s="548"/>
      <c r="H3937" s="164"/>
    </row>
    <row r="3938" spans="1:8" x14ac:dyDescent="0.2">
      <c r="A3938" s="549"/>
      <c r="C3938" s="548"/>
      <c r="H3938" s="164"/>
    </row>
    <row r="3939" spans="1:8" x14ac:dyDescent="0.2">
      <c r="A3939" s="549"/>
      <c r="C3939" s="548"/>
      <c r="H3939" s="164"/>
    </row>
    <row r="3940" spans="1:8" x14ac:dyDescent="0.2">
      <c r="A3940" s="549"/>
      <c r="C3940" s="548"/>
      <c r="H3940" s="164"/>
    </row>
    <row r="3941" spans="1:8" x14ac:dyDescent="0.2">
      <c r="A3941" s="549"/>
      <c r="C3941" s="548"/>
      <c r="H3941" s="164"/>
    </row>
    <row r="3942" spans="1:8" x14ac:dyDescent="0.2">
      <c r="A3942" s="549"/>
      <c r="C3942" s="548"/>
      <c r="H3942" s="164"/>
    </row>
    <row r="3943" spans="1:8" x14ac:dyDescent="0.2">
      <c r="A3943" s="549"/>
      <c r="C3943" s="548"/>
      <c r="H3943" s="164"/>
    </row>
    <row r="3944" spans="1:8" x14ac:dyDescent="0.2">
      <c r="A3944" s="549"/>
      <c r="C3944" s="548"/>
      <c r="H3944" s="164"/>
    </row>
    <row r="3945" spans="1:8" x14ac:dyDescent="0.2">
      <c r="A3945" s="549"/>
      <c r="C3945" s="548"/>
      <c r="H3945" s="164"/>
    </row>
    <row r="3946" spans="1:8" x14ac:dyDescent="0.2">
      <c r="A3946" s="549"/>
      <c r="C3946" s="548"/>
      <c r="H3946" s="164"/>
    </row>
    <row r="3947" spans="1:8" x14ac:dyDescent="0.2">
      <c r="A3947" s="549"/>
      <c r="C3947" s="548"/>
      <c r="H3947" s="164"/>
    </row>
    <row r="3948" spans="1:8" x14ac:dyDescent="0.2">
      <c r="A3948" s="549"/>
      <c r="C3948" s="548"/>
      <c r="H3948" s="164"/>
    </row>
    <row r="3949" spans="1:8" x14ac:dyDescent="0.2">
      <c r="A3949" s="549"/>
      <c r="C3949" s="548"/>
      <c r="H3949" s="164"/>
    </row>
    <row r="3950" spans="1:8" x14ac:dyDescent="0.2">
      <c r="A3950" s="549"/>
      <c r="C3950" s="548"/>
      <c r="H3950" s="164"/>
    </row>
    <row r="3951" spans="1:8" x14ac:dyDescent="0.2">
      <c r="A3951" s="549"/>
      <c r="C3951" s="548"/>
      <c r="H3951" s="164"/>
    </row>
    <row r="3952" spans="1:8" x14ac:dyDescent="0.2">
      <c r="A3952" s="549"/>
      <c r="C3952" s="548"/>
      <c r="H3952" s="164"/>
    </row>
    <row r="3953" spans="1:8" x14ac:dyDescent="0.2">
      <c r="A3953" s="549"/>
      <c r="C3953" s="548"/>
      <c r="H3953" s="164"/>
    </row>
    <row r="3954" spans="1:8" x14ac:dyDescent="0.2">
      <c r="A3954" s="549"/>
      <c r="C3954" s="548"/>
      <c r="H3954" s="164"/>
    </row>
    <row r="3955" spans="1:8" x14ac:dyDescent="0.2">
      <c r="A3955" s="549"/>
      <c r="C3955" s="548"/>
      <c r="H3955" s="164"/>
    </row>
    <row r="3956" spans="1:8" x14ac:dyDescent="0.2">
      <c r="A3956" s="549"/>
      <c r="C3956" s="548"/>
      <c r="H3956" s="164"/>
    </row>
    <row r="3957" spans="1:8" x14ac:dyDescent="0.2">
      <c r="A3957" s="549"/>
      <c r="C3957" s="548"/>
      <c r="H3957" s="164"/>
    </row>
    <row r="3958" spans="1:8" x14ac:dyDescent="0.2">
      <c r="A3958" s="549"/>
      <c r="C3958" s="548"/>
      <c r="H3958" s="164"/>
    </row>
    <row r="3959" spans="1:8" x14ac:dyDescent="0.2">
      <c r="A3959" s="549"/>
      <c r="C3959" s="548"/>
      <c r="H3959" s="164"/>
    </row>
    <row r="3960" spans="1:8" x14ac:dyDescent="0.2">
      <c r="A3960" s="549"/>
      <c r="C3960" s="548"/>
      <c r="H3960" s="164"/>
    </row>
    <row r="3961" spans="1:8" x14ac:dyDescent="0.2">
      <c r="A3961" s="549"/>
      <c r="C3961" s="548"/>
      <c r="H3961" s="164"/>
    </row>
    <row r="3962" spans="1:8" x14ac:dyDescent="0.2">
      <c r="A3962" s="549"/>
      <c r="C3962" s="548"/>
      <c r="H3962" s="164"/>
    </row>
    <row r="3963" spans="1:8" x14ac:dyDescent="0.2">
      <c r="A3963" s="549"/>
      <c r="C3963" s="548"/>
      <c r="H3963" s="164"/>
    </row>
    <row r="3964" spans="1:8" x14ac:dyDescent="0.2">
      <c r="A3964" s="549"/>
      <c r="C3964" s="548"/>
      <c r="H3964" s="164"/>
    </row>
    <row r="3965" spans="1:8" x14ac:dyDescent="0.2">
      <c r="A3965" s="549"/>
      <c r="C3965" s="548"/>
      <c r="H3965" s="164"/>
    </row>
    <row r="3966" spans="1:8" x14ac:dyDescent="0.2">
      <c r="A3966" s="549"/>
      <c r="C3966" s="548"/>
      <c r="H3966" s="164"/>
    </row>
    <row r="3967" spans="1:8" x14ac:dyDescent="0.2">
      <c r="A3967" s="549"/>
      <c r="C3967" s="548"/>
      <c r="H3967" s="164"/>
    </row>
    <row r="3968" spans="1:8" x14ac:dyDescent="0.2">
      <c r="A3968" s="549"/>
      <c r="C3968" s="548"/>
      <c r="H3968" s="164"/>
    </row>
    <row r="3969" spans="1:8" x14ac:dyDescent="0.2">
      <c r="A3969" s="549"/>
      <c r="C3969" s="548"/>
      <c r="H3969" s="164"/>
    </row>
    <row r="3970" spans="1:8" x14ac:dyDescent="0.2">
      <c r="A3970" s="549"/>
      <c r="C3970" s="548"/>
      <c r="H3970" s="164"/>
    </row>
    <row r="3971" spans="1:8" x14ac:dyDescent="0.2">
      <c r="A3971" s="549"/>
      <c r="C3971" s="548"/>
      <c r="H3971" s="164"/>
    </row>
    <row r="3972" spans="1:8" x14ac:dyDescent="0.2">
      <c r="A3972" s="549"/>
      <c r="C3972" s="548"/>
      <c r="H3972" s="164"/>
    </row>
    <row r="3973" spans="1:8" x14ac:dyDescent="0.2">
      <c r="A3973" s="549"/>
      <c r="C3973" s="548"/>
      <c r="H3973" s="164"/>
    </row>
    <row r="3974" spans="1:8" x14ac:dyDescent="0.2">
      <c r="A3974" s="549"/>
      <c r="C3974" s="548"/>
      <c r="H3974" s="164"/>
    </row>
    <row r="3975" spans="1:8" x14ac:dyDescent="0.2">
      <c r="A3975" s="549"/>
      <c r="C3975" s="548"/>
      <c r="H3975" s="164"/>
    </row>
    <row r="3976" spans="1:8" x14ac:dyDescent="0.2">
      <c r="A3976" s="549"/>
      <c r="C3976" s="548"/>
      <c r="H3976" s="164"/>
    </row>
    <row r="3977" spans="1:8" x14ac:dyDescent="0.2">
      <c r="A3977" s="549"/>
      <c r="C3977" s="548"/>
      <c r="H3977" s="164"/>
    </row>
    <row r="3978" spans="1:8" x14ac:dyDescent="0.2">
      <c r="A3978" s="549"/>
      <c r="C3978" s="548"/>
      <c r="H3978" s="164"/>
    </row>
    <row r="3979" spans="1:8" x14ac:dyDescent="0.2">
      <c r="A3979" s="549"/>
      <c r="C3979" s="548"/>
      <c r="H3979" s="164"/>
    </row>
    <row r="3980" spans="1:8" x14ac:dyDescent="0.2">
      <c r="A3980" s="549"/>
      <c r="C3980" s="548"/>
      <c r="H3980" s="164"/>
    </row>
    <row r="3981" spans="1:8" x14ac:dyDescent="0.2">
      <c r="A3981" s="549"/>
      <c r="C3981" s="548"/>
      <c r="H3981" s="164"/>
    </row>
    <row r="3982" spans="1:8" x14ac:dyDescent="0.2">
      <c r="A3982" s="549"/>
      <c r="C3982" s="548"/>
      <c r="H3982" s="164"/>
    </row>
    <row r="3983" spans="1:8" x14ac:dyDescent="0.2">
      <c r="A3983" s="549"/>
      <c r="C3983" s="548"/>
      <c r="H3983" s="164"/>
    </row>
    <row r="3984" spans="1:8" x14ac:dyDescent="0.2">
      <c r="A3984" s="549"/>
      <c r="C3984" s="548"/>
      <c r="H3984" s="164"/>
    </row>
    <row r="3985" spans="1:8" x14ac:dyDescent="0.2">
      <c r="A3985" s="549"/>
      <c r="C3985" s="548"/>
      <c r="H3985" s="164"/>
    </row>
    <row r="3986" spans="1:8" x14ac:dyDescent="0.2">
      <c r="A3986" s="549"/>
      <c r="C3986" s="548"/>
      <c r="H3986" s="164"/>
    </row>
    <row r="3987" spans="1:8" x14ac:dyDescent="0.2">
      <c r="A3987" s="549"/>
      <c r="C3987" s="548"/>
      <c r="H3987" s="164"/>
    </row>
    <row r="3988" spans="1:8" x14ac:dyDescent="0.2">
      <c r="A3988" s="549"/>
      <c r="C3988" s="548"/>
      <c r="H3988" s="164"/>
    </row>
    <row r="3989" spans="1:8" x14ac:dyDescent="0.2">
      <c r="A3989" s="549"/>
      <c r="C3989" s="548"/>
      <c r="H3989" s="164"/>
    </row>
    <row r="3990" spans="1:8" x14ac:dyDescent="0.2">
      <c r="A3990" s="549"/>
      <c r="C3990" s="548"/>
      <c r="H3990" s="164"/>
    </row>
    <row r="3991" spans="1:8" x14ac:dyDescent="0.2">
      <c r="A3991" s="549"/>
      <c r="C3991" s="548"/>
      <c r="H3991" s="164"/>
    </row>
    <row r="3992" spans="1:8" x14ac:dyDescent="0.2">
      <c r="A3992" s="549"/>
      <c r="C3992" s="548"/>
      <c r="H3992" s="164"/>
    </row>
    <row r="3993" spans="1:8" x14ac:dyDescent="0.2">
      <c r="A3993" s="549"/>
      <c r="C3993" s="548"/>
      <c r="H3993" s="164"/>
    </row>
    <row r="3994" spans="1:8" x14ac:dyDescent="0.2">
      <c r="A3994" s="549"/>
      <c r="C3994" s="548"/>
      <c r="H3994" s="164"/>
    </row>
    <row r="3995" spans="1:8" x14ac:dyDescent="0.2">
      <c r="A3995" s="549"/>
      <c r="C3995" s="548"/>
      <c r="H3995" s="164"/>
    </row>
    <row r="3996" spans="1:8" x14ac:dyDescent="0.2">
      <c r="A3996" s="549"/>
      <c r="C3996" s="548"/>
      <c r="H3996" s="164"/>
    </row>
    <row r="3997" spans="1:8" x14ac:dyDescent="0.2">
      <c r="A3997" s="549"/>
      <c r="C3997" s="548"/>
      <c r="H3997" s="164"/>
    </row>
    <row r="3998" spans="1:8" x14ac:dyDescent="0.2">
      <c r="A3998" s="549"/>
      <c r="C3998" s="548"/>
      <c r="H3998" s="164"/>
    </row>
    <row r="3999" spans="1:8" x14ac:dyDescent="0.2">
      <c r="A3999" s="549"/>
      <c r="C3999" s="548"/>
      <c r="H3999" s="164"/>
    </row>
    <row r="4000" spans="1:8" x14ac:dyDescent="0.2">
      <c r="A4000" s="549"/>
      <c r="C4000" s="548"/>
      <c r="H4000" s="164"/>
    </row>
    <row r="4001" spans="1:8" x14ac:dyDescent="0.2">
      <c r="A4001" s="549"/>
      <c r="C4001" s="548"/>
      <c r="H4001" s="164"/>
    </row>
    <row r="4002" spans="1:8" x14ac:dyDescent="0.2">
      <c r="A4002" s="549"/>
      <c r="C4002" s="548"/>
      <c r="H4002" s="164"/>
    </row>
    <row r="4003" spans="1:8" x14ac:dyDescent="0.2">
      <c r="A4003" s="549"/>
      <c r="C4003" s="548"/>
      <c r="H4003" s="164"/>
    </row>
    <row r="4004" spans="1:8" x14ac:dyDescent="0.2">
      <c r="A4004" s="549"/>
      <c r="C4004" s="548"/>
      <c r="H4004" s="164"/>
    </row>
    <row r="4005" spans="1:8" x14ac:dyDescent="0.2">
      <c r="A4005" s="549"/>
      <c r="C4005" s="548"/>
      <c r="H4005" s="164"/>
    </row>
    <row r="4006" spans="1:8" x14ac:dyDescent="0.2">
      <c r="A4006" s="549"/>
      <c r="C4006" s="548"/>
      <c r="H4006" s="164"/>
    </row>
    <row r="4007" spans="1:8" x14ac:dyDescent="0.2">
      <c r="A4007" s="549"/>
      <c r="C4007" s="548"/>
      <c r="H4007" s="164"/>
    </row>
    <row r="4008" spans="1:8" x14ac:dyDescent="0.2">
      <c r="A4008" s="549"/>
      <c r="C4008" s="548"/>
      <c r="H4008" s="164"/>
    </row>
    <row r="4009" spans="1:8" x14ac:dyDescent="0.2">
      <c r="A4009" s="549"/>
      <c r="C4009" s="548"/>
      <c r="H4009" s="164"/>
    </row>
    <row r="4010" spans="1:8" x14ac:dyDescent="0.2">
      <c r="A4010" s="549"/>
      <c r="C4010" s="548"/>
      <c r="H4010" s="164"/>
    </row>
    <row r="4011" spans="1:8" x14ac:dyDescent="0.2">
      <c r="A4011" s="549"/>
      <c r="C4011" s="548"/>
      <c r="H4011" s="164"/>
    </row>
    <row r="4012" spans="1:8" x14ac:dyDescent="0.2">
      <c r="A4012" s="549"/>
      <c r="C4012" s="548"/>
      <c r="H4012" s="164"/>
    </row>
    <row r="4013" spans="1:8" x14ac:dyDescent="0.2">
      <c r="A4013" s="549"/>
      <c r="C4013" s="548"/>
      <c r="H4013" s="164"/>
    </row>
    <row r="4014" spans="1:8" x14ac:dyDescent="0.2">
      <c r="A4014" s="549"/>
      <c r="C4014" s="548"/>
      <c r="H4014" s="164"/>
    </row>
    <row r="4015" spans="1:8" x14ac:dyDescent="0.2">
      <c r="A4015" s="549"/>
      <c r="C4015" s="548"/>
      <c r="H4015" s="164"/>
    </row>
    <row r="4016" spans="1:8" x14ac:dyDescent="0.2">
      <c r="A4016" s="549"/>
      <c r="C4016" s="548"/>
      <c r="H4016" s="164"/>
    </row>
    <row r="4017" spans="1:8" x14ac:dyDescent="0.2">
      <c r="A4017" s="549"/>
      <c r="C4017" s="548"/>
      <c r="H4017" s="164"/>
    </row>
    <row r="4018" spans="1:8" x14ac:dyDescent="0.2">
      <c r="A4018" s="549"/>
      <c r="C4018" s="548"/>
      <c r="H4018" s="164"/>
    </row>
    <row r="4019" spans="1:8" x14ac:dyDescent="0.2">
      <c r="A4019" s="549"/>
      <c r="C4019" s="548"/>
      <c r="H4019" s="164"/>
    </row>
    <row r="4020" spans="1:8" x14ac:dyDescent="0.2">
      <c r="A4020" s="549"/>
      <c r="C4020" s="548"/>
      <c r="H4020" s="164"/>
    </row>
    <row r="4021" spans="1:8" x14ac:dyDescent="0.2">
      <c r="A4021" s="549"/>
      <c r="C4021" s="548"/>
      <c r="H4021" s="164"/>
    </row>
    <row r="4022" spans="1:8" x14ac:dyDescent="0.2">
      <c r="A4022" s="549"/>
      <c r="C4022" s="548"/>
      <c r="H4022" s="164"/>
    </row>
    <row r="4023" spans="1:8" x14ac:dyDescent="0.2">
      <c r="A4023" s="549"/>
      <c r="C4023" s="548"/>
      <c r="H4023" s="164"/>
    </row>
    <row r="4024" spans="1:8" x14ac:dyDescent="0.2">
      <c r="A4024" s="549"/>
      <c r="C4024" s="548"/>
      <c r="H4024" s="164"/>
    </row>
    <row r="4025" spans="1:8" x14ac:dyDescent="0.2">
      <c r="A4025" s="549"/>
      <c r="C4025" s="548"/>
      <c r="H4025" s="164"/>
    </row>
    <row r="4026" spans="1:8" x14ac:dyDescent="0.2">
      <c r="A4026" s="549"/>
      <c r="C4026" s="548"/>
      <c r="H4026" s="164"/>
    </row>
    <row r="4027" spans="1:8" x14ac:dyDescent="0.2">
      <c r="A4027" s="549"/>
      <c r="C4027" s="548"/>
      <c r="H4027" s="164"/>
    </row>
    <row r="4028" spans="1:8" x14ac:dyDescent="0.2">
      <c r="A4028" s="549"/>
      <c r="C4028" s="548"/>
      <c r="H4028" s="164"/>
    </row>
    <row r="4029" spans="1:8" x14ac:dyDescent="0.2">
      <c r="A4029" s="549"/>
      <c r="C4029" s="548"/>
      <c r="H4029" s="164"/>
    </row>
    <row r="4030" spans="1:8" x14ac:dyDescent="0.2">
      <c r="A4030" s="549"/>
      <c r="C4030" s="548"/>
      <c r="H4030" s="164"/>
    </row>
    <row r="4031" spans="1:8" x14ac:dyDescent="0.2">
      <c r="A4031" s="549"/>
      <c r="C4031" s="548"/>
      <c r="H4031" s="164"/>
    </row>
    <row r="4032" spans="1:8" x14ac:dyDescent="0.2">
      <c r="A4032" s="549"/>
      <c r="C4032" s="548"/>
      <c r="H4032" s="164"/>
    </row>
    <row r="4033" spans="1:8" x14ac:dyDescent="0.2">
      <c r="A4033" s="549"/>
      <c r="C4033" s="548"/>
      <c r="H4033" s="164"/>
    </row>
    <row r="4034" spans="1:8" x14ac:dyDescent="0.2">
      <c r="A4034" s="549"/>
      <c r="C4034" s="548"/>
      <c r="H4034" s="164"/>
    </row>
    <row r="4035" spans="1:8" x14ac:dyDescent="0.2">
      <c r="A4035" s="549"/>
      <c r="C4035" s="548"/>
      <c r="H4035" s="164"/>
    </row>
    <row r="4036" spans="1:8" x14ac:dyDescent="0.2">
      <c r="A4036" s="549"/>
      <c r="C4036" s="548"/>
      <c r="H4036" s="164"/>
    </row>
    <row r="4037" spans="1:8" x14ac:dyDescent="0.2">
      <c r="A4037" s="549"/>
      <c r="C4037" s="548"/>
      <c r="H4037" s="164"/>
    </row>
    <row r="4038" spans="1:8" x14ac:dyDescent="0.2">
      <c r="A4038" s="549"/>
      <c r="C4038" s="548"/>
      <c r="H4038" s="164"/>
    </row>
    <row r="4039" spans="1:8" x14ac:dyDescent="0.2">
      <c r="A4039" s="549"/>
      <c r="C4039" s="548"/>
      <c r="H4039" s="164"/>
    </row>
    <row r="4040" spans="1:8" x14ac:dyDescent="0.2">
      <c r="A4040" s="549"/>
      <c r="C4040" s="548"/>
      <c r="H4040" s="164"/>
    </row>
    <row r="4041" spans="1:8" x14ac:dyDescent="0.2">
      <c r="A4041" s="549"/>
      <c r="C4041" s="548"/>
      <c r="H4041" s="164"/>
    </row>
    <row r="4042" spans="1:8" x14ac:dyDescent="0.2">
      <c r="A4042" s="549"/>
      <c r="C4042" s="548"/>
      <c r="H4042" s="164"/>
    </row>
    <row r="4043" spans="1:8" x14ac:dyDescent="0.2">
      <c r="A4043" s="549"/>
      <c r="C4043" s="548"/>
      <c r="H4043" s="164"/>
    </row>
    <row r="4044" spans="1:8" x14ac:dyDescent="0.2">
      <c r="A4044" s="549"/>
      <c r="C4044" s="548"/>
      <c r="H4044" s="164"/>
    </row>
    <row r="4045" spans="1:8" x14ac:dyDescent="0.2">
      <c r="A4045" s="549"/>
      <c r="C4045" s="548"/>
      <c r="H4045" s="164"/>
    </row>
    <row r="4046" spans="1:8" x14ac:dyDescent="0.2">
      <c r="A4046" s="549"/>
      <c r="C4046" s="548"/>
      <c r="H4046" s="164"/>
    </row>
    <row r="4047" spans="1:8" x14ac:dyDescent="0.2">
      <c r="A4047" s="549"/>
      <c r="C4047" s="548"/>
      <c r="H4047" s="164"/>
    </row>
    <row r="4048" spans="1:8" x14ac:dyDescent="0.2">
      <c r="A4048" s="549"/>
      <c r="C4048" s="548"/>
      <c r="H4048" s="164"/>
    </row>
    <row r="4049" spans="1:8" x14ac:dyDescent="0.2">
      <c r="A4049" s="549"/>
      <c r="C4049" s="548"/>
      <c r="H4049" s="164"/>
    </row>
    <row r="4050" spans="1:8" x14ac:dyDescent="0.2">
      <c r="A4050" s="549"/>
      <c r="C4050" s="548"/>
      <c r="H4050" s="164"/>
    </row>
    <row r="4051" spans="1:8" x14ac:dyDescent="0.2">
      <c r="A4051" s="549"/>
      <c r="C4051" s="548"/>
      <c r="H4051" s="164"/>
    </row>
    <row r="4052" spans="1:8" x14ac:dyDescent="0.2">
      <c r="A4052" s="549"/>
      <c r="C4052" s="548"/>
      <c r="H4052" s="164"/>
    </row>
    <row r="4053" spans="1:8" x14ac:dyDescent="0.2">
      <c r="A4053" s="549"/>
      <c r="C4053" s="548"/>
      <c r="H4053" s="164"/>
    </row>
    <row r="4054" spans="1:8" x14ac:dyDescent="0.2">
      <c r="A4054" s="549"/>
      <c r="C4054" s="548"/>
      <c r="H4054" s="164"/>
    </row>
    <row r="4055" spans="1:8" x14ac:dyDescent="0.2">
      <c r="A4055" s="549"/>
      <c r="C4055" s="548"/>
      <c r="H4055" s="164"/>
    </row>
    <row r="4056" spans="1:8" x14ac:dyDescent="0.2">
      <c r="A4056" s="549"/>
      <c r="C4056" s="548"/>
      <c r="H4056" s="164"/>
    </row>
    <row r="4057" spans="1:8" x14ac:dyDescent="0.2">
      <c r="A4057" s="549"/>
      <c r="C4057" s="548"/>
      <c r="H4057" s="164"/>
    </row>
    <row r="4058" spans="1:8" x14ac:dyDescent="0.2">
      <c r="A4058" s="549"/>
      <c r="C4058" s="548"/>
      <c r="H4058" s="164"/>
    </row>
    <row r="4059" spans="1:8" x14ac:dyDescent="0.2">
      <c r="A4059" s="549"/>
      <c r="C4059" s="548"/>
      <c r="H4059" s="164"/>
    </row>
    <row r="4060" spans="1:8" x14ac:dyDescent="0.2">
      <c r="A4060" s="549"/>
      <c r="C4060" s="548"/>
      <c r="H4060" s="164"/>
    </row>
    <row r="4061" spans="1:8" x14ac:dyDescent="0.2">
      <c r="A4061" s="549"/>
      <c r="C4061" s="548"/>
      <c r="H4061" s="164"/>
    </row>
    <row r="4062" spans="1:8" x14ac:dyDescent="0.2">
      <c r="A4062" s="549"/>
      <c r="C4062" s="548"/>
      <c r="H4062" s="164"/>
    </row>
    <row r="4063" spans="1:8" x14ac:dyDescent="0.2">
      <c r="A4063" s="549"/>
      <c r="C4063" s="548"/>
      <c r="H4063" s="164"/>
    </row>
    <row r="4064" spans="1:8" x14ac:dyDescent="0.2">
      <c r="A4064" s="549"/>
      <c r="C4064" s="548"/>
      <c r="H4064" s="164"/>
    </row>
    <row r="4065" spans="1:8" x14ac:dyDescent="0.2">
      <c r="A4065" s="549"/>
      <c r="C4065" s="548"/>
      <c r="H4065" s="164"/>
    </row>
    <row r="4066" spans="1:8" x14ac:dyDescent="0.2">
      <c r="A4066" s="549"/>
      <c r="C4066" s="548"/>
      <c r="H4066" s="164"/>
    </row>
    <row r="4067" spans="1:8" x14ac:dyDescent="0.2">
      <c r="A4067" s="549"/>
      <c r="C4067" s="548"/>
      <c r="H4067" s="164"/>
    </row>
    <row r="4068" spans="1:8" x14ac:dyDescent="0.2">
      <c r="A4068" s="549"/>
      <c r="C4068" s="548"/>
      <c r="H4068" s="164"/>
    </row>
    <row r="4069" spans="1:8" x14ac:dyDescent="0.2">
      <c r="A4069" s="549"/>
      <c r="C4069" s="548"/>
      <c r="H4069" s="164"/>
    </row>
    <row r="4070" spans="1:8" x14ac:dyDescent="0.2">
      <c r="A4070" s="549"/>
      <c r="C4070" s="548"/>
      <c r="H4070" s="164"/>
    </row>
    <row r="4071" spans="1:8" x14ac:dyDescent="0.2">
      <c r="A4071" s="549"/>
      <c r="C4071" s="548"/>
      <c r="H4071" s="164"/>
    </row>
    <row r="4072" spans="1:8" x14ac:dyDescent="0.2">
      <c r="A4072" s="549"/>
      <c r="C4072" s="548"/>
      <c r="H4072" s="164"/>
    </row>
    <row r="4073" spans="1:8" x14ac:dyDescent="0.2">
      <c r="A4073" s="549"/>
      <c r="C4073" s="548"/>
      <c r="H4073" s="164"/>
    </row>
    <row r="4074" spans="1:8" x14ac:dyDescent="0.2">
      <c r="A4074" s="549"/>
      <c r="C4074" s="548"/>
      <c r="H4074" s="164"/>
    </row>
    <row r="4075" spans="1:8" x14ac:dyDescent="0.2">
      <c r="A4075" s="549"/>
      <c r="C4075" s="548"/>
      <c r="H4075" s="164"/>
    </row>
    <row r="4076" spans="1:8" x14ac:dyDescent="0.2">
      <c r="A4076" s="549"/>
      <c r="C4076" s="548"/>
      <c r="H4076" s="164"/>
    </row>
    <row r="4077" spans="1:8" x14ac:dyDescent="0.2">
      <c r="A4077" s="549"/>
      <c r="C4077" s="548"/>
      <c r="H4077" s="164"/>
    </row>
    <row r="4078" spans="1:8" x14ac:dyDescent="0.2">
      <c r="A4078" s="549"/>
      <c r="C4078" s="548"/>
      <c r="H4078" s="164"/>
    </row>
    <row r="4079" spans="1:8" x14ac:dyDescent="0.2">
      <c r="A4079" s="549"/>
      <c r="C4079" s="548"/>
      <c r="H4079" s="164"/>
    </row>
    <row r="4080" spans="1:8" x14ac:dyDescent="0.2">
      <c r="A4080" s="549"/>
      <c r="C4080" s="548"/>
      <c r="H4080" s="164"/>
    </row>
    <row r="4081" spans="1:8" x14ac:dyDescent="0.2">
      <c r="A4081" s="549"/>
      <c r="C4081" s="548"/>
      <c r="H4081" s="164"/>
    </row>
    <row r="4082" spans="1:8" x14ac:dyDescent="0.2">
      <c r="A4082" s="549"/>
      <c r="C4082" s="548"/>
      <c r="H4082" s="164"/>
    </row>
    <row r="4083" spans="1:8" x14ac:dyDescent="0.2">
      <c r="A4083" s="549"/>
      <c r="C4083" s="548"/>
      <c r="H4083" s="164"/>
    </row>
    <row r="4084" spans="1:8" x14ac:dyDescent="0.2">
      <c r="A4084" s="549"/>
      <c r="C4084" s="548"/>
      <c r="H4084" s="164"/>
    </row>
    <row r="4085" spans="1:8" x14ac:dyDescent="0.2">
      <c r="A4085" s="549"/>
      <c r="C4085" s="548"/>
      <c r="H4085" s="164"/>
    </row>
    <row r="4086" spans="1:8" x14ac:dyDescent="0.2">
      <c r="A4086" s="549"/>
      <c r="C4086" s="548"/>
      <c r="H4086" s="164"/>
    </row>
    <row r="4087" spans="1:8" x14ac:dyDescent="0.2">
      <c r="A4087" s="549"/>
      <c r="C4087" s="548"/>
      <c r="H4087" s="164"/>
    </row>
    <row r="4088" spans="1:8" x14ac:dyDescent="0.2">
      <c r="A4088" s="549"/>
      <c r="C4088" s="548"/>
      <c r="H4088" s="164"/>
    </row>
    <row r="4089" spans="1:8" x14ac:dyDescent="0.2">
      <c r="A4089" s="549"/>
      <c r="C4089" s="548"/>
      <c r="H4089" s="164"/>
    </row>
    <row r="4090" spans="1:8" x14ac:dyDescent="0.2">
      <c r="A4090" s="549"/>
      <c r="C4090" s="548"/>
      <c r="H4090" s="164"/>
    </row>
    <row r="4091" spans="1:8" x14ac:dyDescent="0.2">
      <c r="A4091" s="549"/>
      <c r="C4091" s="548"/>
      <c r="H4091" s="164"/>
    </row>
    <row r="4092" spans="1:8" x14ac:dyDescent="0.2">
      <c r="A4092" s="549"/>
      <c r="C4092" s="548"/>
      <c r="H4092" s="164"/>
    </row>
    <row r="4093" spans="1:8" x14ac:dyDescent="0.2">
      <c r="A4093" s="549"/>
      <c r="C4093" s="548"/>
      <c r="H4093" s="164"/>
    </row>
    <row r="4094" spans="1:8" x14ac:dyDescent="0.2">
      <c r="A4094" s="549"/>
      <c r="C4094" s="548"/>
      <c r="H4094" s="164"/>
    </row>
    <row r="4095" spans="1:8" x14ac:dyDescent="0.2">
      <c r="A4095" s="549"/>
      <c r="C4095" s="548"/>
      <c r="H4095" s="164"/>
    </row>
    <row r="4096" spans="1:8" x14ac:dyDescent="0.2">
      <c r="A4096" s="549"/>
      <c r="C4096" s="548"/>
      <c r="H4096" s="164"/>
    </row>
    <row r="4097" spans="1:8" x14ac:dyDescent="0.2">
      <c r="A4097" s="549"/>
      <c r="C4097" s="548"/>
      <c r="H4097" s="164"/>
    </row>
    <row r="4098" spans="1:8" x14ac:dyDescent="0.2">
      <c r="A4098" s="549"/>
      <c r="C4098" s="548"/>
      <c r="H4098" s="164"/>
    </row>
    <row r="4099" spans="1:8" x14ac:dyDescent="0.2">
      <c r="A4099" s="549"/>
      <c r="C4099" s="548"/>
      <c r="H4099" s="164"/>
    </row>
    <row r="4100" spans="1:8" x14ac:dyDescent="0.2">
      <c r="A4100" s="549"/>
      <c r="C4100" s="548"/>
      <c r="H4100" s="164"/>
    </row>
    <row r="4101" spans="1:8" x14ac:dyDescent="0.2">
      <c r="A4101" s="549"/>
      <c r="C4101" s="548"/>
      <c r="H4101" s="164"/>
    </row>
    <row r="4102" spans="1:8" x14ac:dyDescent="0.2">
      <c r="A4102" s="549"/>
      <c r="C4102" s="548"/>
      <c r="H4102" s="164"/>
    </row>
    <row r="4103" spans="1:8" x14ac:dyDescent="0.2">
      <c r="A4103" s="549"/>
      <c r="C4103" s="548"/>
      <c r="H4103" s="164"/>
    </row>
    <row r="4104" spans="1:8" x14ac:dyDescent="0.2">
      <c r="A4104" s="549"/>
      <c r="C4104" s="548"/>
      <c r="H4104" s="164"/>
    </row>
    <row r="4105" spans="1:8" x14ac:dyDescent="0.2">
      <c r="A4105" s="549"/>
      <c r="C4105" s="548"/>
      <c r="H4105" s="164"/>
    </row>
    <row r="4106" spans="1:8" x14ac:dyDescent="0.2">
      <c r="A4106" s="549"/>
      <c r="C4106" s="548"/>
      <c r="H4106" s="164"/>
    </row>
    <row r="4107" spans="1:8" x14ac:dyDescent="0.2">
      <c r="A4107" s="549"/>
      <c r="C4107" s="548"/>
      <c r="H4107" s="164"/>
    </row>
    <row r="4108" spans="1:8" x14ac:dyDescent="0.2">
      <c r="A4108" s="549"/>
      <c r="C4108" s="548"/>
      <c r="H4108" s="164"/>
    </row>
    <row r="4109" spans="1:8" x14ac:dyDescent="0.2">
      <c r="A4109" s="549"/>
      <c r="C4109" s="548"/>
      <c r="H4109" s="164"/>
    </row>
    <row r="4110" spans="1:8" x14ac:dyDescent="0.2">
      <c r="A4110" s="549"/>
      <c r="C4110" s="548"/>
      <c r="H4110" s="164"/>
    </row>
    <row r="4111" spans="1:8" x14ac:dyDescent="0.2">
      <c r="A4111" s="549"/>
      <c r="C4111" s="548"/>
      <c r="H4111" s="164"/>
    </row>
    <row r="4112" spans="1:8" x14ac:dyDescent="0.2">
      <c r="A4112" s="549"/>
      <c r="C4112" s="548"/>
      <c r="H4112" s="164"/>
    </row>
    <row r="4113" spans="1:8" x14ac:dyDescent="0.2">
      <c r="A4113" s="549"/>
      <c r="C4113" s="548"/>
      <c r="H4113" s="164"/>
    </row>
    <row r="4114" spans="1:8" x14ac:dyDescent="0.2">
      <c r="A4114" s="549"/>
      <c r="C4114" s="548"/>
      <c r="H4114" s="164"/>
    </row>
    <row r="4115" spans="1:8" x14ac:dyDescent="0.2">
      <c r="A4115" s="549"/>
      <c r="C4115" s="548"/>
      <c r="H4115" s="164"/>
    </row>
    <row r="4116" spans="1:8" x14ac:dyDescent="0.2">
      <c r="A4116" s="549"/>
      <c r="C4116" s="548"/>
      <c r="H4116" s="164"/>
    </row>
    <row r="4117" spans="1:8" x14ac:dyDescent="0.2">
      <c r="A4117" s="549"/>
      <c r="C4117" s="548"/>
      <c r="H4117" s="164"/>
    </row>
    <row r="4118" spans="1:8" x14ac:dyDescent="0.2">
      <c r="A4118" s="549"/>
      <c r="C4118" s="548"/>
      <c r="H4118" s="164"/>
    </row>
    <row r="4119" spans="1:8" x14ac:dyDescent="0.2">
      <c r="A4119" s="549"/>
      <c r="C4119" s="548"/>
      <c r="H4119" s="164"/>
    </row>
    <row r="4120" spans="1:8" x14ac:dyDescent="0.2">
      <c r="A4120" s="549"/>
      <c r="C4120" s="548"/>
      <c r="H4120" s="164"/>
    </row>
    <row r="4121" spans="1:8" x14ac:dyDescent="0.2">
      <c r="A4121" s="549"/>
      <c r="C4121" s="548"/>
      <c r="H4121" s="164"/>
    </row>
    <row r="4122" spans="1:8" x14ac:dyDescent="0.2">
      <c r="A4122" s="549"/>
      <c r="C4122" s="548"/>
      <c r="H4122" s="164"/>
    </row>
    <row r="4123" spans="1:8" x14ac:dyDescent="0.2">
      <c r="A4123" s="549"/>
      <c r="C4123" s="548"/>
      <c r="H4123" s="164"/>
    </row>
    <row r="4124" spans="1:8" x14ac:dyDescent="0.2">
      <c r="A4124" s="549"/>
      <c r="C4124" s="548"/>
      <c r="H4124" s="164"/>
    </row>
    <row r="4125" spans="1:8" x14ac:dyDescent="0.2">
      <c r="A4125" s="549"/>
      <c r="C4125" s="548"/>
      <c r="H4125" s="164"/>
    </row>
    <row r="4126" spans="1:8" x14ac:dyDescent="0.2">
      <c r="A4126" s="549"/>
      <c r="C4126" s="548"/>
      <c r="H4126" s="164"/>
    </row>
    <row r="4127" spans="1:8" x14ac:dyDescent="0.2">
      <c r="A4127" s="549"/>
      <c r="C4127" s="548"/>
      <c r="H4127" s="164"/>
    </row>
    <row r="4128" spans="1:8" x14ac:dyDescent="0.2">
      <c r="A4128" s="549"/>
      <c r="C4128" s="548"/>
      <c r="H4128" s="164"/>
    </row>
    <row r="4129" spans="1:8" x14ac:dyDescent="0.2">
      <c r="A4129" s="549"/>
      <c r="C4129" s="548"/>
      <c r="H4129" s="164"/>
    </row>
    <row r="4130" spans="1:8" x14ac:dyDescent="0.2">
      <c r="A4130" s="549"/>
      <c r="C4130" s="548"/>
      <c r="H4130" s="164"/>
    </row>
    <row r="4131" spans="1:8" x14ac:dyDescent="0.2">
      <c r="A4131" s="549"/>
      <c r="C4131" s="548"/>
      <c r="H4131" s="164"/>
    </row>
    <row r="4132" spans="1:8" x14ac:dyDescent="0.2">
      <c r="A4132" s="549"/>
      <c r="C4132" s="548"/>
      <c r="H4132" s="164"/>
    </row>
    <row r="4133" spans="1:8" x14ac:dyDescent="0.2">
      <c r="A4133" s="549"/>
      <c r="C4133" s="548"/>
      <c r="H4133" s="164"/>
    </row>
    <row r="4134" spans="1:8" x14ac:dyDescent="0.2">
      <c r="A4134" s="549"/>
      <c r="C4134" s="548"/>
      <c r="H4134" s="164"/>
    </row>
    <row r="4135" spans="1:8" x14ac:dyDescent="0.2">
      <c r="A4135" s="549"/>
      <c r="C4135" s="548"/>
      <c r="H4135" s="164"/>
    </row>
    <row r="4136" spans="1:8" x14ac:dyDescent="0.2">
      <c r="A4136" s="549"/>
      <c r="C4136" s="548"/>
      <c r="H4136" s="164"/>
    </row>
    <row r="4137" spans="1:8" x14ac:dyDescent="0.2">
      <c r="A4137" s="549"/>
      <c r="C4137" s="548"/>
      <c r="H4137" s="164"/>
    </row>
    <row r="4138" spans="1:8" x14ac:dyDescent="0.2">
      <c r="A4138" s="549"/>
      <c r="C4138" s="548"/>
      <c r="H4138" s="164"/>
    </row>
    <row r="4139" spans="1:8" x14ac:dyDescent="0.2">
      <c r="A4139" s="549"/>
      <c r="C4139" s="548"/>
      <c r="H4139" s="164"/>
    </row>
    <row r="4140" spans="1:8" x14ac:dyDescent="0.2">
      <c r="A4140" s="549"/>
      <c r="C4140" s="548"/>
      <c r="H4140" s="164"/>
    </row>
    <row r="4141" spans="1:8" x14ac:dyDescent="0.2">
      <c r="A4141" s="549"/>
      <c r="C4141" s="548"/>
      <c r="H4141" s="164"/>
    </row>
    <row r="4142" spans="1:8" x14ac:dyDescent="0.2">
      <c r="A4142" s="549"/>
      <c r="C4142" s="548"/>
      <c r="H4142" s="164"/>
    </row>
    <row r="4143" spans="1:8" x14ac:dyDescent="0.2">
      <c r="A4143" s="549"/>
      <c r="C4143" s="548"/>
      <c r="H4143" s="164"/>
    </row>
    <row r="4144" spans="1:8" x14ac:dyDescent="0.2">
      <c r="A4144" s="549"/>
      <c r="C4144" s="548"/>
      <c r="H4144" s="164"/>
    </row>
    <row r="4145" spans="1:8" x14ac:dyDescent="0.2">
      <c r="A4145" s="549"/>
      <c r="C4145" s="548"/>
      <c r="H4145" s="164"/>
    </row>
    <row r="4146" spans="1:8" x14ac:dyDescent="0.2">
      <c r="A4146" s="549"/>
      <c r="C4146" s="548"/>
      <c r="H4146" s="164"/>
    </row>
    <row r="4147" spans="1:8" x14ac:dyDescent="0.2">
      <c r="A4147" s="549"/>
      <c r="C4147" s="548"/>
      <c r="H4147" s="164"/>
    </row>
    <row r="4148" spans="1:8" x14ac:dyDescent="0.2">
      <c r="A4148" s="549"/>
      <c r="C4148" s="548"/>
      <c r="H4148" s="164"/>
    </row>
    <row r="4149" spans="1:8" x14ac:dyDescent="0.2">
      <c r="A4149" s="549"/>
      <c r="C4149" s="548"/>
      <c r="H4149" s="164"/>
    </row>
    <row r="4150" spans="1:8" x14ac:dyDescent="0.2">
      <c r="A4150" s="549"/>
      <c r="C4150" s="548"/>
      <c r="H4150" s="164"/>
    </row>
    <row r="4151" spans="1:8" x14ac:dyDescent="0.2">
      <c r="A4151" s="549"/>
      <c r="C4151" s="548"/>
      <c r="H4151" s="164"/>
    </row>
    <row r="4152" spans="1:8" x14ac:dyDescent="0.2">
      <c r="A4152" s="549"/>
      <c r="C4152" s="548"/>
      <c r="H4152" s="164"/>
    </row>
    <row r="4153" spans="1:8" x14ac:dyDescent="0.2">
      <c r="A4153" s="549"/>
      <c r="C4153" s="548"/>
      <c r="H4153" s="164"/>
    </row>
    <row r="4154" spans="1:8" x14ac:dyDescent="0.2">
      <c r="A4154" s="549"/>
      <c r="C4154" s="548"/>
      <c r="H4154" s="164"/>
    </row>
    <row r="4155" spans="1:8" x14ac:dyDescent="0.2">
      <c r="A4155" s="549"/>
      <c r="C4155" s="548"/>
      <c r="H4155" s="164"/>
    </row>
    <row r="4156" spans="1:8" x14ac:dyDescent="0.2">
      <c r="A4156" s="549"/>
      <c r="C4156" s="548"/>
      <c r="H4156" s="164"/>
    </row>
    <row r="4157" spans="1:8" x14ac:dyDescent="0.2">
      <c r="A4157" s="549"/>
      <c r="C4157" s="548"/>
      <c r="H4157" s="164"/>
    </row>
    <row r="4158" spans="1:8" x14ac:dyDescent="0.2">
      <c r="A4158" s="549"/>
      <c r="C4158" s="548"/>
      <c r="H4158" s="164"/>
    </row>
    <row r="4159" spans="1:8" x14ac:dyDescent="0.2">
      <c r="A4159" s="549"/>
      <c r="C4159" s="548"/>
      <c r="H4159" s="164"/>
    </row>
    <row r="4160" spans="1:8" x14ac:dyDescent="0.2">
      <c r="A4160" s="549"/>
      <c r="C4160" s="548"/>
      <c r="H4160" s="164"/>
    </row>
    <row r="4161" spans="1:8" x14ac:dyDescent="0.2">
      <c r="A4161" s="549"/>
      <c r="C4161" s="548"/>
      <c r="H4161" s="164"/>
    </row>
    <row r="4162" spans="1:8" x14ac:dyDescent="0.2">
      <c r="A4162" s="549"/>
      <c r="C4162" s="548"/>
      <c r="H4162" s="164"/>
    </row>
    <row r="4163" spans="1:8" x14ac:dyDescent="0.2">
      <c r="A4163" s="549"/>
      <c r="C4163" s="548"/>
      <c r="H4163" s="164"/>
    </row>
    <row r="4164" spans="1:8" x14ac:dyDescent="0.2">
      <c r="A4164" s="549"/>
      <c r="C4164" s="548"/>
      <c r="H4164" s="164"/>
    </row>
    <row r="4165" spans="1:8" x14ac:dyDescent="0.2">
      <c r="A4165" s="549"/>
      <c r="C4165" s="548"/>
      <c r="H4165" s="164"/>
    </row>
    <row r="4166" spans="1:8" x14ac:dyDescent="0.2">
      <c r="A4166" s="549"/>
      <c r="C4166" s="548"/>
      <c r="H4166" s="164"/>
    </row>
    <row r="4167" spans="1:8" x14ac:dyDescent="0.2">
      <c r="A4167" s="549"/>
      <c r="C4167" s="548"/>
      <c r="H4167" s="164"/>
    </row>
    <row r="4168" spans="1:8" x14ac:dyDescent="0.2">
      <c r="A4168" s="549"/>
      <c r="C4168" s="548"/>
      <c r="H4168" s="164"/>
    </row>
    <row r="4169" spans="1:8" x14ac:dyDescent="0.2">
      <c r="A4169" s="549"/>
      <c r="C4169" s="548"/>
      <c r="H4169" s="164"/>
    </row>
    <row r="4170" spans="1:8" x14ac:dyDescent="0.2">
      <c r="A4170" s="549"/>
      <c r="C4170" s="548"/>
      <c r="H4170" s="164"/>
    </row>
    <row r="4171" spans="1:8" x14ac:dyDescent="0.2">
      <c r="A4171" s="549"/>
      <c r="C4171" s="548"/>
      <c r="H4171" s="164"/>
    </row>
    <row r="4172" spans="1:8" x14ac:dyDescent="0.2">
      <c r="A4172" s="549"/>
      <c r="C4172" s="548"/>
      <c r="H4172" s="164"/>
    </row>
    <row r="4173" spans="1:8" x14ac:dyDescent="0.2">
      <c r="A4173" s="549"/>
      <c r="C4173" s="548"/>
      <c r="H4173" s="164"/>
    </row>
    <row r="4174" spans="1:8" x14ac:dyDescent="0.2">
      <c r="A4174" s="549"/>
      <c r="C4174" s="548"/>
      <c r="H4174" s="164"/>
    </row>
    <row r="4175" spans="1:8" x14ac:dyDescent="0.2">
      <c r="A4175" s="549"/>
      <c r="C4175" s="548"/>
      <c r="H4175" s="164"/>
    </row>
    <row r="4176" spans="1:8" x14ac:dyDescent="0.2">
      <c r="A4176" s="549"/>
      <c r="C4176" s="548"/>
      <c r="H4176" s="164"/>
    </row>
    <row r="4177" spans="1:8" x14ac:dyDescent="0.2">
      <c r="A4177" s="549"/>
      <c r="C4177" s="548"/>
      <c r="H4177" s="164"/>
    </row>
    <row r="4178" spans="1:8" x14ac:dyDescent="0.2">
      <c r="A4178" s="549"/>
      <c r="C4178" s="548"/>
      <c r="H4178" s="164"/>
    </row>
    <row r="4179" spans="1:8" x14ac:dyDescent="0.2">
      <c r="A4179" s="549"/>
      <c r="C4179" s="548"/>
      <c r="H4179" s="164"/>
    </row>
    <row r="4180" spans="1:8" x14ac:dyDescent="0.2">
      <c r="A4180" s="549"/>
      <c r="C4180" s="548"/>
      <c r="H4180" s="164"/>
    </row>
    <row r="4181" spans="1:8" x14ac:dyDescent="0.2">
      <c r="A4181" s="549"/>
      <c r="C4181" s="548"/>
      <c r="H4181" s="164"/>
    </row>
    <row r="4182" spans="1:8" x14ac:dyDescent="0.2">
      <c r="A4182" s="549"/>
      <c r="C4182" s="548"/>
      <c r="H4182" s="164"/>
    </row>
    <row r="4183" spans="1:8" x14ac:dyDescent="0.2">
      <c r="A4183" s="549"/>
      <c r="C4183" s="548"/>
      <c r="H4183" s="164"/>
    </row>
    <row r="4184" spans="1:8" x14ac:dyDescent="0.2">
      <c r="A4184" s="549"/>
      <c r="C4184" s="548"/>
      <c r="H4184" s="164"/>
    </row>
    <row r="4185" spans="1:8" x14ac:dyDescent="0.2">
      <c r="A4185" s="549"/>
      <c r="C4185" s="548"/>
      <c r="H4185" s="164"/>
    </row>
    <row r="4186" spans="1:8" x14ac:dyDescent="0.2">
      <c r="A4186" s="549"/>
      <c r="C4186" s="548"/>
      <c r="H4186" s="164"/>
    </row>
    <row r="4187" spans="1:8" x14ac:dyDescent="0.2">
      <c r="A4187" s="549"/>
      <c r="C4187" s="548"/>
      <c r="H4187" s="164"/>
    </row>
    <row r="4188" spans="1:8" x14ac:dyDescent="0.2">
      <c r="A4188" s="549"/>
      <c r="C4188" s="548"/>
      <c r="H4188" s="164"/>
    </row>
    <row r="4189" spans="1:8" x14ac:dyDescent="0.2">
      <c r="A4189" s="549"/>
      <c r="C4189" s="548"/>
      <c r="H4189" s="164"/>
    </row>
    <row r="4190" spans="1:8" x14ac:dyDescent="0.2">
      <c r="A4190" s="549"/>
      <c r="C4190" s="548"/>
      <c r="H4190" s="164"/>
    </row>
    <row r="4191" spans="1:8" x14ac:dyDescent="0.2">
      <c r="A4191" s="549"/>
      <c r="C4191" s="548"/>
      <c r="H4191" s="164"/>
    </row>
    <row r="4192" spans="1:8" x14ac:dyDescent="0.2">
      <c r="A4192" s="549"/>
      <c r="C4192" s="548"/>
      <c r="H4192" s="164"/>
    </row>
    <row r="4193" spans="1:8" x14ac:dyDescent="0.2">
      <c r="A4193" s="549"/>
      <c r="C4193" s="548"/>
      <c r="H4193" s="164"/>
    </row>
    <row r="4194" spans="1:8" x14ac:dyDescent="0.2">
      <c r="A4194" s="549"/>
      <c r="C4194" s="548"/>
      <c r="H4194" s="164"/>
    </row>
    <row r="4195" spans="1:8" x14ac:dyDescent="0.2">
      <c r="A4195" s="549"/>
      <c r="C4195" s="548"/>
      <c r="H4195" s="164"/>
    </row>
    <row r="4196" spans="1:8" x14ac:dyDescent="0.2">
      <c r="A4196" s="549"/>
      <c r="C4196" s="548"/>
      <c r="H4196" s="164"/>
    </row>
    <row r="4197" spans="1:8" x14ac:dyDescent="0.2">
      <c r="A4197" s="549"/>
      <c r="C4197" s="548"/>
      <c r="H4197" s="164"/>
    </row>
    <row r="4198" spans="1:8" x14ac:dyDescent="0.2">
      <c r="A4198" s="549"/>
      <c r="C4198" s="548"/>
      <c r="H4198" s="164"/>
    </row>
    <row r="4199" spans="1:8" x14ac:dyDescent="0.2">
      <c r="A4199" s="549"/>
      <c r="C4199" s="548"/>
      <c r="H4199" s="164"/>
    </row>
    <row r="4200" spans="1:8" x14ac:dyDescent="0.2">
      <c r="A4200" s="549"/>
      <c r="C4200" s="548"/>
      <c r="H4200" s="164"/>
    </row>
    <row r="4201" spans="1:8" x14ac:dyDescent="0.2">
      <c r="A4201" s="549"/>
      <c r="C4201" s="548"/>
      <c r="H4201" s="164"/>
    </row>
    <row r="4202" spans="1:8" x14ac:dyDescent="0.2">
      <c r="A4202" s="549"/>
      <c r="C4202" s="548"/>
      <c r="H4202" s="164"/>
    </row>
    <row r="4203" spans="1:8" x14ac:dyDescent="0.2">
      <c r="A4203" s="549"/>
      <c r="C4203" s="548"/>
      <c r="H4203" s="164"/>
    </row>
    <row r="4204" spans="1:8" x14ac:dyDescent="0.2">
      <c r="A4204" s="549"/>
      <c r="C4204" s="548"/>
      <c r="H4204" s="164"/>
    </row>
    <row r="4205" spans="1:8" x14ac:dyDescent="0.2">
      <c r="A4205" s="549"/>
      <c r="C4205" s="548"/>
      <c r="H4205" s="164"/>
    </row>
    <row r="4206" spans="1:8" x14ac:dyDescent="0.2">
      <c r="A4206" s="549"/>
      <c r="C4206" s="548"/>
      <c r="H4206" s="164"/>
    </row>
    <row r="4207" spans="1:8" x14ac:dyDescent="0.2">
      <c r="A4207" s="549"/>
      <c r="C4207" s="548"/>
      <c r="H4207" s="164"/>
    </row>
    <row r="4208" spans="1:8" x14ac:dyDescent="0.2">
      <c r="A4208" s="549"/>
      <c r="C4208" s="548"/>
      <c r="H4208" s="164"/>
    </row>
    <row r="4209" spans="1:8" x14ac:dyDescent="0.2">
      <c r="A4209" s="549"/>
      <c r="C4209" s="548"/>
      <c r="H4209" s="164"/>
    </row>
    <row r="4210" spans="1:8" x14ac:dyDescent="0.2">
      <c r="A4210" s="549"/>
      <c r="C4210" s="548"/>
      <c r="H4210" s="164"/>
    </row>
    <row r="4211" spans="1:8" x14ac:dyDescent="0.2">
      <c r="A4211" s="549"/>
      <c r="C4211" s="548"/>
      <c r="H4211" s="164"/>
    </row>
    <row r="4212" spans="1:8" x14ac:dyDescent="0.2">
      <c r="A4212" s="549"/>
      <c r="C4212" s="548"/>
      <c r="H4212" s="164"/>
    </row>
    <row r="4213" spans="1:8" x14ac:dyDescent="0.2">
      <c r="A4213" s="549"/>
      <c r="C4213" s="548"/>
      <c r="H4213" s="164"/>
    </row>
    <row r="4214" spans="1:8" x14ac:dyDescent="0.2">
      <c r="A4214" s="549"/>
      <c r="C4214" s="548"/>
      <c r="H4214" s="164"/>
    </row>
    <row r="4215" spans="1:8" x14ac:dyDescent="0.2">
      <c r="A4215" s="549"/>
      <c r="C4215" s="548"/>
      <c r="H4215" s="164"/>
    </row>
    <row r="4216" spans="1:8" x14ac:dyDescent="0.2">
      <c r="A4216" s="549"/>
      <c r="C4216" s="548"/>
      <c r="H4216" s="164"/>
    </row>
    <row r="4217" spans="1:8" x14ac:dyDescent="0.2">
      <c r="A4217" s="549"/>
      <c r="C4217" s="548"/>
      <c r="H4217" s="164"/>
    </row>
    <row r="4218" spans="1:8" x14ac:dyDescent="0.2">
      <c r="A4218" s="549"/>
      <c r="C4218" s="548"/>
      <c r="H4218" s="164"/>
    </row>
    <row r="4219" spans="1:8" x14ac:dyDescent="0.2">
      <c r="A4219" s="549"/>
      <c r="C4219" s="548"/>
      <c r="H4219" s="164"/>
    </row>
    <row r="4220" spans="1:8" x14ac:dyDescent="0.2">
      <c r="A4220" s="549"/>
      <c r="C4220" s="548"/>
      <c r="H4220" s="164"/>
    </row>
    <row r="4221" spans="1:8" x14ac:dyDescent="0.2">
      <c r="A4221" s="549"/>
      <c r="C4221" s="548"/>
      <c r="H4221" s="164"/>
    </row>
    <row r="4222" spans="1:8" x14ac:dyDescent="0.2">
      <c r="A4222" s="549"/>
      <c r="C4222" s="548"/>
      <c r="H4222" s="164"/>
    </row>
    <row r="4223" spans="1:8" x14ac:dyDescent="0.2">
      <c r="A4223" s="549"/>
      <c r="C4223" s="548"/>
      <c r="H4223" s="164"/>
    </row>
    <row r="4224" spans="1:8" x14ac:dyDescent="0.2">
      <c r="A4224" s="549"/>
      <c r="C4224" s="548"/>
      <c r="H4224" s="164"/>
    </row>
    <row r="4225" spans="1:8" x14ac:dyDescent="0.2">
      <c r="A4225" s="549"/>
      <c r="C4225" s="548"/>
      <c r="H4225" s="164"/>
    </row>
    <row r="4226" spans="1:8" x14ac:dyDescent="0.2">
      <c r="A4226" s="549"/>
      <c r="C4226" s="548"/>
      <c r="H4226" s="164"/>
    </row>
    <row r="4227" spans="1:8" x14ac:dyDescent="0.2">
      <c r="A4227" s="549"/>
      <c r="C4227" s="548"/>
      <c r="H4227" s="164"/>
    </row>
    <row r="4228" spans="1:8" x14ac:dyDescent="0.2">
      <c r="A4228" s="549"/>
      <c r="C4228" s="548"/>
      <c r="H4228" s="164"/>
    </row>
    <row r="4229" spans="1:8" x14ac:dyDescent="0.2">
      <c r="A4229" s="549"/>
      <c r="C4229" s="548"/>
      <c r="H4229" s="164"/>
    </row>
    <row r="4230" spans="1:8" x14ac:dyDescent="0.2">
      <c r="A4230" s="549"/>
      <c r="C4230" s="548"/>
      <c r="H4230" s="164"/>
    </row>
    <row r="4231" spans="1:8" x14ac:dyDescent="0.2">
      <c r="A4231" s="549"/>
      <c r="C4231" s="548"/>
      <c r="H4231" s="164"/>
    </row>
    <row r="4232" spans="1:8" x14ac:dyDescent="0.2">
      <c r="A4232" s="549"/>
      <c r="C4232" s="548"/>
      <c r="H4232" s="164"/>
    </row>
    <row r="4233" spans="1:8" x14ac:dyDescent="0.2">
      <c r="A4233" s="549"/>
      <c r="C4233" s="548"/>
      <c r="H4233" s="164"/>
    </row>
    <row r="4234" spans="1:8" x14ac:dyDescent="0.2">
      <c r="A4234" s="549"/>
      <c r="C4234" s="548"/>
      <c r="H4234" s="164"/>
    </row>
    <row r="4235" spans="1:8" x14ac:dyDescent="0.2">
      <c r="A4235" s="549"/>
      <c r="C4235" s="548"/>
      <c r="H4235" s="164"/>
    </row>
    <row r="4236" spans="1:8" x14ac:dyDescent="0.2">
      <c r="A4236" s="549"/>
      <c r="C4236" s="548"/>
      <c r="H4236" s="164"/>
    </row>
    <row r="4237" spans="1:8" x14ac:dyDescent="0.2">
      <c r="A4237" s="549"/>
      <c r="C4237" s="548"/>
      <c r="H4237" s="164"/>
    </row>
    <row r="4238" spans="1:8" x14ac:dyDescent="0.2">
      <c r="A4238" s="549"/>
      <c r="C4238" s="548"/>
      <c r="H4238" s="164"/>
    </row>
    <row r="4239" spans="1:8" x14ac:dyDescent="0.2">
      <c r="A4239" s="549"/>
      <c r="C4239" s="548"/>
      <c r="H4239" s="164"/>
    </row>
    <row r="4240" spans="1:8" x14ac:dyDescent="0.2">
      <c r="A4240" s="549"/>
      <c r="C4240" s="548"/>
      <c r="H4240" s="164"/>
    </row>
    <row r="4241" spans="1:8" x14ac:dyDescent="0.2">
      <c r="A4241" s="549"/>
      <c r="C4241" s="548"/>
      <c r="H4241" s="164"/>
    </row>
    <row r="4242" spans="1:8" x14ac:dyDescent="0.2">
      <c r="A4242" s="549"/>
      <c r="C4242" s="548"/>
      <c r="H4242" s="164"/>
    </row>
    <row r="4243" spans="1:8" x14ac:dyDescent="0.2">
      <c r="A4243" s="549"/>
      <c r="C4243" s="548"/>
      <c r="H4243" s="164"/>
    </row>
    <row r="4244" spans="1:8" x14ac:dyDescent="0.2">
      <c r="A4244" s="549"/>
      <c r="C4244" s="548"/>
      <c r="H4244" s="164"/>
    </row>
    <row r="4245" spans="1:8" x14ac:dyDescent="0.2">
      <c r="A4245" s="549"/>
      <c r="C4245" s="548"/>
      <c r="H4245" s="164"/>
    </row>
    <row r="4246" spans="1:8" x14ac:dyDescent="0.2">
      <c r="A4246" s="549"/>
      <c r="C4246" s="548"/>
      <c r="H4246" s="164"/>
    </row>
    <row r="4247" spans="1:8" x14ac:dyDescent="0.2">
      <c r="A4247" s="549"/>
      <c r="C4247" s="548"/>
      <c r="H4247" s="164"/>
    </row>
    <row r="4248" spans="1:8" x14ac:dyDescent="0.2">
      <c r="A4248" s="549"/>
      <c r="C4248" s="548"/>
      <c r="H4248" s="164"/>
    </row>
    <row r="4249" spans="1:8" x14ac:dyDescent="0.2">
      <c r="A4249" s="549"/>
      <c r="C4249" s="548"/>
      <c r="H4249" s="164"/>
    </row>
    <row r="4250" spans="1:8" x14ac:dyDescent="0.2">
      <c r="A4250" s="549"/>
      <c r="C4250" s="548"/>
      <c r="H4250" s="164"/>
    </row>
    <row r="4251" spans="1:8" x14ac:dyDescent="0.2">
      <c r="A4251" s="549"/>
      <c r="C4251" s="548"/>
      <c r="H4251" s="164"/>
    </row>
    <row r="4252" spans="1:8" x14ac:dyDescent="0.2">
      <c r="A4252" s="549"/>
      <c r="C4252" s="548"/>
      <c r="H4252" s="164"/>
    </row>
    <row r="4253" spans="1:8" x14ac:dyDescent="0.2">
      <c r="A4253" s="549"/>
      <c r="C4253" s="548"/>
      <c r="H4253" s="164"/>
    </row>
    <row r="4254" spans="1:8" x14ac:dyDescent="0.2">
      <c r="A4254" s="549"/>
      <c r="C4254" s="548"/>
      <c r="H4254" s="164"/>
    </row>
    <row r="4255" spans="1:8" x14ac:dyDescent="0.2">
      <c r="A4255" s="549"/>
      <c r="C4255" s="548"/>
      <c r="H4255" s="164"/>
    </row>
    <row r="4256" spans="1:8" x14ac:dyDescent="0.2">
      <c r="A4256" s="549"/>
      <c r="C4256" s="548"/>
      <c r="H4256" s="164"/>
    </row>
    <row r="4257" spans="1:8" x14ac:dyDescent="0.2">
      <c r="A4257" s="549"/>
      <c r="C4257" s="548"/>
      <c r="H4257" s="164"/>
    </row>
    <row r="4258" spans="1:8" x14ac:dyDescent="0.2">
      <c r="A4258" s="549"/>
      <c r="C4258" s="548"/>
      <c r="H4258" s="164"/>
    </row>
    <row r="4259" spans="1:8" x14ac:dyDescent="0.2">
      <c r="A4259" s="549"/>
      <c r="C4259" s="548"/>
      <c r="H4259" s="164"/>
    </row>
    <row r="4260" spans="1:8" x14ac:dyDescent="0.2">
      <c r="A4260" s="549"/>
      <c r="C4260" s="548"/>
      <c r="H4260" s="164"/>
    </row>
    <row r="4261" spans="1:8" x14ac:dyDescent="0.2">
      <c r="A4261" s="549"/>
      <c r="C4261" s="548"/>
      <c r="H4261" s="164"/>
    </row>
    <row r="4262" spans="1:8" x14ac:dyDescent="0.2">
      <c r="A4262" s="549"/>
      <c r="C4262" s="548"/>
      <c r="H4262" s="164"/>
    </row>
    <row r="4263" spans="1:8" x14ac:dyDescent="0.2">
      <c r="A4263" s="549"/>
      <c r="C4263" s="548"/>
      <c r="H4263" s="164"/>
    </row>
    <row r="4264" spans="1:8" x14ac:dyDescent="0.2">
      <c r="A4264" s="549"/>
      <c r="C4264" s="548"/>
      <c r="H4264" s="164"/>
    </row>
    <row r="4265" spans="1:8" x14ac:dyDescent="0.2">
      <c r="A4265" s="549"/>
      <c r="C4265" s="548"/>
      <c r="H4265" s="164"/>
    </row>
    <row r="4266" spans="1:8" x14ac:dyDescent="0.2">
      <c r="A4266" s="549"/>
      <c r="C4266" s="548"/>
      <c r="H4266" s="164"/>
    </row>
    <row r="4267" spans="1:8" x14ac:dyDescent="0.2">
      <c r="A4267" s="549"/>
      <c r="C4267" s="548"/>
      <c r="H4267" s="164"/>
    </row>
    <row r="4268" spans="1:8" x14ac:dyDescent="0.2">
      <c r="A4268" s="549"/>
      <c r="C4268" s="548"/>
      <c r="H4268" s="164"/>
    </row>
    <row r="4269" spans="1:8" x14ac:dyDescent="0.2">
      <c r="A4269" s="549"/>
      <c r="C4269" s="548"/>
      <c r="H4269" s="164"/>
    </row>
    <row r="4270" spans="1:8" x14ac:dyDescent="0.2">
      <c r="A4270" s="549"/>
      <c r="C4270" s="548"/>
      <c r="H4270" s="164"/>
    </row>
    <row r="4271" spans="1:8" x14ac:dyDescent="0.2">
      <c r="A4271" s="549"/>
      <c r="C4271" s="548"/>
      <c r="H4271" s="164"/>
    </row>
    <row r="4272" spans="1:8" x14ac:dyDescent="0.2">
      <c r="A4272" s="549"/>
      <c r="C4272" s="548"/>
      <c r="H4272" s="164"/>
    </row>
    <row r="4273" spans="1:8" x14ac:dyDescent="0.2">
      <c r="A4273" s="549"/>
      <c r="C4273" s="548"/>
      <c r="H4273" s="164"/>
    </row>
    <row r="4274" spans="1:8" x14ac:dyDescent="0.2">
      <c r="A4274" s="549"/>
      <c r="C4274" s="548"/>
      <c r="H4274" s="164"/>
    </row>
    <row r="4275" spans="1:8" x14ac:dyDescent="0.2">
      <c r="A4275" s="549"/>
      <c r="C4275" s="548"/>
      <c r="H4275" s="164"/>
    </row>
    <row r="4276" spans="1:8" x14ac:dyDescent="0.2">
      <c r="A4276" s="549"/>
      <c r="C4276" s="548"/>
      <c r="H4276" s="164"/>
    </row>
    <row r="4277" spans="1:8" x14ac:dyDescent="0.2">
      <c r="A4277" s="549"/>
      <c r="C4277" s="548"/>
      <c r="H4277" s="164"/>
    </row>
    <row r="4278" spans="1:8" x14ac:dyDescent="0.2">
      <c r="A4278" s="549"/>
      <c r="C4278" s="548"/>
      <c r="H4278" s="164"/>
    </row>
    <row r="4279" spans="1:8" x14ac:dyDescent="0.2">
      <c r="A4279" s="549"/>
      <c r="C4279" s="548"/>
      <c r="H4279" s="164"/>
    </row>
    <row r="4280" spans="1:8" x14ac:dyDescent="0.2">
      <c r="A4280" s="549"/>
      <c r="C4280" s="548"/>
      <c r="H4280" s="164"/>
    </row>
    <row r="4281" spans="1:8" x14ac:dyDescent="0.2">
      <c r="A4281" s="549"/>
      <c r="C4281" s="548"/>
      <c r="H4281" s="164"/>
    </row>
    <row r="4282" spans="1:8" x14ac:dyDescent="0.2">
      <c r="A4282" s="549"/>
      <c r="C4282" s="548"/>
      <c r="H4282" s="164"/>
    </row>
    <row r="4283" spans="1:8" x14ac:dyDescent="0.2">
      <c r="A4283" s="549"/>
      <c r="C4283" s="548"/>
      <c r="H4283" s="164"/>
    </row>
    <row r="4284" spans="1:8" x14ac:dyDescent="0.2">
      <c r="A4284" s="549"/>
      <c r="C4284" s="548"/>
      <c r="H4284" s="164"/>
    </row>
    <row r="4285" spans="1:8" x14ac:dyDescent="0.2">
      <c r="A4285" s="549"/>
      <c r="C4285" s="548"/>
      <c r="H4285" s="164"/>
    </row>
    <row r="4286" spans="1:8" x14ac:dyDescent="0.2">
      <c r="A4286" s="549"/>
      <c r="C4286" s="548"/>
      <c r="H4286" s="164"/>
    </row>
    <row r="4287" spans="1:8" x14ac:dyDescent="0.2">
      <c r="A4287" s="549"/>
      <c r="C4287" s="548"/>
      <c r="H4287" s="164"/>
    </row>
    <row r="4288" spans="1:8" x14ac:dyDescent="0.2">
      <c r="A4288" s="549"/>
      <c r="C4288" s="548"/>
      <c r="H4288" s="164"/>
    </row>
    <row r="4289" spans="1:8" x14ac:dyDescent="0.2">
      <c r="A4289" s="549"/>
      <c r="C4289" s="548"/>
      <c r="H4289" s="164"/>
    </row>
    <row r="4290" spans="1:8" x14ac:dyDescent="0.2">
      <c r="A4290" s="549"/>
      <c r="C4290" s="548"/>
      <c r="H4290" s="164"/>
    </row>
    <row r="4291" spans="1:8" x14ac:dyDescent="0.2">
      <c r="A4291" s="549"/>
      <c r="C4291" s="548"/>
      <c r="H4291" s="164"/>
    </row>
    <row r="4292" spans="1:8" x14ac:dyDescent="0.2">
      <c r="A4292" s="549"/>
      <c r="C4292" s="548"/>
      <c r="H4292" s="164"/>
    </row>
    <row r="4293" spans="1:8" x14ac:dyDescent="0.2">
      <c r="A4293" s="549"/>
      <c r="C4293" s="548"/>
      <c r="H4293" s="164"/>
    </row>
    <row r="4294" spans="1:8" x14ac:dyDescent="0.2">
      <c r="A4294" s="549"/>
      <c r="C4294" s="548"/>
      <c r="H4294" s="164"/>
    </row>
    <row r="4295" spans="1:8" x14ac:dyDescent="0.2">
      <c r="A4295" s="549"/>
      <c r="C4295" s="548"/>
      <c r="H4295" s="164"/>
    </row>
    <row r="4296" spans="1:8" x14ac:dyDescent="0.2">
      <c r="A4296" s="549"/>
      <c r="C4296" s="548"/>
      <c r="H4296" s="164"/>
    </row>
    <row r="4297" spans="1:8" x14ac:dyDescent="0.2">
      <c r="A4297" s="549"/>
      <c r="C4297" s="548"/>
      <c r="H4297" s="164"/>
    </row>
    <row r="4298" spans="1:8" x14ac:dyDescent="0.2">
      <c r="A4298" s="549"/>
      <c r="C4298" s="548"/>
      <c r="H4298" s="164"/>
    </row>
    <row r="4299" spans="1:8" x14ac:dyDescent="0.2">
      <c r="A4299" s="549"/>
      <c r="C4299" s="548"/>
      <c r="H4299" s="164"/>
    </row>
    <row r="4300" spans="1:8" x14ac:dyDescent="0.2">
      <c r="A4300" s="549"/>
      <c r="C4300" s="548"/>
      <c r="H4300" s="164"/>
    </row>
    <row r="4301" spans="1:8" x14ac:dyDescent="0.2">
      <c r="A4301" s="549"/>
      <c r="C4301" s="548"/>
      <c r="H4301" s="164"/>
    </row>
    <row r="4302" spans="1:8" x14ac:dyDescent="0.2">
      <c r="A4302" s="549"/>
      <c r="C4302" s="548"/>
      <c r="H4302" s="164"/>
    </row>
    <row r="4303" spans="1:8" x14ac:dyDescent="0.2">
      <c r="A4303" s="549"/>
      <c r="C4303" s="548"/>
      <c r="H4303" s="164"/>
    </row>
    <row r="4304" spans="1:8" x14ac:dyDescent="0.2">
      <c r="A4304" s="549"/>
      <c r="C4304" s="548"/>
      <c r="H4304" s="164"/>
    </row>
    <row r="4305" spans="1:8" x14ac:dyDescent="0.2">
      <c r="A4305" s="549"/>
      <c r="C4305" s="548"/>
      <c r="H4305" s="164"/>
    </row>
    <row r="4306" spans="1:8" x14ac:dyDescent="0.2">
      <c r="A4306" s="549"/>
      <c r="C4306" s="548"/>
      <c r="H4306" s="164"/>
    </row>
    <row r="4307" spans="1:8" x14ac:dyDescent="0.2">
      <c r="A4307" s="549"/>
      <c r="C4307" s="548"/>
      <c r="H4307" s="164"/>
    </row>
    <row r="4308" spans="1:8" x14ac:dyDescent="0.2">
      <c r="A4308" s="549"/>
      <c r="C4308" s="548"/>
      <c r="H4308" s="164"/>
    </row>
    <row r="4309" spans="1:8" x14ac:dyDescent="0.2">
      <c r="A4309" s="549"/>
      <c r="C4309" s="548"/>
      <c r="H4309" s="164"/>
    </row>
    <row r="4310" spans="1:8" x14ac:dyDescent="0.2">
      <c r="A4310" s="549"/>
      <c r="C4310" s="548"/>
      <c r="H4310" s="164"/>
    </row>
    <row r="4311" spans="1:8" x14ac:dyDescent="0.2">
      <c r="A4311" s="549"/>
      <c r="C4311" s="548"/>
      <c r="H4311" s="164"/>
    </row>
    <row r="4312" spans="1:8" x14ac:dyDescent="0.2">
      <c r="A4312" s="549"/>
      <c r="C4312" s="548"/>
      <c r="H4312" s="164"/>
    </row>
    <row r="4313" spans="1:8" x14ac:dyDescent="0.2">
      <c r="A4313" s="549"/>
      <c r="C4313" s="548"/>
      <c r="H4313" s="164"/>
    </row>
    <row r="4314" spans="1:8" x14ac:dyDescent="0.2">
      <c r="A4314" s="549"/>
      <c r="C4314" s="548"/>
      <c r="H4314" s="164"/>
    </row>
    <row r="4315" spans="1:8" x14ac:dyDescent="0.2">
      <c r="A4315" s="549"/>
      <c r="C4315" s="548"/>
      <c r="H4315" s="164"/>
    </row>
    <row r="4316" spans="1:8" x14ac:dyDescent="0.2">
      <c r="A4316" s="549"/>
      <c r="C4316" s="548"/>
      <c r="H4316" s="164"/>
    </row>
    <row r="4317" spans="1:8" x14ac:dyDescent="0.2">
      <c r="A4317" s="549"/>
      <c r="C4317" s="548"/>
      <c r="H4317" s="164"/>
    </row>
    <row r="4318" spans="1:8" x14ac:dyDescent="0.2">
      <c r="A4318" s="549"/>
      <c r="C4318" s="548"/>
      <c r="H4318" s="164"/>
    </row>
    <row r="4319" spans="1:8" x14ac:dyDescent="0.2">
      <c r="A4319" s="549"/>
      <c r="C4319" s="548"/>
      <c r="H4319" s="164"/>
    </row>
    <row r="4320" spans="1:8" x14ac:dyDescent="0.2">
      <c r="A4320" s="549"/>
      <c r="C4320" s="548"/>
      <c r="H4320" s="164"/>
    </row>
    <row r="4321" spans="1:8" x14ac:dyDescent="0.2">
      <c r="A4321" s="549"/>
      <c r="C4321" s="548"/>
      <c r="H4321" s="164"/>
    </row>
    <row r="4322" spans="1:8" x14ac:dyDescent="0.2">
      <c r="A4322" s="549"/>
      <c r="C4322" s="548"/>
      <c r="H4322" s="164"/>
    </row>
    <row r="4323" spans="1:8" x14ac:dyDescent="0.2">
      <c r="A4323" s="549"/>
      <c r="C4323" s="548"/>
      <c r="H4323" s="164"/>
    </row>
    <row r="4324" spans="1:8" x14ac:dyDescent="0.2">
      <c r="A4324" s="549"/>
      <c r="C4324" s="548"/>
      <c r="H4324" s="164"/>
    </row>
    <row r="4325" spans="1:8" x14ac:dyDescent="0.2">
      <c r="A4325" s="549"/>
      <c r="C4325" s="548"/>
      <c r="H4325" s="164"/>
    </row>
    <row r="4326" spans="1:8" x14ac:dyDescent="0.2">
      <c r="A4326" s="549"/>
      <c r="C4326" s="548"/>
      <c r="H4326" s="164"/>
    </row>
    <row r="4327" spans="1:8" x14ac:dyDescent="0.2">
      <c r="A4327" s="549"/>
      <c r="C4327" s="548"/>
      <c r="H4327" s="164"/>
    </row>
    <row r="4328" spans="1:8" x14ac:dyDescent="0.2">
      <c r="A4328" s="549"/>
      <c r="C4328" s="548"/>
      <c r="H4328" s="164"/>
    </row>
    <row r="4329" spans="1:8" x14ac:dyDescent="0.2">
      <c r="A4329" s="549"/>
      <c r="C4329" s="548"/>
      <c r="H4329" s="164"/>
    </row>
    <row r="4330" spans="1:8" x14ac:dyDescent="0.2">
      <c r="A4330" s="549"/>
      <c r="C4330" s="548"/>
      <c r="H4330" s="164"/>
    </row>
    <row r="4331" spans="1:8" x14ac:dyDescent="0.2">
      <c r="A4331" s="549"/>
      <c r="C4331" s="548"/>
      <c r="H4331" s="164"/>
    </row>
    <row r="4332" spans="1:8" x14ac:dyDescent="0.2">
      <c r="A4332" s="549"/>
      <c r="C4332" s="548"/>
      <c r="H4332" s="164"/>
    </row>
    <row r="4333" spans="1:8" x14ac:dyDescent="0.2">
      <c r="A4333" s="549"/>
      <c r="C4333" s="548"/>
      <c r="H4333" s="164"/>
    </row>
    <row r="4334" spans="1:8" x14ac:dyDescent="0.2">
      <c r="A4334" s="549"/>
      <c r="C4334" s="548"/>
      <c r="H4334" s="164"/>
    </row>
    <row r="4335" spans="1:8" x14ac:dyDescent="0.2">
      <c r="A4335" s="549"/>
      <c r="C4335" s="548"/>
      <c r="H4335" s="164"/>
    </row>
    <row r="4336" spans="1:8" x14ac:dyDescent="0.2">
      <c r="A4336" s="549"/>
      <c r="C4336" s="548"/>
      <c r="H4336" s="164"/>
    </row>
    <row r="4337" spans="1:8" x14ac:dyDescent="0.2">
      <c r="A4337" s="549"/>
      <c r="C4337" s="548"/>
      <c r="H4337" s="164"/>
    </row>
    <row r="4338" spans="1:8" x14ac:dyDescent="0.2">
      <c r="A4338" s="549"/>
      <c r="C4338" s="548"/>
      <c r="H4338" s="164"/>
    </row>
    <row r="4339" spans="1:8" x14ac:dyDescent="0.2">
      <c r="A4339" s="549"/>
      <c r="C4339" s="548"/>
      <c r="H4339" s="164"/>
    </row>
    <row r="4340" spans="1:8" x14ac:dyDescent="0.2">
      <c r="A4340" s="549"/>
      <c r="C4340" s="548"/>
      <c r="H4340" s="164"/>
    </row>
    <row r="4341" spans="1:8" x14ac:dyDescent="0.2">
      <c r="A4341" s="549"/>
      <c r="C4341" s="548"/>
      <c r="H4341" s="164"/>
    </row>
    <row r="4342" spans="1:8" x14ac:dyDescent="0.2">
      <c r="A4342" s="549"/>
      <c r="C4342" s="548"/>
      <c r="H4342" s="164"/>
    </row>
    <row r="4343" spans="1:8" x14ac:dyDescent="0.2">
      <c r="A4343" s="549"/>
      <c r="C4343" s="548"/>
      <c r="H4343" s="164"/>
    </row>
    <row r="4344" spans="1:8" x14ac:dyDescent="0.2">
      <c r="A4344" s="549"/>
      <c r="C4344" s="548"/>
      <c r="H4344" s="164"/>
    </row>
    <row r="4345" spans="1:8" x14ac:dyDescent="0.2">
      <c r="A4345" s="549"/>
      <c r="C4345" s="548"/>
      <c r="H4345" s="164"/>
    </row>
    <row r="4346" spans="1:8" x14ac:dyDescent="0.2">
      <c r="A4346" s="549"/>
      <c r="C4346" s="548"/>
      <c r="H4346" s="164"/>
    </row>
    <row r="4347" spans="1:8" x14ac:dyDescent="0.2">
      <c r="A4347" s="549"/>
      <c r="C4347" s="548"/>
      <c r="H4347" s="164"/>
    </row>
    <row r="4348" spans="1:8" x14ac:dyDescent="0.2">
      <c r="A4348" s="549"/>
      <c r="C4348" s="548"/>
      <c r="H4348" s="164"/>
    </row>
    <row r="4349" spans="1:8" x14ac:dyDescent="0.2">
      <c r="A4349" s="549"/>
      <c r="C4349" s="548"/>
      <c r="H4349" s="164"/>
    </row>
    <row r="4350" spans="1:8" x14ac:dyDescent="0.2">
      <c r="A4350" s="549"/>
      <c r="C4350" s="548"/>
      <c r="H4350" s="164"/>
    </row>
    <row r="4351" spans="1:8" x14ac:dyDescent="0.2">
      <c r="A4351" s="549"/>
      <c r="C4351" s="548"/>
      <c r="H4351" s="164"/>
    </row>
    <row r="4352" spans="1:8" x14ac:dyDescent="0.2">
      <c r="A4352" s="549"/>
      <c r="C4352" s="548"/>
      <c r="H4352" s="164"/>
    </row>
    <row r="4353" spans="1:8" x14ac:dyDescent="0.2">
      <c r="A4353" s="549"/>
      <c r="C4353" s="548"/>
      <c r="H4353" s="164"/>
    </row>
    <row r="4354" spans="1:8" x14ac:dyDescent="0.2">
      <c r="A4354" s="549"/>
      <c r="C4354" s="548"/>
      <c r="H4354" s="164"/>
    </row>
    <row r="4355" spans="1:8" x14ac:dyDescent="0.2">
      <c r="A4355" s="549"/>
      <c r="C4355" s="548"/>
      <c r="H4355" s="164"/>
    </row>
    <row r="4356" spans="1:8" x14ac:dyDescent="0.2">
      <c r="A4356" s="549"/>
      <c r="C4356" s="548"/>
      <c r="H4356" s="164"/>
    </row>
    <row r="4357" spans="1:8" x14ac:dyDescent="0.2">
      <c r="A4357" s="549"/>
      <c r="C4357" s="548"/>
      <c r="H4357" s="164"/>
    </row>
    <row r="4358" spans="1:8" x14ac:dyDescent="0.2">
      <c r="A4358" s="549"/>
      <c r="C4358" s="548"/>
      <c r="H4358" s="164"/>
    </row>
    <row r="4359" spans="1:8" x14ac:dyDescent="0.2">
      <c r="A4359" s="549"/>
      <c r="C4359" s="548"/>
      <c r="H4359" s="164"/>
    </row>
    <row r="4360" spans="1:8" x14ac:dyDescent="0.2">
      <c r="A4360" s="549"/>
      <c r="C4360" s="548"/>
      <c r="H4360" s="164"/>
    </row>
    <row r="4361" spans="1:8" x14ac:dyDescent="0.2">
      <c r="A4361" s="549"/>
      <c r="C4361" s="548"/>
      <c r="H4361" s="164"/>
    </row>
    <row r="4362" spans="1:8" x14ac:dyDescent="0.2">
      <c r="A4362" s="549"/>
      <c r="C4362" s="548"/>
      <c r="H4362" s="164"/>
    </row>
    <row r="4363" spans="1:8" x14ac:dyDescent="0.2">
      <c r="A4363" s="549"/>
      <c r="C4363" s="548"/>
      <c r="H4363" s="164"/>
    </row>
    <row r="4364" spans="1:8" x14ac:dyDescent="0.2">
      <c r="A4364" s="549"/>
      <c r="C4364" s="548"/>
      <c r="H4364" s="164"/>
    </row>
    <row r="4365" spans="1:8" x14ac:dyDescent="0.2">
      <c r="A4365" s="549"/>
      <c r="C4365" s="548"/>
      <c r="H4365" s="164"/>
    </row>
    <row r="4366" spans="1:8" x14ac:dyDescent="0.2">
      <c r="A4366" s="549"/>
      <c r="C4366" s="548"/>
      <c r="H4366" s="164"/>
    </row>
    <row r="4367" spans="1:8" x14ac:dyDescent="0.2">
      <c r="A4367" s="549"/>
      <c r="C4367" s="548"/>
      <c r="H4367" s="164"/>
    </row>
    <row r="4368" spans="1:8" x14ac:dyDescent="0.2">
      <c r="A4368" s="549"/>
      <c r="C4368" s="548"/>
      <c r="H4368" s="164"/>
    </row>
    <row r="4369" spans="1:8" x14ac:dyDescent="0.2">
      <c r="A4369" s="549"/>
      <c r="C4369" s="548"/>
      <c r="H4369" s="164"/>
    </row>
    <row r="4370" spans="1:8" x14ac:dyDescent="0.2">
      <c r="A4370" s="549"/>
      <c r="C4370" s="548"/>
      <c r="H4370" s="164"/>
    </row>
    <row r="4371" spans="1:8" x14ac:dyDescent="0.2">
      <c r="A4371" s="549"/>
      <c r="C4371" s="548"/>
      <c r="H4371" s="164"/>
    </row>
    <row r="4372" spans="1:8" x14ac:dyDescent="0.2">
      <c r="A4372" s="549"/>
      <c r="C4372" s="548"/>
      <c r="H4372" s="164"/>
    </row>
    <row r="4373" spans="1:8" x14ac:dyDescent="0.2">
      <c r="A4373" s="549"/>
      <c r="C4373" s="548"/>
      <c r="H4373" s="164"/>
    </row>
    <row r="4374" spans="1:8" x14ac:dyDescent="0.2">
      <c r="A4374" s="549"/>
      <c r="C4374" s="548"/>
      <c r="H4374" s="164"/>
    </row>
    <row r="4375" spans="1:8" x14ac:dyDescent="0.2">
      <c r="A4375" s="549"/>
      <c r="C4375" s="548"/>
      <c r="H4375" s="164"/>
    </row>
    <row r="4376" spans="1:8" x14ac:dyDescent="0.2">
      <c r="A4376" s="549"/>
      <c r="C4376" s="548"/>
      <c r="H4376" s="164"/>
    </row>
    <row r="4377" spans="1:8" x14ac:dyDescent="0.2">
      <c r="A4377" s="549"/>
      <c r="C4377" s="548"/>
      <c r="H4377" s="164"/>
    </row>
    <row r="4378" spans="1:8" x14ac:dyDescent="0.2">
      <c r="A4378" s="549"/>
      <c r="C4378" s="548"/>
      <c r="H4378" s="164"/>
    </row>
    <row r="4379" spans="1:8" x14ac:dyDescent="0.2">
      <c r="A4379" s="549"/>
      <c r="C4379" s="548"/>
      <c r="H4379" s="164"/>
    </row>
    <row r="4380" spans="1:8" x14ac:dyDescent="0.2">
      <c r="A4380" s="549"/>
      <c r="C4380" s="548"/>
      <c r="H4380" s="164"/>
    </row>
    <row r="4381" spans="1:8" x14ac:dyDescent="0.2">
      <c r="A4381" s="549"/>
      <c r="C4381" s="548"/>
      <c r="H4381" s="164"/>
    </row>
    <row r="4382" spans="1:8" x14ac:dyDescent="0.2">
      <c r="A4382" s="549"/>
      <c r="C4382" s="548"/>
      <c r="H4382" s="164"/>
    </row>
    <row r="4383" spans="1:8" x14ac:dyDescent="0.2">
      <c r="A4383" s="549"/>
      <c r="C4383" s="548"/>
      <c r="H4383" s="164"/>
    </row>
    <row r="4384" spans="1:8" x14ac:dyDescent="0.2">
      <c r="A4384" s="549"/>
      <c r="C4384" s="548"/>
      <c r="H4384" s="164"/>
    </row>
    <row r="4385" spans="1:8" x14ac:dyDescent="0.2">
      <c r="A4385" s="549"/>
      <c r="C4385" s="548"/>
      <c r="H4385" s="164"/>
    </row>
    <row r="4386" spans="1:8" x14ac:dyDescent="0.2">
      <c r="A4386" s="549"/>
      <c r="C4386" s="548"/>
      <c r="H4386" s="164"/>
    </row>
    <row r="4387" spans="1:8" x14ac:dyDescent="0.2">
      <c r="A4387" s="549"/>
      <c r="C4387" s="548"/>
      <c r="H4387" s="164"/>
    </row>
    <row r="4388" spans="1:8" x14ac:dyDescent="0.2">
      <c r="A4388" s="549"/>
      <c r="C4388" s="548"/>
      <c r="H4388" s="164"/>
    </row>
    <row r="4389" spans="1:8" x14ac:dyDescent="0.2">
      <c r="A4389" s="549"/>
      <c r="C4389" s="548"/>
      <c r="H4389" s="164"/>
    </row>
    <row r="4390" spans="1:8" x14ac:dyDescent="0.2">
      <c r="A4390" s="549"/>
      <c r="C4390" s="548"/>
      <c r="H4390" s="164"/>
    </row>
    <row r="4391" spans="1:8" x14ac:dyDescent="0.2">
      <c r="A4391" s="549"/>
      <c r="C4391" s="548"/>
      <c r="H4391" s="164"/>
    </row>
    <row r="4392" spans="1:8" x14ac:dyDescent="0.2">
      <c r="A4392" s="549"/>
      <c r="C4392" s="548"/>
      <c r="H4392" s="164"/>
    </row>
    <row r="4393" spans="1:8" x14ac:dyDescent="0.2">
      <c r="A4393" s="549"/>
      <c r="C4393" s="548"/>
      <c r="H4393" s="164"/>
    </row>
    <row r="4394" spans="1:8" x14ac:dyDescent="0.2">
      <c r="A4394" s="549"/>
      <c r="C4394" s="548"/>
      <c r="H4394" s="164"/>
    </row>
    <row r="4395" spans="1:8" x14ac:dyDescent="0.2">
      <c r="A4395" s="549"/>
      <c r="C4395" s="548"/>
      <c r="H4395" s="164"/>
    </row>
    <row r="4396" spans="1:8" x14ac:dyDescent="0.2">
      <c r="A4396" s="549"/>
      <c r="C4396" s="548"/>
      <c r="H4396" s="164"/>
    </row>
    <row r="4397" spans="1:8" x14ac:dyDescent="0.2">
      <c r="A4397" s="549"/>
      <c r="C4397" s="548"/>
      <c r="H4397" s="164"/>
    </row>
    <row r="4398" spans="1:8" x14ac:dyDescent="0.2">
      <c r="A4398" s="549"/>
      <c r="C4398" s="548"/>
      <c r="H4398" s="164"/>
    </row>
    <row r="4399" spans="1:8" x14ac:dyDescent="0.2">
      <c r="A4399" s="549"/>
      <c r="C4399" s="548"/>
      <c r="H4399" s="164"/>
    </row>
    <row r="4400" spans="1:8" x14ac:dyDescent="0.2">
      <c r="A4400" s="549"/>
      <c r="C4400" s="548"/>
      <c r="H4400" s="164"/>
    </row>
    <row r="4401" spans="1:8" x14ac:dyDescent="0.2">
      <c r="A4401" s="549"/>
      <c r="C4401" s="548"/>
      <c r="H4401" s="164"/>
    </row>
    <row r="4402" spans="1:8" x14ac:dyDescent="0.2">
      <c r="A4402" s="549"/>
      <c r="C4402" s="548"/>
      <c r="H4402" s="164"/>
    </row>
    <row r="4403" spans="1:8" x14ac:dyDescent="0.2">
      <c r="A4403" s="549"/>
      <c r="C4403" s="548"/>
      <c r="H4403" s="164"/>
    </row>
    <row r="4404" spans="1:8" x14ac:dyDescent="0.2">
      <c r="A4404" s="549"/>
      <c r="C4404" s="548"/>
      <c r="H4404" s="164"/>
    </row>
    <row r="4405" spans="1:8" x14ac:dyDescent="0.2">
      <c r="A4405" s="549"/>
      <c r="C4405" s="548"/>
      <c r="H4405" s="164"/>
    </row>
    <row r="4406" spans="1:8" x14ac:dyDescent="0.2">
      <c r="A4406" s="549"/>
      <c r="C4406" s="548"/>
      <c r="H4406" s="164"/>
    </row>
    <row r="4407" spans="1:8" x14ac:dyDescent="0.2">
      <c r="A4407" s="549"/>
      <c r="C4407" s="548"/>
      <c r="H4407" s="164"/>
    </row>
    <row r="4408" spans="1:8" x14ac:dyDescent="0.2">
      <c r="A4408" s="549"/>
      <c r="C4408" s="548"/>
      <c r="H4408" s="164"/>
    </row>
    <row r="4409" spans="1:8" x14ac:dyDescent="0.2">
      <c r="A4409" s="549"/>
      <c r="C4409" s="548"/>
      <c r="H4409" s="164"/>
    </row>
    <row r="4410" spans="1:8" x14ac:dyDescent="0.2">
      <c r="A4410" s="549"/>
      <c r="C4410" s="548"/>
      <c r="H4410" s="164"/>
    </row>
    <row r="4411" spans="1:8" x14ac:dyDescent="0.2">
      <c r="A4411" s="549"/>
      <c r="C4411" s="548"/>
      <c r="H4411" s="164"/>
    </row>
    <row r="4412" spans="1:8" x14ac:dyDescent="0.2">
      <c r="A4412" s="549"/>
      <c r="C4412" s="548"/>
      <c r="H4412" s="164"/>
    </row>
    <row r="4413" spans="1:8" x14ac:dyDescent="0.2">
      <c r="A4413" s="549"/>
      <c r="C4413" s="548"/>
      <c r="H4413" s="164"/>
    </row>
    <row r="4414" spans="1:8" x14ac:dyDescent="0.2">
      <c r="A4414" s="549"/>
      <c r="C4414" s="548"/>
      <c r="H4414" s="164"/>
    </row>
    <row r="4415" spans="1:8" x14ac:dyDescent="0.2">
      <c r="A4415" s="549"/>
      <c r="C4415" s="548"/>
      <c r="H4415" s="164"/>
    </row>
    <row r="4416" spans="1:8" x14ac:dyDescent="0.2">
      <c r="A4416" s="549"/>
      <c r="C4416" s="548"/>
      <c r="H4416" s="164"/>
    </row>
    <row r="4417" spans="1:8" x14ac:dyDescent="0.2">
      <c r="A4417" s="549"/>
      <c r="C4417" s="548"/>
      <c r="H4417" s="164"/>
    </row>
    <row r="4418" spans="1:8" x14ac:dyDescent="0.2">
      <c r="A4418" s="549"/>
      <c r="C4418" s="548"/>
      <c r="H4418" s="164"/>
    </row>
    <row r="4419" spans="1:8" x14ac:dyDescent="0.2">
      <c r="A4419" s="549"/>
      <c r="C4419" s="548"/>
      <c r="H4419" s="164"/>
    </row>
    <row r="4420" spans="1:8" x14ac:dyDescent="0.2">
      <c r="A4420" s="549"/>
      <c r="C4420" s="548"/>
      <c r="H4420" s="164"/>
    </row>
    <row r="4421" spans="1:8" x14ac:dyDescent="0.2">
      <c r="A4421" s="549"/>
      <c r="C4421" s="548"/>
      <c r="H4421" s="164"/>
    </row>
    <row r="4422" spans="1:8" x14ac:dyDescent="0.2">
      <c r="A4422" s="549"/>
      <c r="C4422" s="548"/>
      <c r="H4422" s="164"/>
    </row>
    <row r="4423" spans="1:8" x14ac:dyDescent="0.2">
      <c r="A4423" s="549"/>
      <c r="C4423" s="548"/>
      <c r="H4423" s="164"/>
    </row>
    <row r="4424" spans="1:8" x14ac:dyDescent="0.2">
      <c r="A4424" s="549"/>
      <c r="C4424" s="548"/>
      <c r="H4424" s="164"/>
    </row>
    <row r="4425" spans="1:8" x14ac:dyDescent="0.2">
      <c r="A4425" s="549"/>
      <c r="C4425" s="548"/>
      <c r="H4425" s="164"/>
    </row>
    <row r="4426" spans="1:8" x14ac:dyDescent="0.2">
      <c r="A4426" s="549"/>
      <c r="C4426" s="548"/>
      <c r="H4426" s="164"/>
    </row>
    <row r="4427" spans="1:8" x14ac:dyDescent="0.2">
      <c r="A4427" s="549"/>
      <c r="C4427" s="548"/>
      <c r="H4427" s="164"/>
    </row>
    <row r="4428" spans="1:8" x14ac:dyDescent="0.2">
      <c r="A4428" s="549"/>
      <c r="C4428" s="548"/>
      <c r="H4428" s="164"/>
    </row>
    <row r="4429" spans="1:8" x14ac:dyDescent="0.2">
      <c r="A4429" s="549"/>
      <c r="C4429" s="548"/>
      <c r="H4429" s="164"/>
    </row>
    <row r="4430" spans="1:8" x14ac:dyDescent="0.2">
      <c r="A4430" s="549"/>
      <c r="C4430" s="548"/>
      <c r="H4430" s="164"/>
    </row>
    <row r="4431" spans="1:8" x14ac:dyDescent="0.2">
      <c r="A4431" s="549"/>
      <c r="C4431" s="548"/>
      <c r="H4431" s="164"/>
    </row>
    <row r="4432" spans="1:8" x14ac:dyDescent="0.2">
      <c r="A4432" s="549"/>
      <c r="C4432" s="548"/>
      <c r="H4432" s="164"/>
    </row>
    <row r="4433" spans="1:8" x14ac:dyDescent="0.2">
      <c r="A4433" s="549"/>
      <c r="C4433" s="548"/>
      <c r="H4433" s="164"/>
    </row>
    <row r="4434" spans="1:8" x14ac:dyDescent="0.2">
      <c r="A4434" s="549"/>
      <c r="C4434" s="548"/>
      <c r="H4434" s="164"/>
    </row>
    <row r="4435" spans="1:8" x14ac:dyDescent="0.2">
      <c r="A4435" s="549"/>
      <c r="C4435" s="548"/>
      <c r="H4435" s="164"/>
    </row>
    <row r="4436" spans="1:8" x14ac:dyDescent="0.2">
      <c r="A4436" s="549"/>
      <c r="C4436" s="548"/>
      <c r="H4436" s="164"/>
    </row>
    <row r="4437" spans="1:8" x14ac:dyDescent="0.2">
      <c r="A4437" s="549"/>
      <c r="C4437" s="548"/>
      <c r="H4437" s="164"/>
    </row>
    <row r="4438" spans="1:8" x14ac:dyDescent="0.2">
      <c r="A4438" s="549"/>
      <c r="C4438" s="548"/>
      <c r="H4438" s="164"/>
    </row>
    <row r="4439" spans="1:8" x14ac:dyDescent="0.2">
      <c r="A4439" s="549"/>
      <c r="C4439" s="548"/>
      <c r="H4439" s="164"/>
    </row>
    <row r="4440" spans="1:8" x14ac:dyDescent="0.2">
      <c r="A4440" s="549"/>
      <c r="C4440" s="548"/>
      <c r="H4440" s="164"/>
    </row>
    <row r="4441" spans="1:8" x14ac:dyDescent="0.2">
      <c r="A4441" s="549"/>
      <c r="C4441" s="548"/>
      <c r="H4441" s="164"/>
    </row>
    <row r="4442" spans="1:8" x14ac:dyDescent="0.2">
      <c r="A4442" s="549"/>
      <c r="C4442" s="548"/>
      <c r="H4442" s="164"/>
    </row>
    <row r="4443" spans="1:8" x14ac:dyDescent="0.2">
      <c r="A4443" s="549"/>
      <c r="C4443" s="548"/>
      <c r="H4443" s="164"/>
    </row>
    <row r="4444" spans="1:8" x14ac:dyDescent="0.2">
      <c r="A4444" s="549"/>
      <c r="C4444" s="548"/>
      <c r="H4444" s="164"/>
    </row>
    <row r="4445" spans="1:8" x14ac:dyDescent="0.2">
      <c r="A4445" s="549"/>
      <c r="C4445" s="548"/>
      <c r="H4445" s="164"/>
    </row>
    <row r="4446" spans="1:8" x14ac:dyDescent="0.2">
      <c r="A4446" s="549"/>
      <c r="C4446" s="548"/>
      <c r="H4446" s="164"/>
    </row>
    <row r="4447" spans="1:8" x14ac:dyDescent="0.2">
      <c r="A4447" s="549"/>
      <c r="C4447" s="548"/>
      <c r="H4447" s="164"/>
    </row>
    <row r="4448" spans="1:8" x14ac:dyDescent="0.2">
      <c r="A4448" s="549"/>
      <c r="C4448" s="548"/>
      <c r="H4448" s="164"/>
    </row>
    <row r="4449" spans="1:8" x14ac:dyDescent="0.2">
      <c r="A4449" s="549"/>
      <c r="C4449" s="548"/>
      <c r="H4449" s="164"/>
    </row>
    <row r="4450" spans="1:8" x14ac:dyDescent="0.2">
      <c r="A4450" s="549"/>
      <c r="C4450" s="548"/>
      <c r="H4450" s="164"/>
    </row>
    <row r="4451" spans="1:8" x14ac:dyDescent="0.2">
      <c r="A4451" s="549"/>
      <c r="C4451" s="548"/>
      <c r="H4451" s="164"/>
    </row>
    <row r="4452" spans="1:8" x14ac:dyDescent="0.2">
      <c r="A4452" s="549"/>
      <c r="C4452" s="548"/>
      <c r="H4452" s="164"/>
    </row>
    <row r="4453" spans="1:8" x14ac:dyDescent="0.2">
      <c r="A4453" s="549"/>
      <c r="C4453" s="548"/>
      <c r="H4453" s="164"/>
    </row>
    <row r="4454" spans="1:8" x14ac:dyDescent="0.2">
      <c r="A4454" s="549"/>
      <c r="C4454" s="548"/>
      <c r="H4454" s="164"/>
    </row>
    <row r="4455" spans="1:8" x14ac:dyDescent="0.2">
      <c r="A4455" s="549"/>
      <c r="C4455" s="548"/>
      <c r="H4455" s="164"/>
    </row>
    <row r="4456" spans="1:8" x14ac:dyDescent="0.2">
      <c r="A4456" s="549"/>
      <c r="C4456" s="548"/>
      <c r="H4456" s="164"/>
    </row>
    <row r="4457" spans="1:8" x14ac:dyDescent="0.2">
      <c r="A4457" s="549"/>
      <c r="C4457" s="548"/>
      <c r="H4457" s="164"/>
    </row>
    <row r="4458" spans="1:8" x14ac:dyDescent="0.2">
      <c r="A4458" s="549"/>
      <c r="C4458" s="548"/>
      <c r="H4458" s="164"/>
    </row>
    <row r="4459" spans="1:8" x14ac:dyDescent="0.2">
      <c r="A4459" s="549"/>
      <c r="C4459" s="548"/>
      <c r="H4459" s="164"/>
    </row>
    <row r="4460" spans="1:8" x14ac:dyDescent="0.2">
      <c r="A4460" s="549"/>
      <c r="C4460" s="548"/>
      <c r="H4460" s="164"/>
    </row>
    <row r="4461" spans="1:8" x14ac:dyDescent="0.2">
      <c r="A4461" s="549"/>
      <c r="C4461" s="548"/>
      <c r="H4461" s="164"/>
    </row>
    <row r="4462" spans="1:8" x14ac:dyDescent="0.2">
      <c r="A4462" s="549"/>
      <c r="C4462" s="548"/>
      <c r="H4462" s="164"/>
    </row>
    <row r="4463" spans="1:8" x14ac:dyDescent="0.2">
      <c r="A4463" s="549"/>
      <c r="C4463" s="548"/>
      <c r="H4463" s="164"/>
    </row>
    <row r="4464" spans="1:8" x14ac:dyDescent="0.2">
      <c r="A4464" s="549"/>
      <c r="C4464" s="548"/>
      <c r="H4464" s="164"/>
    </row>
    <row r="4465" spans="1:8" x14ac:dyDescent="0.2">
      <c r="A4465" s="549"/>
      <c r="C4465" s="548"/>
      <c r="H4465" s="164"/>
    </row>
    <row r="4466" spans="1:8" x14ac:dyDescent="0.2">
      <c r="A4466" s="549"/>
      <c r="C4466" s="548"/>
      <c r="H4466" s="164"/>
    </row>
    <row r="4467" spans="1:8" x14ac:dyDescent="0.2">
      <c r="A4467" s="549"/>
      <c r="C4467" s="548"/>
      <c r="H4467" s="164"/>
    </row>
    <row r="4468" spans="1:8" x14ac:dyDescent="0.2">
      <c r="A4468" s="549"/>
      <c r="C4468" s="548"/>
      <c r="H4468" s="164"/>
    </row>
    <row r="4469" spans="1:8" x14ac:dyDescent="0.2">
      <c r="A4469" s="549"/>
      <c r="C4469" s="548"/>
      <c r="H4469" s="164"/>
    </row>
    <row r="4470" spans="1:8" x14ac:dyDescent="0.2">
      <c r="A4470" s="549"/>
      <c r="C4470" s="548"/>
      <c r="H4470" s="164"/>
    </row>
    <row r="4471" spans="1:8" x14ac:dyDescent="0.2">
      <c r="A4471" s="549"/>
      <c r="C4471" s="548"/>
      <c r="H4471" s="164"/>
    </row>
    <row r="4472" spans="1:8" x14ac:dyDescent="0.2">
      <c r="A4472" s="549"/>
      <c r="C4472" s="548"/>
      <c r="H4472" s="164"/>
    </row>
    <row r="4473" spans="1:8" x14ac:dyDescent="0.2">
      <c r="A4473" s="549"/>
      <c r="C4473" s="548"/>
      <c r="H4473" s="164"/>
    </row>
    <row r="4474" spans="1:8" x14ac:dyDescent="0.2">
      <c r="A4474" s="549"/>
      <c r="C4474" s="548"/>
      <c r="H4474" s="164"/>
    </row>
    <row r="4475" spans="1:8" x14ac:dyDescent="0.2">
      <c r="A4475" s="549"/>
      <c r="C4475" s="548"/>
      <c r="H4475" s="164"/>
    </row>
    <row r="4476" spans="1:8" x14ac:dyDescent="0.2">
      <c r="A4476" s="549"/>
      <c r="C4476" s="548"/>
      <c r="H4476" s="164"/>
    </row>
    <row r="4477" spans="1:8" x14ac:dyDescent="0.2">
      <c r="A4477" s="549"/>
      <c r="C4477" s="548"/>
      <c r="H4477" s="164"/>
    </row>
    <row r="4478" spans="1:8" x14ac:dyDescent="0.2">
      <c r="A4478" s="549"/>
      <c r="C4478" s="548"/>
      <c r="H4478" s="164"/>
    </row>
    <row r="4479" spans="1:8" x14ac:dyDescent="0.2">
      <c r="A4479" s="549"/>
      <c r="C4479" s="548"/>
      <c r="H4479" s="164"/>
    </row>
    <row r="4480" spans="1:8" x14ac:dyDescent="0.2">
      <c r="A4480" s="549"/>
      <c r="C4480" s="548"/>
      <c r="H4480" s="164"/>
    </row>
    <row r="4481" spans="1:8" x14ac:dyDescent="0.2">
      <c r="A4481" s="549"/>
      <c r="C4481" s="548"/>
      <c r="H4481" s="164"/>
    </row>
    <row r="4482" spans="1:8" x14ac:dyDescent="0.2">
      <c r="A4482" s="549"/>
      <c r="C4482" s="548"/>
      <c r="H4482" s="164"/>
    </row>
    <row r="4483" spans="1:8" x14ac:dyDescent="0.2">
      <c r="A4483" s="549"/>
      <c r="C4483" s="548"/>
      <c r="H4483" s="164"/>
    </row>
    <row r="4484" spans="1:8" x14ac:dyDescent="0.2">
      <c r="A4484" s="549"/>
      <c r="C4484" s="548"/>
      <c r="H4484" s="164"/>
    </row>
    <row r="4485" spans="1:8" x14ac:dyDescent="0.2">
      <c r="A4485" s="549"/>
      <c r="C4485" s="548"/>
      <c r="H4485" s="164"/>
    </row>
    <row r="4486" spans="1:8" x14ac:dyDescent="0.2">
      <c r="A4486" s="549"/>
      <c r="C4486" s="548"/>
      <c r="H4486" s="164"/>
    </row>
    <row r="4487" spans="1:8" x14ac:dyDescent="0.2">
      <c r="A4487" s="549"/>
      <c r="C4487" s="548"/>
      <c r="H4487" s="164"/>
    </row>
    <row r="4488" spans="1:8" x14ac:dyDescent="0.2">
      <c r="A4488" s="549"/>
      <c r="C4488" s="548"/>
      <c r="H4488" s="164"/>
    </row>
    <row r="4489" spans="1:8" x14ac:dyDescent="0.2">
      <c r="A4489" s="549"/>
      <c r="C4489" s="548"/>
      <c r="H4489" s="164"/>
    </row>
    <row r="4490" spans="1:8" x14ac:dyDescent="0.2">
      <c r="A4490" s="549"/>
      <c r="C4490" s="548"/>
      <c r="H4490" s="164"/>
    </row>
    <row r="4491" spans="1:8" x14ac:dyDescent="0.2">
      <c r="A4491" s="549"/>
      <c r="C4491" s="548"/>
      <c r="H4491" s="164"/>
    </row>
    <row r="4492" spans="1:8" x14ac:dyDescent="0.2">
      <c r="A4492" s="549"/>
      <c r="C4492" s="548"/>
      <c r="H4492" s="164"/>
    </row>
    <row r="4493" spans="1:8" x14ac:dyDescent="0.2">
      <c r="A4493" s="549"/>
      <c r="C4493" s="548"/>
      <c r="H4493" s="164"/>
    </row>
    <row r="4494" spans="1:8" x14ac:dyDescent="0.2">
      <c r="A4494" s="549"/>
      <c r="C4494" s="548"/>
      <c r="H4494" s="164"/>
    </row>
    <row r="4495" spans="1:8" x14ac:dyDescent="0.2">
      <c r="A4495" s="549"/>
      <c r="C4495" s="548"/>
      <c r="H4495" s="164"/>
    </row>
    <row r="4496" spans="1:8" x14ac:dyDescent="0.2">
      <c r="A4496" s="549"/>
      <c r="C4496" s="548"/>
      <c r="H4496" s="164"/>
    </row>
    <row r="4497" spans="1:8" x14ac:dyDescent="0.2">
      <c r="A4497" s="549"/>
      <c r="C4497" s="548"/>
      <c r="H4497" s="164"/>
    </row>
    <row r="4498" spans="1:8" x14ac:dyDescent="0.2">
      <c r="A4498" s="549"/>
      <c r="C4498" s="548"/>
      <c r="H4498" s="164"/>
    </row>
    <row r="4499" spans="1:8" x14ac:dyDescent="0.2">
      <c r="A4499" s="549"/>
      <c r="C4499" s="548"/>
      <c r="H4499" s="164"/>
    </row>
    <row r="4500" spans="1:8" x14ac:dyDescent="0.2">
      <c r="A4500" s="549"/>
      <c r="C4500" s="548"/>
      <c r="H4500" s="164"/>
    </row>
    <row r="4501" spans="1:8" x14ac:dyDescent="0.2">
      <c r="A4501" s="549"/>
      <c r="C4501" s="548"/>
      <c r="H4501" s="164"/>
    </row>
    <row r="4502" spans="1:8" x14ac:dyDescent="0.2">
      <c r="A4502" s="549"/>
      <c r="C4502" s="548"/>
      <c r="H4502" s="164"/>
    </row>
    <row r="4503" spans="1:8" x14ac:dyDescent="0.2">
      <c r="A4503" s="549"/>
      <c r="C4503" s="548"/>
      <c r="H4503" s="164"/>
    </row>
    <row r="4504" spans="1:8" x14ac:dyDescent="0.2">
      <c r="A4504" s="549"/>
      <c r="C4504" s="548"/>
      <c r="H4504" s="164"/>
    </row>
    <row r="4505" spans="1:8" x14ac:dyDescent="0.2">
      <c r="A4505" s="549"/>
      <c r="C4505" s="548"/>
      <c r="H4505" s="164"/>
    </row>
    <row r="4506" spans="1:8" x14ac:dyDescent="0.2">
      <c r="A4506" s="549"/>
      <c r="C4506" s="548"/>
      <c r="H4506" s="164"/>
    </row>
    <row r="4507" spans="1:8" x14ac:dyDescent="0.2">
      <c r="A4507" s="549"/>
      <c r="C4507" s="548"/>
      <c r="H4507" s="164"/>
    </row>
    <row r="4508" spans="1:8" x14ac:dyDescent="0.2">
      <c r="A4508" s="549"/>
      <c r="C4508" s="548"/>
      <c r="H4508" s="164"/>
    </row>
    <row r="4509" spans="1:8" x14ac:dyDescent="0.2">
      <c r="A4509" s="549"/>
      <c r="C4509" s="548"/>
      <c r="H4509" s="164"/>
    </row>
    <row r="4510" spans="1:8" x14ac:dyDescent="0.2">
      <c r="A4510" s="549"/>
      <c r="C4510" s="548"/>
      <c r="H4510" s="164"/>
    </row>
    <row r="4511" spans="1:8" x14ac:dyDescent="0.2">
      <c r="A4511" s="549"/>
      <c r="C4511" s="548"/>
      <c r="H4511" s="164"/>
    </row>
    <row r="4512" spans="1:8" x14ac:dyDescent="0.2">
      <c r="A4512" s="549"/>
      <c r="C4512" s="548"/>
      <c r="H4512" s="164"/>
    </row>
    <row r="4513" spans="1:8" x14ac:dyDescent="0.2">
      <c r="A4513" s="549"/>
      <c r="C4513" s="548"/>
      <c r="H4513" s="164"/>
    </row>
    <row r="4514" spans="1:8" x14ac:dyDescent="0.2">
      <c r="A4514" s="549"/>
      <c r="C4514" s="548"/>
      <c r="H4514" s="164"/>
    </row>
    <row r="4515" spans="1:8" x14ac:dyDescent="0.2">
      <c r="A4515" s="549"/>
      <c r="C4515" s="548"/>
      <c r="H4515" s="164"/>
    </row>
    <row r="4516" spans="1:8" x14ac:dyDescent="0.2">
      <c r="A4516" s="549"/>
      <c r="C4516" s="548"/>
      <c r="H4516" s="164"/>
    </row>
    <row r="4517" spans="1:8" x14ac:dyDescent="0.2">
      <c r="A4517" s="549"/>
      <c r="C4517" s="548"/>
      <c r="H4517" s="164"/>
    </row>
    <row r="4518" spans="1:8" x14ac:dyDescent="0.2">
      <c r="A4518" s="549"/>
      <c r="C4518" s="548"/>
      <c r="H4518" s="164"/>
    </row>
    <row r="4519" spans="1:8" x14ac:dyDescent="0.2">
      <c r="A4519" s="549"/>
      <c r="C4519" s="548"/>
      <c r="H4519" s="164"/>
    </row>
    <row r="4520" spans="1:8" x14ac:dyDescent="0.2">
      <c r="A4520" s="549"/>
      <c r="C4520" s="548"/>
      <c r="H4520" s="164"/>
    </row>
    <row r="4521" spans="1:8" x14ac:dyDescent="0.2">
      <c r="A4521" s="549"/>
      <c r="C4521" s="548"/>
      <c r="H4521" s="164"/>
    </row>
    <row r="4522" spans="1:8" x14ac:dyDescent="0.2">
      <c r="A4522" s="549"/>
      <c r="C4522" s="548"/>
      <c r="H4522" s="164"/>
    </row>
    <row r="4523" spans="1:8" x14ac:dyDescent="0.2">
      <c r="A4523" s="549"/>
      <c r="C4523" s="548"/>
      <c r="H4523" s="164"/>
    </row>
    <row r="4524" spans="1:8" x14ac:dyDescent="0.2">
      <c r="A4524" s="549"/>
      <c r="C4524" s="548"/>
      <c r="H4524" s="164"/>
    </row>
    <row r="4525" spans="1:8" x14ac:dyDescent="0.2">
      <c r="A4525" s="549"/>
      <c r="C4525" s="548"/>
      <c r="H4525" s="164"/>
    </row>
    <row r="4526" spans="1:8" x14ac:dyDescent="0.2">
      <c r="A4526" s="549"/>
      <c r="C4526" s="548"/>
      <c r="H4526" s="164"/>
    </row>
    <row r="4527" spans="1:8" x14ac:dyDescent="0.2">
      <c r="A4527" s="549"/>
      <c r="C4527" s="548"/>
      <c r="H4527" s="164"/>
    </row>
    <row r="4528" spans="1:8" x14ac:dyDescent="0.2">
      <c r="A4528" s="549"/>
      <c r="C4528" s="548"/>
      <c r="H4528" s="164"/>
    </row>
    <row r="4529" spans="1:8" x14ac:dyDescent="0.2">
      <c r="A4529" s="549"/>
      <c r="C4529" s="548"/>
      <c r="H4529" s="164"/>
    </row>
    <row r="4530" spans="1:8" x14ac:dyDescent="0.2">
      <c r="A4530" s="549"/>
      <c r="C4530" s="548"/>
      <c r="H4530" s="164"/>
    </row>
    <row r="4531" spans="1:8" x14ac:dyDescent="0.2">
      <c r="A4531" s="549"/>
      <c r="C4531" s="548"/>
      <c r="H4531" s="164"/>
    </row>
    <row r="4532" spans="1:8" x14ac:dyDescent="0.2">
      <c r="A4532" s="549"/>
      <c r="C4532" s="548"/>
      <c r="H4532" s="164"/>
    </row>
    <row r="4533" spans="1:8" x14ac:dyDescent="0.2">
      <c r="A4533" s="549"/>
      <c r="C4533" s="548"/>
      <c r="H4533" s="164"/>
    </row>
    <row r="4534" spans="1:8" x14ac:dyDescent="0.2">
      <c r="A4534" s="549"/>
      <c r="C4534" s="548"/>
      <c r="H4534" s="164"/>
    </row>
    <row r="4535" spans="1:8" x14ac:dyDescent="0.2">
      <c r="A4535" s="549"/>
      <c r="C4535" s="548"/>
      <c r="H4535" s="164"/>
    </row>
    <row r="4536" spans="1:8" x14ac:dyDescent="0.2">
      <c r="A4536" s="549"/>
      <c r="C4536" s="548"/>
      <c r="H4536" s="164"/>
    </row>
    <row r="4537" spans="1:8" x14ac:dyDescent="0.2">
      <c r="A4537" s="549"/>
      <c r="C4537" s="548"/>
      <c r="H4537" s="164"/>
    </row>
    <row r="4538" spans="1:8" x14ac:dyDescent="0.2">
      <c r="A4538" s="549"/>
      <c r="C4538" s="548"/>
      <c r="H4538" s="164"/>
    </row>
    <row r="4539" spans="1:8" x14ac:dyDescent="0.2">
      <c r="A4539" s="549"/>
      <c r="C4539" s="548"/>
      <c r="H4539" s="164"/>
    </row>
    <row r="4540" spans="1:8" x14ac:dyDescent="0.2">
      <c r="A4540" s="549"/>
      <c r="C4540" s="548"/>
      <c r="H4540" s="164"/>
    </row>
    <row r="4541" spans="1:8" x14ac:dyDescent="0.2">
      <c r="A4541" s="549"/>
      <c r="C4541" s="548"/>
      <c r="H4541" s="164"/>
    </row>
    <row r="4542" spans="1:8" x14ac:dyDescent="0.2">
      <c r="A4542" s="549"/>
      <c r="C4542" s="548"/>
      <c r="H4542" s="164"/>
    </row>
    <row r="4543" spans="1:8" x14ac:dyDescent="0.2">
      <c r="A4543" s="549"/>
      <c r="C4543" s="548"/>
      <c r="H4543" s="164"/>
    </row>
    <row r="4544" spans="1:8" x14ac:dyDescent="0.2">
      <c r="A4544" s="549"/>
      <c r="C4544" s="548"/>
      <c r="H4544" s="164"/>
    </row>
    <row r="4545" spans="1:8" x14ac:dyDescent="0.2">
      <c r="A4545" s="549"/>
      <c r="C4545" s="548"/>
      <c r="H4545" s="164"/>
    </row>
    <row r="4546" spans="1:8" x14ac:dyDescent="0.2">
      <c r="A4546" s="549"/>
      <c r="C4546" s="548"/>
      <c r="H4546" s="164"/>
    </row>
    <row r="4547" spans="1:8" x14ac:dyDescent="0.2">
      <c r="A4547" s="549"/>
      <c r="C4547" s="548"/>
      <c r="H4547" s="164"/>
    </row>
    <row r="4548" spans="1:8" x14ac:dyDescent="0.2">
      <c r="A4548" s="549"/>
      <c r="C4548" s="548"/>
      <c r="H4548" s="164"/>
    </row>
    <row r="4549" spans="1:8" x14ac:dyDescent="0.2">
      <c r="A4549" s="549"/>
      <c r="C4549" s="548"/>
      <c r="H4549" s="164"/>
    </row>
    <row r="4550" spans="1:8" x14ac:dyDescent="0.2">
      <c r="A4550" s="549"/>
      <c r="C4550" s="548"/>
      <c r="H4550" s="164"/>
    </row>
    <row r="4551" spans="1:8" x14ac:dyDescent="0.2">
      <c r="A4551" s="549"/>
      <c r="C4551" s="548"/>
      <c r="H4551" s="164"/>
    </row>
    <row r="4552" spans="1:8" x14ac:dyDescent="0.2">
      <c r="A4552" s="549"/>
      <c r="C4552" s="548"/>
      <c r="H4552" s="164"/>
    </row>
    <row r="4553" spans="1:8" x14ac:dyDescent="0.2">
      <c r="A4553" s="549"/>
      <c r="C4553" s="548"/>
      <c r="H4553" s="164"/>
    </row>
    <row r="4554" spans="1:8" x14ac:dyDescent="0.2">
      <c r="A4554" s="549"/>
      <c r="C4554" s="548"/>
      <c r="H4554" s="164"/>
    </row>
    <row r="4555" spans="1:8" x14ac:dyDescent="0.2">
      <c r="A4555" s="549"/>
      <c r="C4555" s="548"/>
      <c r="H4555" s="164"/>
    </row>
    <row r="4556" spans="1:8" x14ac:dyDescent="0.2">
      <c r="A4556" s="549"/>
      <c r="C4556" s="548"/>
      <c r="H4556" s="164"/>
    </row>
    <row r="4557" spans="1:8" x14ac:dyDescent="0.2">
      <c r="A4557" s="549"/>
      <c r="C4557" s="548"/>
      <c r="H4557" s="164"/>
    </row>
    <row r="4558" spans="1:8" x14ac:dyDescent="0.2">
      <c r="A4558" s="549"/>
      <c r="C4558" s="548"/>
      <c r="H4558" s="164"/>
    </row>
    <row r="4559" spans="1:8" x14ac:dyDescent="0.2">
      <c r="A4559" s="549"/>
      <c r="C4559" s="548"/>
      <c r="H4559" s="164"/>
    </row>
    <row r="4560" spans="1:8" x14ac:dyDescent="0.2">
      <c r="A4560" s="549"/>
      <c r="C4560" s="548"/>
      <c r="H4560" s="164"/>
    </row>
    <row r="4561" spans="1:8" x14ac:dyDescent="0.2">
      <c r="A4561" s="549"/>
      <c r="C4561" s="548"/>
      <c r="H4561" s="164"/>
    </row>
    <row r="4562" spans="1:8" x14ac:dyDescent="0.2">
      <c r="A4562" s="549"/>
      <c r="C4562" s="548"/>
      <c r="H4562" s="164"/>
    </row>
    <row r="4563" spans="1:8" x14ac:dyDescent="0.2">
      <c r="A4563" s="549"/>
      <c r="C4563" s="548"/>
      <c r="H4563" s="164"/>
    </row>
    <row r="4564" spans="1:8" x14ac:dyDescent="0.2">
      <c r="A4564" s="549"/>
      <c r="C4564" s="548"/>
      <c r="H4564" s="164"/>
    </row>
    <row r="4565" spans="1:8" x14ac:dyDescent="0.2">
      <c r="A4565" s="549"/>
      <c r="C4565" s="548"/>
      <c r="H4565" s="164"/>
    </row>
    <row r="4566" spans="1:8" x14ac:dyDescent="0.2">
      <c r="A4566" s="549"/>
      <c r="C4566" s="548"/>
      <c r="H4566" s="164"/>
    </row>
    <row r="4567" spans="1:8" x14ac:dyDescent="0.2">
      <c r="A4567" s="549"/>
      <c r="C4567" s="548"/>
      <c r="H4567" s="164"/>
    </row>
    <row r="4568" spans="1:8" x14ac:dyDescent="0.2">
      <c r="A4568" s="549"/>
      <c r="C4568" s="548"/>
      <c r="H4568" s="164"/>
    </row>
    <row r="4569" spans="1:8" x14ac:dyDescent="0.2">
      <c r="A4569" s="549"/>
      <c r="C4569" s="548"/>
      <c r="H4569" s="164"/>
    </row>
    <row r="4570" spans="1:8" x14ac:dyDescent="0.2">
      <c r="A4570" s="549"/>
      <c r="C4570" s="548"/>
      <c r="H4570" s="164"/>
    </row>
    <row r="4571" spans="1:8" x14ac:dyDescent="0.2">
      <c r="A4571" s="549"/>
      <c r="C4571" s="548"/>
      <c r="H4571" s="164"/>
    </row>
    <row r="4572" spans="1:8" x14ac:dyDescent="0.2">
      <c r="A4572" s="549"/>
      <c r="C4572" s="548"/>
      <c r="H4572" s="164"/>
    </row>
    <row r="4573" spans="1:8" x14ac:dyDescent="0.2">
      <c r="A4573" s="549"/>
      <c r="C4573" s="548"/>
      <c r="H4573" s="164"/>
    </row>
    <row r="4574" spans="1:8" x14ac:dyDescent="0.2">
      <c r="A4574" s="549"/>
      <c r="C4574" s="548"/>
      <c r="H4574" s="164"/>
    </row>
    <row r="4575" spans="1:8" x14ac:dyDescent="0.2">
      <c r="A4575" s="549"/>
      <c r="C4575" s="548"/>
      <c r="H4575" s="164"/>
    </row>
    <row r="4576" spans="1:8" x14ac:dyDescent="0.2">
      <c r="A4576" s="549"/>
      <c r="C4576" s="548"/>
      <c r="H4576" s="164"/>
    </row>
    <row r="4577" spans="1:8" x14ac:dyDescent="0.2">
      <c r="A4577" s="549"/>
      <c r="C4577" s="548"/>
      <c r="H4577" s="164"/>
    </row>
    <row r="4578" spans="1:8" x14ac:dyDescent="0.2">
      <c r="A4578" s="549"/>
      <c r="C4578" s="548"/>
      <c r="H4578" s="164"/>
    </row>
    <row r="4579" spans="1:8" x14ac:dyDescent="0.2">
      <c r="A4579" s="549"/>
      <c r="C4579" s="548"/>
      <c r="H4579" s="164"/>
    </row>
    <row r="4580" spans="1:8" x14ac:dyDescent="0.2">
      <c r="A4580" s="549"/>
      <c r="C4580" s="548"/>
      <c r="H4580" s="164"/>
    </row>
    <row r="4581" spans="1:8" x14ac:dyDescent="0.2">
      <c r="A4581" s="549"/>
      <c r="C4581" s="548"/>
      <c r="H4581" s="164"/>
    </row>
    <row r="4582" spans="1:8" x14ac:dyDescent="0.2">
      <c r="A4582" s="549"/>
      <c r="C4582" s="548"/>
      <c r="H4582" s="164"/>
    </row>
    <row r="4583" spans="1:8" x14ac:dyDescent="0.2">
      <c r="A4583" s="549"/>
      <c r="C4583" s="548"/>
      <c r="H4583" s="164"/>
    </row>
    <row r="4584" spans="1:8" x14ac:dyDescent="0.2">
      <c r="A4584" s="549"/>
      <c r="C4584" s="548"/>
      <c r="H4584" s="164"/>
    </row>
    <row r="4585" spans="1:8" x14ac:dyDescent="0.2">
      <c r="A4585" s="549"/>
      <c r="C4585" s="548"/>
      <c r="H4585" s="164"/>
    </row>
    <row r="4586" spans="1:8" x14ac:dyDescent="0.2">
      <c r="A4586" s="549"/>
      <c r="C4586" s="548"/>
      <c r="H4586" s="164"/>
    </row>
    <row r="4587" spans="1:8" x14ac:dyDescent="0.2">
      <c r="A4587" s="549"/>
      <c r="C4587" s="548"/>
      <c r="H4587" s="164"/>
    </row>
    <row r="4588" spans="1:8" x14ac:dyDescent="0.2">
      <c r="A4588" s="549"/>
      <c r="C4588" s="548"/>
      <c r="H4588" s="164"/>
    </row>
    <row r="4589" spans="1:8" x14ac:dyDescent="0.2">
      <c r="A4589" s="549"/>
      <c r="C4589" s="548"/>
      <c r="H4589" s="164"/>
    </row>
    <row r="4590" spans="1:8" x14ac:dyDescent="0.2">
      <c r="A4590" s="549"/>
      <c r="C4590" s="548"/>
      <c r="H4590" s="164"/>
    </row>
    <row r="4591" spans="1:8" x14ac:dyDescent="0.2">
      <c r="A4591" s="549"/>
      <c r="C4591" s="548"/>
      <c r="H4591" s="164"/>
    </row>
    <row r="4592" spans="1:8" x14ac:dyDescent="0.2">
      <c r="A4592" s="549"/>
      <c r="C4592" s="548"/>
      <c r="H4592" s="164"/>
    </row>
    <row r="4593" spans="1:8" x14ac:dyDescent="0.2">
      <c r="A4593" s="549"/>
      <c r="C4593" s="548"/>
      <c r="H4593" s="164"/>
    </row>
    <row r="4594" spans="1:8" x14ac:dyDescent="0.2">
      <c r="A4594" s="549"/>
      <c r="C4594" s="548"/>
      <c r="H4594" s="164"/>
    </row>
    <row r="4595" spans="1:8" x14ac:dyDescent="0.2">
      <c r="A4595" s="549"/>
      <c r="C4595" s="548"/>
      <c r="H4595" s="164"/>
    </row>
    <row r="4596" spans="1:8" x14ac:dyDescent="0.2">
      <c r="A4596" s="549"/>
      <c r="C4596" s="548"/>
      <c r="H4596" s="164"/>
    </row>
    <row r="4597" spans="1:8" x14ac:dyDescent="0.2">
      <c r="A4597" s="549"/>
      <c r="C4597" s="548"/>
      <c r="H4597" s="164"/>
    </row>
    <row r="4598" spans="1:8" x14ac:dyDescent="0.2">
      <c r="A4598" s="549"/>
      <c r="C4598" s="548"/>
      <c r="H4598" s="164"/>
    </row>
    <row r="4599" spans="1:8" x14ac:dyDescent="0.2">
      <c r="A4599" s="549"/>
      <c r="C4599" s="548"/>
      <c r="H4599" s="164"/>
    </row>
    <row r="4600" spans="1:8" x14ac:dyDescent="0.2">
      <c r="A4600" s="549"/>
      <c r="C4600" s="548"/>
      <c r="H4600" s="164"/>
    </row>
    <row r="4601" spans="1:8" x14ac:dyDescent="0.2">
      <c r="A4601" s="549"/>
      <c r="C4601" s="548"/>
      <c r="H4601" s="164"/>
    </row>
    <row r="4602" spans="1:8" x14ac:dyDescent="0.2">
      <c r="A4602" s="549"/>
      <c r="C4602" s="548"/>
      <c r="H4602" s="164"/>
    </row>
    <row r="4603" spans="1:8" x14ac:dyDescent="0.2">
      <c r="A4603" s="549"/>
      <c r="C4603" s="548"/>
      <c r="H4603" s="164"/>
    </row>
    <row r="4604" spans="1:8" x14ac:dyDescent="0.2">
      <c r="A4604" s="549"/>
      <c r="C4604" s="548"/>
      <c r="H4604" s="164"/>
    </row>
    <row r="4605" spans="1:8" x14ac:dyDescent="0.2">
      <c r="A4605" s="549"/>
      <c r="C4605" s="548"/>
      <c r="H4605" s="164"/>
    </row>
    <row r="4606" spans="1:8" x14ac:dyDescent="0.2">
      <c r="A4606" s="549"/>
      <c r="C4606" s="548"/>
      <c r="H4606" s="164"/>
    </row>
    <row r="4607" spans="1:8" x14ac:dyDescent="0.2">
      <c r="A4607" s="549"/>
      <c r="C4607" s="548"/>
      <c r="H4607" s="164"/>
    </row>
    <row r="4608" spans="1:8" x14ac:dyDescent="0.2">
      <c r="A4608" s="549"/>
      <c r="C4608" s="548"/>
      <c r="H4608" s="164"/>
    </row>
    <row r="4609" spans="1:8" x14ac:dyDescent="0.2">
      <c r="A4609" s="549"/>
      <c r="C4609" s="548"/>
      <c r="H4609" s="164"/>
    </row>
    <row r="4610" spans="1:8" x14ac:dyDescent="0.2">
      <c r="A4610" s="549"/>
      <c r="C4610" s="548"/>
      <c r="H4610" s="164"/>
    </row>
    <row r="4611" spans="1:8" x14ac:dyDescent="0.2">
      <c r="A4611" s="549"/>
      <c r="C4611" s="548"/>
      <c r="H4611" s="164"/>
    </row>
    <row r="4612" spans="1:8" x14ac:dyDescent="0.2">
      <c r="A4612" s="549"/>
      <c r="C4612" s="548"/>
      <c r="H4612" s="164"/>
    </row>
    <row r="4613" spans="1:8" x14ac:dyDescent="0.2">
      <c r="A4613" s="549"/>
      <c r="C4613" s="548"/>
      <c r="H4613" s="164"/>
    </row>
    <row r="4614" spans="1:8" x14ac:dyDescent="0.2">
      <c r="A4614" s="549"/>
      <c r="C4614" s="548"/>
      <c r="H4614" s="164"/>
    </row>
    <row r="4615" spans="1:8" x14ac:dyDescent="0.2">
      <c r="A4615" s="549"/>
      <c r="C4615" s="548"/>
      <c r="H4615" s="164"/>
    </row>
    <row r="4616" spans="1:8" x14ac:dyDescent="0.2">
      <c r="A4616" s="549"/>
      <c r="C4616" s="548"/>
      <c r="H4616" s="164"/>
    </row>
    <row r="4617" spans="1:8" x14ac:dyDescent="0.2">
      <c r="A4617" s="549"/>
      <c r="C4617" s="548"/>
      <c r="H4617" s="164"/>
    </row>
    <row r="4618" spans="1:8" x14ac:dyDescent="0.2">
      <c r="A4618" s="549"/>
      <c r="C4618" s="548"/>
      <c r="H4618" s="164"/>
    </row>
    <row r="4619" spans="1:8" x14ac:dyDescent="0.2">
      <c r="A4619" s="549"/>
      <c r="C4619" s="548"/>
      <c r="H4619" s="164"/>
    </row>
    <row r="4620" spans="1:8" x14ac:dyDescent="0.2">
      <c r="A4620" s="549"/>
      <c r="C4620" s="548"/>
      <c r="H4620" s="164"/>
    </row>
    <row r="4621" spans="1:8" x14ac:dyDescent="0.2">
      <c r="A4621" s="549"/>
      <c r="C4621" s="548"/>
      <c r="H4621" s="164"/>
    </row>
    <row r="4622" spans="1:8" x14ac:dyDescent="0.2">
      <c r="A4622" s="549"/>
      <c r="C4622" s="548"/>
      <c r="H4622" s="164"/>
    </row>
    <row r="4623" spans="1:8" x14ac:dyDescent="0.2">
      <c r="A4623" s="549"/>
      <c r="C4623" s="548"/>
      <c r="H4623" s="164"/>
    </row>
    <row r="4624" spans="1:8" x14ac:dyDescent="0.2">
      <c r="A4624" s="549"/>
      <c r="C4624" s="548"/>
      <c r="H4624" s="164"/>
    </row>
    <row r="4625" spans="1:8" x14ac:dyDescent="0.2">
      <c r="A4625" s="549"/>
      <c r="C4625" s="548"/>
      <c r="H4625" s="164"/>
    </row>
    <row r="4626" spans="1:8" x14ac:dyDescent="0.2">
      <c r="A4626" s="549"/>
      <c r="C4626" s="548"/>
      <c r="H4626" s="164"/>
    </row>
    <row r="4627" spans="1:8" x14ac:dyDescent="0.2">
      <c r="A4627" s="549"/>
      <c r="C4627" s="548"/>
      <c r="H4627" s="164"/>
    </row>
    <row r="4628" spans="1:8" x14ac:dyDescent="0.2">
      <c r="A4628" s="549"/>
      <c r="C4628" s="548"/>
      <c r="H4628" s="164"/>
    </row>
    <row r="4629" spans="1:8" x14ac:dyDescent="0.2">
      <c r="A4629" s="549"/>
      <c r="C4629" s="548"/>
      <c r="H4629" s="164"/>
    </row>
    <row r="4630" spans="1:8" x14ac:dyDescent="0.2">
      <c r="A4630" s="549"/>
      <c r="C4630" s="548"/>
      <c r="H4630" s="164"/>
    </row>
    <row r="4631" spans="1:8" x14ac:dyDescent="0.2">
      <c r="A4631" s="549"/>
      <c r="C4631" s="548"/>
      <c r="H4631" s="164"/>
    </row>
    <row r="4632" spans="1:8" x14ac:dyDescent="0.2">
      <c r="A4632" s="549"/>
      <c r="C4632" s="548"/>
      <c r="H4632" s="164"/>
    </row>
    <row r="4633" spans="1:8" x14ac:dyDescent="0.2">
      <c r="A4633" s="549"/>
      <c r="C4633" s="548"/>
      <c r="H4633" s="164"/>
    </row>
    <row r="4634" spans="1:8" x14ac:dyDescent="0.2">
      <c r="A4634" s="549"/>
      <c r="C4634" s="548"/>
      <c r="H4634" s="164"/>
    </row>
    <row r="4635" spans="1:8" x14ac:dyDescent="0.2">
      <c r="A4635" s="549"/>
      <c r="C4635" s="548"/>
      <c r="H4635" s="164"/>
    </row>
    <row r="4636" spans="1:8" x14ac:dyDescent="0.2">
      <c r="A4636" s="549"/>
      <c r="C4636" s="548"/>
      <c r="H4636" s="164"/>
    </row>
    <row r="4637" spans="1:8" x14ac:dyDescent="0.2">
      <c r="A4637" s="549"/>
      <c r="C4637" s="548"/>
      <c r="H4637" s="164"/>
    </row>
    <row r="4638" spans="1:8" x14ac:dyDescent="0.2">
      <c r="A4638" s="549"/>
      <c r="C4638" s="548"/>
      <c r="H4638" s="164"/>
    </row>
    <row r="4639" spans="1:8" x14ac:dyDescent="0.2">
      <c r="A4639" s="549"/>
      <c r="C4639" s="548"/>
      <c r="H4639" s="164"/>
    </row>
    <row r="4640" spans="1:8" x14ac:dyDescent="0.2">
      <c r="A4640" s="549"/>
      <c r="C4640" s="548"/>
      <c r="H4640" s="164"/>
    </row>
    <row r="4641" spans="1:8" x14ac:dyDescent="0.2">
      <c r="A4641" s="549"/>
      <c r="C4641" s="548"/>
      <c r="H4641" s="164"/>
    </row>
    <row r="4642" spans="1:8" x14ac:dyDescent="0.2">
      <c r="A4642" s="549"/>
      <c r="C4642" s="548"/>
      <c r="H4642" s="164"/>
    </row>
    <row r="4643" spans="1:8" x14ac:dyDescent="0.2">
      <c r="A4643" s="549"/>
      <c r="C4643" s="548"/>
      <c r="H4643" s="164"/>
    </row>
    <row r="4644" spans="1:8" x14ac:dyDescent="0.2">
      <c r="A4644" s="549"/>
      <c r="C4644" s="548"/>
      <c r="H4644" s="164"/>
    </row>
    <row r="4645" spans="1:8" x14ac:dyDescent="0.2">
      <c r="A4645" s="549"/>
      <c r="C4645" s="548"/>
      <c r="H4645" s="164"/>
    </row>
    <row r="4646" spans="1:8" x14ac:dyDescent="0.2">
      <c r="A4646" s="549"/>
      <c r="C4646" s="548"/>
      <c r="H4646" s="164"/>
    </row>
    <row r="4647" spans="1:8" x14ac:dyDescent="0.2">
      <c r="A4647" s="549"/>
      <c r="C4647" s="548"/>
      <c r="H4647" s="164"/>
    </row>
    <row r="4648" spans="1:8" x14ac:dyDescent="0.2">
      <c r="A4648" s="549"/>
      <c r="C4648" s="548"/>
      <c r="H4648" s="164"/>
    </row>
    <row r="4649" spans="1:8" x14ac:dyDescent="0.2">
      <c r="A4649" s="549"/>
      <c r="C4649" s="548"/>
      <c r="H4649" s="164"/>
    </row>
    <row r="4650" spans="1:8" x14ac:dyDescent="0.2">
      <c r="A4650" s="549"/>
      <c r="C4650" s="548"/>
      <c r="H4650" s="164"/>
    </row>
    <row r="4651" spans="1:8" x14ac:dyDescent="0.2">
      <c r="A4651" s="549"/>
      <c r="C4651" s="548"/>
      <c r="H4651" s="164"/>
    </row>
    <row r="4652" spans="1:8" x14ac:dyDescent="0.2">
      <c r="A4652" s="549"/>
      <c r="C4652" s="548"/>
      <c r="H4652" s="164"/>
    </row>
    <row r="4653" spans="1:8" x14ac:dyDescent="0.2">
      <c r="A4653" s="549"/>
      <c r="C4653" s="548"/>
      <c r="H4653" s="164"/>
    </row>
    <row r="4654" spans="1:8" x14ac:dyDescent="0.2">
      <c r="A4654" s="549"/>
      <c r="C4654" s="548"/>
      <c r="H4654" s="164"/>
    </row>
    <row r="4655" spans="1:8" x14ac:dyDescent="0.2">
      <c r="A4655" s="549"/>
      <c r="C4655" s="548"/>
      <c r="H4655" s="164"/>
    </row>
    <row r="4656" spans="1:8" x14ac:dyDescent="0.2">
      <c r="A4656" s="549"/>
      <c r="C4656" s="548"/>
      <c r="H4656" s="164"/>
    </row>
    <row r="4657" spans="1:8" x14ac:dyDescent="0.2">
      <c r="A4657" s="549"/>
      <c r="C4657" s="548"/>
      <c r="H4657" s="164"/>
    </row>
    <row r="4658" spans="1:8" x14ac:dyDescent="0.2">
      <c r="A4658" s="549"/>
      <c r="C4658" s="548"/>
      <c r="H4658" s="164"/>
    </row>
    <row r="4659" spans="1:8" x14ac:dyDescent="0.2">
      <c r="A4659" s="549"/>
      <c r="C4659" s="548"/>
      <c r="H4659" s="164"/>
    </row>
    <row r="4660" spans="1:8" x14ac:dyDescent="0.2">
      <c r="A4660" s="549"/>
      <c r="C4660" s="548"/>
      <c r="H4660" s="164"/>
    </row>
    <row r="4661" spans="1:8" x14ac:dyDescent="0.2">
      <c r="A4661" s="549"/>
      <c r="C4661" s="548"/>
      <c r="H4661" s="164"/>
    </row>
    <row r="4662" spans="1:8" x14ac:dyDescent="0.2">
      <c r="A4662" s="549"/>
      <c r="C4662" s="548"/>
      <c r="H4662" s="164"/>
    </row>
    <row r="4663" spans="1:8" x14ac:dyDescent="0.2">
      <c r="A4663" s="549"/>
      <c r="C4663" s="548"/>
      <c r="H4663" s="164"/>
    </row>
    <row r="4664" spans="1:8" x14ac:dyDescent="0.2">
      <c r="A4664" s="549"/>
      <c r="C4664" s="548"/>
      <c r="H4664" s="164"/>
    </row>
    <row r="4665" spans="1:8" x14ac:dyDescent="0.2">
      <c r="A4665" s="549"/>
      <c r="C4665" s="548"/>
      <c r="H4665" s="164"/>
    </row>
    <row r="4666" spans="1:8" x14ac:dyDescent="0.2">
      <c r="A4666" s="549"/>
      <c r="C4666" s="548"/>
      <c r="H4666" s="164"/>
    </row>
    <row r="4667" spans="1:8" x14ac:dyDescent="0.2">
      <c r="A4667" s="549"/>
      <c r="C4667" s="548"/>
      <c r="H4667" s="164"/>
    </row>
    <row r="4668" spans="1:8" x14ac:dyDescent="0.2">
      <c r="A4668" s="549"/>
      <c r="C4668" s="548"/>
      <c r="H4668" s="164"/>
    </row>
    <row r="4669" spans="1:8" x14ac:dyDescent="0.2">
      <c r="A4669" s="549"/>
      <c r="C4669" s="548"/>
      <c r="H4669" s="164"/>
    </row>
    <row r="4670" spans="1:8" x14ac:dyDescent="0.2">
      <c r="A4670" s="549"/>
      <c r="C4670" s="548"/>
      <c r="H4670" s="164"/>
    </row>
    <row r="4671" spans="1:8" x14ac:dyDescent="0.2">
      <c r="A4671" s="549"/>
      <c r="C4671" s="548"/>
      <c r="H4671" s="164"/>
    </row>
    <row r="4672" spans="1:8" x14ac:dyDescent="0.2">
      <c r="A4672" s="549"/>
      <c r="C4672" s="548"/>
      <c r="H4672" s="164"/>
    </row>
    <row r="4673" spans="1:8" x14ac:dyDescent="0.2">
      <c r="A4673" s="549"/>
      <c r="C4673" s="548"/>
      <c r="H4673" s="164"/>
    </row>
    <row r="4674" spans="1:8" x14ac:dyDescent="0.2">
      <c r="A4674" s="549"/>
      <c r="C4674" s="548"/>
      <c r="H4674" s="164"/>
    </row>
    <row r="4675" spans="1:8" x14ac:dyDescent="0.2">
      <c r="A4675" s="549"/>
      <c r="C4675" s="548"/>
      <c r="H4675" s="164"/>
    </row>
    <row r="4676" spans="1:8" x14ac:dyDescent="0.2">
      <c r="A4676" s="549"/>
      <c r="C4676" s="548"/>
      <c r="H4676" s="164"/>
    </row>
    <row r="4677" spans="1:8" x14ac:dyDescent="0.2">
      <c r="A4677" s="549"/>
      <c r="C4677" s="548"/>
      <c r="H4677" s="164"/>
    </row>
    <row r="4678" spans="1:8" x14ac:dyDescent="0.2">
      <c r="A4678" s="549"/>
      <c r="C4678" s="548"/>
      <c r="H4678" s="164"/>
    </row>
    <row r="4679" spans="1:8" x14ac:dyDescent="0.2">
      <c r="A4679" s="549"/>
      <c r="C4679" s="548"/>
      <c r="H4679" s="164"/>
    </row>
    <row r="4680" spans="1:8" x14ac:dyDescent="0.2">
      <c r="A4680" s="549"/>
      <c r="C4680" s="548"/>
      <c r="H4680" s="164"/>
    </row>
    <row r="4681" spans="1:8" x14ac:dyDescent="0.2">
      <c r="A4681" s="549"/>
      <c r="C4681" s="548"/>
      <c r="H4681" s="164"/>
    </row>
    <row r="4682" spans="1:8" x14ac:dyDescent="0.2">
      <c r="A4682" s="549"/>
      <c r="C4682" s="548"/>
      <c r="H4682" s="164"/>
    </row>
    <row r="4683" spans="1:8" x14ac:dyDescent="0.2">
      <c r="A4683" s="549"/>
      <c r="C4683" s="548"/>
      <c r="H4683" s="164"/>
    </row>
    <row r="4684" spans="1:8" x14ac:dyDescent="0.2">
      <c r="A4684" s="549"/>
      <c r="C4684" s="548"/>
      <c r="H4684" s="164"/>
    </row>
    <row r="4685" spans="1:8" x14ac:dyDescent="0.2">
      <c r="A4685" s="549"/>
      <c r="C4685" s="548"/>
      <c r="H4685" s="164"/>
    </row>
    <row r="4686" spans="1:8" x14ac:dyDescent="0.2">
      <c r="A4686" s="549"/>
      <c r="C4686" s="548"/>
      <c r="H4686" s="164"/>
    </row>
    <row r="4687" spans="1:8" x14ac:dyDescent="0.2">
      <c r="A4687" s="549"/>
      <c r="C4687" s="548"/>
      <c r="H4687" s="164"/>
    </row>
    <row r="4688" spans="1:8" x14ac:dyDescent="0.2">
      <c r="A4688" s="549"/>
      <c r="C4688" s="548"/>
      <c r="H4688" s="164"/>
    </row>
    <row r="4689" spans="1:8" x14ac:dyDescent="0.2">
      <c r="A4689" s="549"/>
      <c r="C4689" s="548"/>
      <c r="H4689" s="164"/>
    </row>
    <row r="4690" spans="1:8" x14ac:dyDescent="0.2">
      <c r="A4690" s="549"/>
      <c r="C4690" s="548"/>
      <c r="H4690" s="164"/>
    </row>
    <row r="4691" spans="1:8" x14ac:dyDescent="0.2">
      <c r="A4691" s="549"/>
      <c r="C4691" s="548"/>
      <c r="H4691" s="164"/>
    </row>
    <row r="4692" spans="1:8" x14ac:dyDescent="0.2">
      <c r="A4692" s="549"/>
      <c r="C4692" s="548"/>
      <c r="H4692" s="164"/>
    </row>
    <row r="4693" spans="1:8" x14ac:dyDescent="0.2">
      <c r="A4693" s="549"/>
      <c r="C4693" s="548"/>
      <c r="H4693" s="164"/>
    </row>
    <row r="4694" spans="1:8" x14ac:dyDescent="0.2">
      <c r="A4694" s="549"/>
      <c r="C4694" s="548"/>
      <c r="H4694" s="164"/>
    </row>
    <row r="4695" spans="1:8" x14ac:dyDescent="0.2">
      <c r="A4695" s="549"/>
      <c r="C4695" s="548"/>
      <c r="H4695" s="164"/>
    </row>
    <row r="4696" spans="1:8" x14ac:dyDescent="0.2">
      <c r="A4696" s="549"/>
      <c r="C4696" s="548"/>
      <c r="H4696" s="164"/>
    </row>
    <row r="4697" spans="1:8" x14ac:dyDescent="0.2">
      <c r="A4697" s="549"/>
      <c r="C4697" s="548"/>
      <c r="H4697" s="164"/>
    </row>
    <row r="4698" spans="1:8" x14ac:dyDescent="0.2">
      <c r="A4698" s="549"/>
      <c r="C4698" s="548"/>
      <c r="H4698" s="164"/>
    </row>
    <row r="4699" spans="1:8" x14ac:dyDescent="0.2">
      <c r="A4699" s="549"/>
      <c r="C4699" s="548"/>
      <c r="H4699" s="164"/>
    </row>
    <row r="4700" spans="1:8" x14ac:dyDescent="0.2">
      <c r="A4700" s="549"/>
      <c r="C4700" s="548"/>
      <c r="H4700" s="164"/>
    </row>
    <row r="4701" spans="1:8" x14ac:dyDescent="0.2">
      <c r="A4701" s="549"/>
      <c r="C4701" s="548"/>
      <c r="H4701" s="164"/>
    </row>
    <row r="4702" spans="1:8" x14ac:dyDescent="0.2">
      <c r="A4702" s="549"/>
      <c r="C4702" s="548"/>
      <c r="H4702" s="164"/>
    </row>
    <row r="4703" spans="1:8" x14ac:dyDescent="0.2">
      <c r="A4703" s="549"/>
      <c r="C4703" s="548"/>
      <c r="H4703" s="164"/>
    </row>
    <row r="4704" spans="1:8" x14ac:dyDescent="0.2">
      <c r="A4704" s="549"/>
      <c r="C4704" s="548"/>
      <c r="H4704" s="164"/>
    </row>
    <row r="4705" spans="1:8" x14ac:dyDescent="0.2">
      <c r="A4705" s="549"/>
      <c r="C4705" s="548"/>
      <c r="H4705" s="164"/>
    </row>
    <row r="4706" spans="1:8" x14ac:dyDescent="0.2">
      <c r="A4706" s="549"/>
      <c r="C4706" s="548"/>
      <c r="H4706" s="164"/>
    </row>
    <row r="4707" spans="1:8" x14ac:dyDescent="0.2">
      <c r="A4707" s="549"/>
      <c r="C4707" s="548"/>
      <c r="H4707" s="164"/>
    </row>
    <row r="4708" spans="1:8" x14ac:dyDescent="0.2">
      <c r="A4708" s="549"/>
      <c r="C4708" s="548"/>
      <c r="H4708" s="164"/>
    </row>
    <row r="4709" spans="1:8" x14ac:dyDescent="0.2">
      <c r="A4709" s="549"/>
      <c r="C4709" s="548"/>
      <c r="H4709" s="164"/>
    </row>
    <row r="4710" spans="1:8" x14ac:dyDescent="0.2">
      <c r="A4710" s="549"/>
      <c r="C4710" s="548"/>
      <c r="H4710" s="164"/>
    </row>
    <row r="4711" spans="1:8" x14ac:dyDescent="0.2">
      <c r="A4711" s="549"/>
      <c r="C4711" s="548"/>
      <c r="H4711" s="164"/>
    </row>
    <row r="4712" spans="1:8" x14ac:dyDescent="0.2">
      <c r="A4712" s="549"/>
      <c r="C4712" s="548"/>
      <c r="H4712" s="164"/>
    </row>
    <row r="4713" spans="1:8" x14ac:dyDescent="0.2">
      <c r="A4713" s="549"/>
      <c r="C4713" s="548"/>
      <c r="H4713" s="164"/>
    </row>
    <row r="4714" spans="1:8" x14ac:dyDescent="0.2">
      <c r="A4714" s="549"/>
      <c r="C4714" s="548"/>
      <c r="H4714" s="164"/>
    </row>
    <row r="4715" spans="1:8" x14ac:dyDescent="0.2">
      <c r="A4715" s="549"/>
      <c r="C4715" s="548"/>
      <c r="H4715" s="164"/>
    </row>
    <row r="4716" spans="1:8" x14ac:dyDescent="0.2">
      <c r="A4716" s="549"/>
      <c r="C4716" s="548"/>
      <c r="H4716" s="164"/>
    </row>
    <row r="4717" spans="1:8" x14ac:dyDescent="0.2">
      <c r="A4717" s="549"/>
      <c r="C4717" s="548"/>
      <c r="H4717" s="164"/>
    </row>
    <row r="4718" spans="1:8" x14ac:dyDescent="0.2">
      <c r="A4718" s="549"/>
      <c r="C4718" s="548"/>
      <c r="H4718" s="164"/>
    </row>
    <row r="4719" spans="1:8" x14ac:dyDescent="0.2">
      <c r="A4719" s="549"/>
      <c r="C4719" s="548"/>
      <c r="H4719" s="164"/>
    </row>
    <row r="4720" spans="1:8" x14ac:dyDescent="0.2">
      <c r="A4720" s="549"/>
      <c r="C4720" s="548"/>
      <c r="H4720" s="164"/>
    </row>
    <row r="4721" spans="1:8" x14ac:dyDescent="0.2">
      <c r="A4721" s="549"/>
      <c r="C4721" s="548"/>
      <c r="H4721" s="164"/>
    </row>
    <row r="4722" spans="1:8" x14ac:dyDescent="0.2">
      <c r="A4722" s="549"/>
      <c r="C4722" s="548"/>
      <c r="H4722" s="164"/>
    </row>
    <row r="4723" spans="1:8" x14ac:dyDescent="0.2">
      <c r="A4723" s="549"/>
      <c r="C4723" s="548"/>
      <c r="H4723" s="164"/>
    </row>
    <row r="4724" spans="1:8" x14ac:dyDescent="0.2">
      <c r="A4724" s="549"/>
      <c r="C4724" s="548"/>
      <c r="H4724" s="164"/>
    </row>
    <row r="4725" spans="1:8" x14ac:dyDescent="0.2">
      <c r="A4725" s="549"/>
      <c r="C4725" s="548"/>
      <c r="H4725" s="164"/>
    </row>
    <row r="4726" spans="1:8" x14ac:dyDescent="0.2">
      <c r="A4726" s="549"/>
      <c r="C4726" s="548"/>
      <c r="H4726" s="164"/>
    </row>
    <row r="4727" spans="1:8" x14ac:dyDescent="0.2">
      <c r="A4727" s="549"/>
      <c r="C4727" s="548"/>
      <c r="H4727" s="164"/>
    </row>
    <row r="4728" spans="1:8" x14ac:dyDescent="0.2">
      <c r="A4728" s="549"/>
      <c r="C4728" s="548"/>
      <c r="H4728" s="164"/>
    </row>
    <row r="4729" spans="1:8" x14ac:dyDescent="0.2">
      <c r="A4729" s="549"/>
      <c r="C4729" s="548"/>
      <c r="H4729" s="164"/>
    </row>
    <row r="4730" spans="1:8" x14ac:dyDescent="0.2">
      <c r="A4730" s="549"/>
      <c r="C4730" s="548"/>
      <c r="H4730" s="164"/>
    </row>
    <row r="4731" spans="1:8" x14ac:dyDescent="0.2">
      <c r="A4731" s="549"/>
      <c r="C4731" s="548"/>
      <c r="H4731" s="164"/>
    </row>
    <row r="4732" spans="1:8" x14ac:dyDescent="0.2">
      <c r="A4732" s="549"/>
      <c r="C4732" s="548"/>
      <c r="H4732" s="164"/>
    </row>
    <row r="4733" spans="1:8" x14ac:dyDescent="0.2">
      <c r="A4733" s="549"/>
      <c r="C4733" s="548"/>
      <c r="H4733" s="164"/>
    </row>
    <row r="4734" spans="1:8" x14ac:dyDescent="0.2">
      <c r="A4734" s="549"/>
      <c r="C4734" s="548"/>
      <c r="H4734" s="164"/>
    </row>
    <row r="4735" spans="1:8" x14ac:dyDescent="0.2">
      <c r="A4735" s="549"/>
      <c r="C4735" s="548"/>
      <c r="H4735" s="164"/>
    </row>
    <row r="4736" spans="1:8" x14ac:dyDescent="0.2">
      <c r="A4736" s="549"/>
      <c r="C4736" s="548"/>
      <c r="H4736" s="164"/>
    </row>
    <row r="4737" spans="1:8" x14ac:dyDescent="0.2">
      <c r="A4737" s="549"/>
      <c r="C4737" s="548"/>
      <c r="H4737" s="164"/>
    </row>
    <row r="4738" spans="1:8" x14ac:dyDescent="0.2">
      <c r="A4738" s="549"/>
      <c r="C4738" s="548"/>
      <c r="H4738" s="164"/>
    </row>
    <row r="4739" spans="1:8" x14ac:dyDescent="0.2">
      <c r="A4739" s="549"/>
      <c r="C4739" s="548"/>
      <c r="H4739" s="164"/>
    </row>
    <row r="4740" spans="1:8" x14ac:dyDescent="0.2">
      <c r="A4740" s="549"/>
      <c r="C4740" s="548"/>
      <c r="H4740" s="164"/>
    </row>
    <row r="4741" spans="1:8" x14ac:dyDescent="0.2">
      <c r="A4741" s="549"/>
      <c r="C4741" s="548"/>
      <c r="H4741" s="164"/>
    </row>
    <row r="4742" spans="1:8" x14ac:dyDescent="0.2">
      <c r="A4742" s="549"/>
      <c r="C4742" s="548"/>
      <c r="H4742" s="164"/>
    </row>
    <row r="4743" spans="1:8" x14ac:dyDescent="0.2">
      <c r="A4743" s="549"/>
      <c r="C4743" s="548"/>
      <c r="H4743" s="164"/>
    </row>
    <row r="4744" spans="1:8" x14ac:dyDescent="0.2">
      <c r="A4744" s="549"/>
      <c r="C4744" s="548"/>
      <c r="H4744" s="164"/>
    </row>
    <row r="4745" spans="1:8" x14ac:dyDescent="0.2">
      <c r="A4745" s="549"/>
      <c r="C4745" s="548"/>
      <c r="H4745" s="164"/>
    </row>
    <row r="4746" spans="1:8" x14ac:dyDescent="0.2">
      <c r="A4746" s="549"/>
      <c r="C4746" s="548"/>
      <c r="H4746" s="164"/>
    </row>
    <row r="4747" spans="1:8" x14ac:dyDescent="0.2">
      <c r="A4747" s="549"/>
      <c r="C4747" s="548"/>
      <c r="H4747" s="164"/>
    </row>
    <row r="4748" spans="1:8" x14ac:dyDescent="0.2">
      <c r="A4748" s="549"/>
      <c r="C4748" s="548"/>
      <c r="H4748" s="164"/>
    </row>
    <row r="4749" spans="1:8" x14ac:dyDescent="0.2">
      <c r="A4749" s="549"/>
      <c r="C4749" s="548"/>
      <c r="H4749" s="164"/>
    </row>
    <row r="4750" spans="1:8" x14ac:dyDescent="0.2">
      <c r="A4750" s="549"/>
      <c r="C4750" s="548"/>
      <c r="H4750" s="164"/>
    </row>
    <row r="4751" spans="1:8" x14ac:dyDescent="0.2">
      <c r="A4751" s="549"/>
      <c r="C4751" s="548"/>
      <c r="H4751" s="164"/>
    </row>
    <row r="4752" spans="1:8" x14ac:dyDescent="0.2">
      <c r="A4752" s="549"/>
      <c r="C4752" s="548"/>
      <c r="H4752" s="164"/>
    </row>
    <row r="4753" spans="1:8" x14ac:dyDescent="0.2">
      <c r="A4753" s="549"/>
      <c r="C4753" s="548"/>
      <c r="H4753" s="164"/>
    </row>
    <row r="4754" spans="1:8" x14ac:dyDescent="0.2">
      <c r="A4754" s="549"/>
      <c r="C4754" s="548"/>
      <c r="H4754" s="164"/>
    </row>
    <row r="4755" spans="1:8" x14ac:dyDescent="0.2">
      <c r="A4755" s="549"/>
      <c r="C4755" s="548"/>
      <c r="H4755" s="164"/>
    </row>
    <row r="4756" spans="1:8" x14ac:dyDescent="0.2">
      <c r="A4756" s="549"/>
      <c r="C4756" s="548"/>
      <c r="H4756" s="164"/>
    </row>
    <row r="4757" spans="1:8" x14ac:dyDescent="0.2">
      <c r="A4757" s="549"/>
      <c r="C4757" s="548"/>
      <c r="H4757" s="164"/>
    </row>
    <row r="4758" spans="1:8" x14ac:dyDescent="0.2">
      <c r="A4758" s="549"/>
      <c r="C4758" s="548"/>
      <c r="H4758" s="164"/>
    </row>
    <row r="4759" spans="1:8" x14ac:dyDescent="0.2">
      <c r="A4759" s="549"/>
      <c r="C4759" s="548"/>
      <c r="H4759" s="164"/>
    </row>
    <row r="4760" spans="1:8" x14ac:dyDescent="0.2">
      <c r="A4760" s="549"/>
      <c r="C4760" s="548"/>
      <c r="H4760" s="164"/>
    </row>
    <row r="4761" spans="1:8" x14ac:dyDescent="0.2">
      <c r="A4761" s="549"/>
      <c r="C4761" s="548"/>
      <c r="H4761" s="164"/>
    </row>
    <row r="4762" spans="1:8" x14ac:dyDescent="0.2">
      <c r="A4762" s="549"/>
      <c r="C4762" s="548"/>
      <c r="H4762" s="164"/>
    </row>
    <row r="4763" spans="1:8" x14ac:dyDescent="0.2">
      <c r="A4763" s="549"/>
      <c r="C4763" s="548"/>
      <c r="H4763" s="164"/>
    </row>
    <row r="4764" spans="1:8" x14ac:dyDescent="0.2">
      <c r="A4764" s="549"/>
      <c r="C4764" s="548"/>
      <c r="H4764" s="164"/>
    </row>
    <row r="4765" spans="1:8" x14ac:dyDescent="0.2">
      <c r="A4765" s="549"/>
      <c r="C4765" s="548"/>
      <c r="H4765" s="164"/>
    </row>
    <row r="4766" spans="1:8" x14ac:dyDescent="0.2">
      <c r="A4766" s="549"/>
      <c r="C4766" s="548"/>
      <c r="H4766" s="164"/>
    </row>
    <row r="4767" spans="1:8" x14ac:dyDescent="0.2">
      <c r="A4767" s="549"/>
      <c r="C4767" s="548"/>
      <c r="H4767" s="164"/>
    </row>
    <row r="4768" spans="1:8" x14ac:dyDescent="0.2">
      <c r="A4768" s="549"/>
      <c r="C4768" s="548"/>
      <c r="H4768" s="164"/>
    </row>
    <row r="4769" spans="1:8" x14ac:dyDescent="0.2">
      <c r="A4769" s="549"/>
      <c r="C4769" s="548"/>
      <c r="H4769" s="164"/>
    </row>
    <row r="4770" spans="1:8" x14ac:dyDescent="0.2">
      <c r="A4770" s="549"/>
      <c r="C4770" s="548"/>
      <c r="H4770" s="164"/>
    </row>
    <row r="4771" spans="1:8" x14ac:dyDescent="0.2">
      <c r="A4771" s="549"/>
      <c r="C4771" s="548"/>
      <c r="H4771" s="164"/>
    </row>
    <row r="4772" spans="1:8" x14ac:dyDescent="0.2">
      <c r="A4772" s="549"/>
      <c r="C4772" s="548"/>
      <c r="H4772" s="164"/>
    </row>
    <row r="4773" spans="1:8" x14ac:dyDescent="0.2">
      <c r="A4773" s="549"/>
      <c r="C4773" s="548"/>
      <c r="H4773" s="164"/>
    </row>
    <row r="4774" spans="1:8" x14ac:dyDescent="0.2">
      <c r="A4774" s="549"/>
      <c r="C4774" s="548"/>
      <c r="H4774" s="164"/>
    </row>
    <row r="4775" spans="1:8" x14ac:dyDescent="0.2">
      <c r="A4775" s="549"/>
      <c r="C4775" s="548"/>
      <c r="H4775" s="164"/>
    </row>
    <row r="4776" spans="1:8" x14ac:dyDescent="0.2">
      <c r="A4776" s="549"/>
      <c r="C4776" s="548"/>
      <c r="H4776" s="164"/>
    </row>
    <row r="4777" spans="1:8" x14ac:dyDescent="0.2">
      <c r="A4777" s="549"/>
      <c r="C4777" s="548"/>
      <c r="H4777" s="164"/>
    </row>
    <row r="4778" spans="1:8" x14ac:dyDescent="0.2">
      <c r="A4778" s="549"/>
      <c r="C4778" s="548"/>
      <c r="H4778" s="164"/>
    </row>
    <row r="4779" spans="1:8" x14ac:dyDescent="0.2">
      <c r="A4779" s="549"/>
      <c r="C4779" s="548"/>
      <c r="H4779" s="164"/>
    </row>
    <row r="4780" spans="1:8" x14ac:dyDescent="0.2">
      <c r="A4780" s="549"/>
      <c r="C4780" s="548"/>
      <c r="H4780" s="164"/>
    </row>
    <row r="4781" spans="1:8" x14ac:dyDescent="0.2">
      <c r="A4781" s="549"/>
      <c r="C4781" s="548"/>
      <c r="H4781" s="164"/>
    </row>
    <row r="4782" spans="1:8" x14ac:dyDescent="0.2">
      <c r="A4782" s="549"/>
      <c r="C4782" s="548"/>
      <c r="H4782" s="164"/>
    </row>
    <row r="4783" spans="1:8" x14ac:dyDescent="0.2">
      <c r="A4783" s="549"/>
      <c r="C4783" s="548"/>
      <c r="H4783" s="164"/>
    </row>
    <row r="4784" spans="1:8" x14ac:dyDescent="0.2">
      <c r="A4784" s="549"/>
      <c r="C4784" s="548"/>
      <c r="H4784" s="164"/>
    </row>
    <row r="4785" spans="1:8" x14ac:dyDescent="0.2">
      <c r="A4785" s="549"/>
      <c r="C4785" s="548"/>
      <c r="H4785" s="164"/>
    </row>
    <row r="4786" spans="1:8" x14ac:dyDescent="0.2">
      <c r="A4786" s="549"/>
      <c r="C4786" s="548"/>
      <c r="H4786" s="164"/>
    </row>
    <row r="4787" spans="1:8" x14ac:dyDescent="0.2">
      <c r="A4787" s="549"/>
      <c r="C4787" s="548"/>
      <c r="H4787" s="164"/>
    </row>
    <row r="4788" spans="1:8" x14ac:dyDescent="0.2">
      <c r="A4788" s="549"/>
      <c r="C4788" s="548"/>
      <c r="H4788" s="164"/>
    </row>
    <row r="4789" spans="1:8" x14ac:dyDescent="0.2">
      <c r="A4789" s="549"/>
      <c r="C4789" s="548"/>
      <c r="H4789" s="164"/>
    </row>
    <row r="4790" spans="1:8" x14ac:dyDescent="0.2">
      <c r="A4790" s="549"/>
      <c r="C4790" s="548"/>
      <c r="H4790" s="164"/>
    </row>
    <row r="4791" spans="1:8" x14ac:dyDescent="0.2">
      <c r="A4791" s="549"/>
      <c r="C4791" s="548"/>
      <c r="H4791" s="164"/>
    </row>
    <row r="4792" spans="1:8" x14ac:dyDescent="0.2">
      <c r="A4792" s="549"/>
      <c r="C4792" s="548"/>
      <c r="H4792" s="164"/>
    </row>
    <row r="4793" spans="1:8" x14ac:dyDescent="0.2">
      <c r="A4793" s="549"/>
      <c r="C4793" s="548"/>
      <c r="H4793" s="164"/>
    </row>
    <row r="4794" spans="1:8" x14ac:dyDescent="0.2">
      <c r="A4794" s="549"/>
      <c r="C4794" s="548"/>
      <c r="H4794" s="164"/>
    </row>
    <row r="4795" spans="1:8" x14ac:dyDescent="0.2">
      <c r="A4795" s="549"/>
      <c r="C4795" s="548"/>
      <c r="H4795" s="164"/>
    </row>
    <row r="4796" spans="1:8" x14ac:dyDescent="0.2">
      <c r="A4796" s="549"/>
      <c r="C4796" s="548"/>
      <c r="H4796" s="164"/>
    </row>
    <row r="4797" spans="1:8" x14ac:dyDescent="0.2">
      <c r="A4797" s="549"/>
      <c r="C4797" s="548"/>
      <c r="H4797" s="164"/>
    </row>
    <row r="4798" spans="1:8" x14ac:dyDescent="0.2">
      <c r="A4798" s="549"/>
      <c r="C4798" s="548"/>
      <c r="H4798" s="164"/>
    </row>
    <row r="4799" spans="1:8" x14ac:dyDescent="0.2">
      <c r="A4799" s="549"/>
      <c r="C4799" s="548"/>
      <c r="H4799" s="164"/>
    </row>
    <row r="4800" spans="1:8" x14ac:dyDescent="0.2">
      <c r="A4800" s="549"/>
      <c r="C4800" s="548"/>
      <c r="H4800" s="164"/>
    </row>
    <row r="4801" spans="1:8" x14ac:dyDescent="0.2">
      <c r="A4801" s="549"/>
      <c r="C4801" s="548"/>
      <c r="H4801" s="164"/>
    </row>
    <row r="4802" spans="1:8" x14ac:dyDescent="0.2">
      <c r="A4802" s="549"/>
      <c r="C4802" s="548"/>
      <c r="H4802" s="164"/>
    </row>
    <row r="4803" spans="1:8" x14ac:dyDescent="0.2">
      <c r="A4803" s="549"/>
      <c r="C4803" s="548"/>
      <c r="H4803" s="164"/>
    </row>
    <row r="4804" spans="1:8" x14ac:dyDescent="0.2">
      <c r="A4804" s="549"/>
      <c r="C4804" s="548"/>
      <c r="H4804" s="164"/>
    </row>
    <row r="4805" spans="1:8" x14ac:dyDescent="0.2">
      <c r="A4805" s="549"/>
      <c r="C4805" s="548"/>
      <c r="H4805" s="164"/>
    </row>
    <row r="4806" spans="1:8" x14ac:dyDescent="0.2">
      <c r="A4806" s="549"/>
      <c r="C4806" s="548"/>
      <c r="H4806" s="164"/>
    </row>
    <row r="4807" spans="1:8" x14ac:dyDescent="0.2">
      <c r="A4807" s="549"/>
      <c r="C4807" s="548"/>
      <c r="H4807" s="164"/>
    </row>
    <row r="4808" spans="1:8" x14ac:dyDescent="0.2">
      <c r="A4808" s="549"/>
      <c r="C4808" s="548"/>
      <c r="H4808" s="164"/>
    </row>
    <row r="4809" spans="1:8" x14ac:dyDescent="0.2">
      <c r="A4809" s="549"/>
      <c r="C4809" s="548"/>
      <c r="H4809" s="164"/>
    </row>
    <row r="4810" spans="1:8" x14ac:dyDescent="0.2">
      <c r="A4810" s="549"/>
      <c r="C4810" s="548"/>
      <c r="H4810" s="164"/>
    </row>
    <row r="4811" spans="1:8" x14ac:dyDescent="0.2">
      <c r="A4811" s="549"/>
      <c r="C4811" s="548"/>
      <c r="H4811" s="164"/>
    </row>
    <row r="4812" spans="1:8" x14ac:dyDescent="0.2">
      <c r="A4812" s="549"/>
      <c r="C4812" s="548"/>
      <c r="H4812" s="164"/>
    </row>
    <row r="4813" spans="1:8" x14ac:dyDescent="0.2">
      <c r="A4813" s="549"/>
      <c r="C4813" s="548"/>
      <c r="H4813" s="164"/>
    </row>
    <row r="4814" spans="1:8" x14ac:dyDescent="0.2">
      <c r="A4814" s="549"/>
      <c r="C4814" s="548"/>
      <c r="H4814" s="164"/>
    </row>
    <row r="4815" spans="1:8" x14ac:dyDescent="0.2">
      <c r="A4815" s="549"/>
      <c r="C4815" s="548"/>
      <c r="H4815" s="164"/>
    </row>
    <row r="4816" spans="1:8" x14ac:dyDescent="0.2">
      <c r="A4816" s="549"/>
      <c r="C4816" s="548"/>
      <c r="H4816" s="164"/>
    </row>
    <row r="4817" spans="1:8" x14ac:dyDescent="0.2">
      <c r="A4817" s="549"/>
      <c r="C4817" s="548"/>
      <c r="H4817" s="164"/>
    </row>
    <row r="4818" spans="1:8" x14ac:dyDescent="0.2">
      <c r="A4818" s="549"/>
      <c r="C4818" s="548"/>
      <c r="H4818" s="164"/>
    </row>
    <row r="4819" spans="1:8" x14ac:dyDescent="0.2">
      <c r="A4819" s="549"/>
      <c r="C4819" s="548"/>
      <c r="H4819" s="164"/>
    </row>
    <row r="4820" spans="1:8" x14ac:dyDescent="0.2">
      <c r="A4820" s="549"/>
      <c r="C4820" s="548"/>
      <c r="H4820" s="164"/>
    </row>
    <row r="4821" spans="1:8" x14ac:dyDescent="0.2">
      <c r="A4821" s="549"/>
      <c r="C4821" s="548"/>
      <c r="H4821" s="164"/>
    </row>
    <row r="4822" spans="1:8" x14ac:dyDescent="0.2">
      <c r="A4822" s="549"/>
      <c r="C4822" s="548"/>
      <c r="H4822" s="164"/>
    </row>
    <row r="4823" spans="1:8" x14ac:dyDescent="0.2">
      <c r="A4823" s="549"/>
      <c r="C4823" s="548"/>
      <c r="H4823" s="164"/>
    </row>
    <row r="4824" spans="1:8" x14ac:dyDescent="0.2">
      <c r="A4824" s="549"/>
      <c r="C4824" s="548"/>
      <c r="H4824" s="164"/>
    </row>
    <row r="4825" spans="1:8" x14ac:dyDescent="0.2">
      <c r="A4825" s="549"/>
      <c r="C4825" s="548"/>
      <c r="H4825" s="164"/>
    </row>
    <row r="4826" spans="1:8" x14ac:dyDescent="0.2">
      <c r="A4826" s="549"/>
      <c r="C4826" s="548"/>
      <c r="H4826" s="164"/>
    </row>
    <row r="4827" spans="1:8" x14ac:dyDescent="0.2">
      <c r="A4827" s="549"/>
      <c r="C4827" s="548"/>
      <c r="H4827" s="164"/>
    </row>
    <row r="4828" spans="1:8" x14ac:dyDescent="0.2">
      <c r="A4828" s="549"/>
      <c r="C4828" s="548"/>
      <c r="H4828" s="164"/>
    </row>
    <row r="4829" spans="1:8" x14ac:dyDescent="0.2">
      <c r="A4829" s="549"/>
      <c r="C4829" s="548"/>
      <c r="H4829" s="164"/>
    </row>
    <row r="4830" spans="1:8" x14ac:dyDescent="0.2">
      <c r="A4830" s="549"/>
      <c r="C4830" s="548"/>
      <c r="H4830" s="164"/>
    </row>
    <row r="4831" spans="1:8" x14ac:dyDescent="0.2">
      <c r="A4831" s="549"/>
      <c r="C4831" s="548"/>
      <c r="H4831" s="164"/>
    </row>
    <row r="4832" spans="1:8" x14ac:dyDescent="0.2">
      <c r="A4832" s="549"/>
      <c r="C4832" s="548"/>
      <c r="H4832" s="164"/>
    </row>
    <row r="4833" spans="1:8" x14ac:dyDescent="0.2">
      <c r="A4833" s="549"/>
      <c r="C4833" s="548"/>
      <c r="H4833" s="164"/>
    </row>
    <row r="4834" spans="1:8" x14ac:dyDescent="0.2">
      <c r="A4834" s="549"/>
      <c r="C4834" s="548"/>
      <c r="H4834" s="164"/>
    </row>
    <row r="4835" spans="1:8" x14ac:dyDescent="0.2">
      <c r="A4835" s="549"/>
      <c r="C4835" s="548"/>
      <c r="H4835" s="164"/>
    </row>
    <row r="4836" spans="1:8" x14ac:dyDescent="0.2">
      <c r="A4836" s="549"/>
      <c r="C4836" s="548"/>
      <c r="H4836" s="164"/>
    </row>
    <row r="4837" spans="1:8" x14ac:dyDescent="0.2">
      <c r="A4837" s="549"/>
      <c r="C4837" s="548"/>
      <c r="H4837" s="164"/>
    </row>
    <row r="4838" spans="1:8" x14ac:dyDescent="0.2">
      <c r="A4838" s="549"/>
      <c r="C4838" s="548"/>
      <c r="H4838" s="164"/>
    </row>
    <row r="4839" spans="1:8" x14ac:dyDescent="0.2">
      <c r="A4839" s="549"/>
      <c r="C4839" s="548"/>
      <c r="H4839" s="164"/>
    </row>
    <row r="4840" spans="1:8" x14ac:dyDescent="0.2">
      <c r="A4840" s="549"/>
      <c r="C4840" s="548"/>
      <c r="H4840" s="164"/>
    </row>
    <row r="4841" spans="1:8" x14ac:dyDescent="0.2">
      <c r="A4841" s="549"/>
      <c r="C4841" s="548"/>
      <c r="H4841" s="164"/>
    </row>
    <row r="4842" spans="1:8" x14ac:dyDescent="0.2">
      <c r="A4842" s="549"/>
      <c r="C4842" s="548"/>
      <c r="H4842" s="164"/>
    </row>
    <row r="4843" spans="1:8" x14ac:dyDescent="0.2">
      <c r="A4843" s="549"/>
      <c r="C4843" s="548"/>
      <c r="H4843" s="164"/>
    </row>
    <row r="4844" spans="1:8" x14ac:dyDescent="0.2">
      <c r="A4844" s="549"/>
      <c r="C4844" s="548"/>
      <c r="H4844" s="164"/>
    </row>
    <row r="4845" spans="1:8" x14ac:dyDescent="0.2">
      <c r="A4845" s="549"/>
      <c r="C4845" s="548"/>
      <c r="H4845" s="164"/>
    </row>
    <row r="4846" spans="1:8" x14ac:dyDescent="0.2">
      <c r="A4846" s="549"/>
      <c r="C4846" s="548"/>
      <c r="H4846" s="164"/>
    </row>
    <row r="4847" spans="1:8" x14ac:dyDescent="0.2">
      <c r="A4847" s="549"/>
      <c r="C4847" s="548"/>
      <c r="H4847" s="164"/>
    </row>
    <row r="4848" spans="1:8" x14ac:dyDescent="0.2">
      <c r="A4848" s="549"/>
      <c r="C4848" s="548"/>
      <c r="H4848" s="164"/>
    </row>
    <row r="4849" spans="1:8" x14ac:dyDescent="0.2">
      <c r="A4849" s="549"/>
      <c r="C4849" s="548"/>
      <c r="H4849" s="164"/>
    </row>
    <row r="4850" spans="1:8" x14ac:dyDescent="0.2">
      <c r="A4850" s="549"/>
      <c r="C4850" s="548"/>
      <c r="H4850" s="164"/>
    </row>
    <row r="4851" spans="1:8" x14ac:dyDescent="0.2">
      <c r="A4851" s="549"/>
      <c r="C4851" s="548"/>
      <c r="H4851" s="164"/>
    </row>
    <row r="4852" spans="1:8" x14ac:dyDescent="0.2">
      <c r="A4852" s="549"/>
      <c r="C4852" s="548"/>
      <c r="H4852" s="164"/>
    </row>
    <row r="4853" spans="1:8" x14ac:dyDescent="0.2">
      <c r="A4853" s="549"/>
      <c r="C4853" s="548"/>
      <c r="H4853" s="164"/>
    </row>
    <row r="4854" spans="1:8" x14ac:dyDescent="0.2">
      <c r="A4854" s="549"/>
      <c r="C4854" s="548"/>
      <c r="H4854" s="164"/>
    </row>
    <row r="4855" spans="1:8" x14ac:dyDescent="0.2">
      <c r="A4855" s="549"/>
      <c r="C4855" s="548"/>
      <c r="H4855" s="164"/>
    </row>
    <row r="4856" spans="1:8" x14ac:dyDescent="0.2">
      <c r="A4856" s="549"/>
      <c r="C4856" s="548"/>
      <c r="H4856" s="164"/>
    </row>
    <row r="4857" spans="1:8" x14ac:dyDescent="0.2">
      <c r="A4857" s="549"/>
      <c r="C4857" s="548"/>
      <c r="H4857" s="164"/>
    </row>
    <row r="4858" spans="1:8" x14ac:dyDescent="0.2">
      <c r="A4858" s="549"/>
      <c r="C4858" s="548"/>
      <c r="H4858" s="164"/>
    </row>
    <row r="4859" spans="1:8" x14ac:dyDescent="0.2">
      <c r="A4859" s="549"/>
      <c r="C4859" s="548"/>
      <c r="H4859" s="164"/>
    </row>
    <row r="4860" spans="1:8" x14ac:dyDescent="0.2">
      <c r="A4860" s="549"/>
      <c r="C4860" s="548"/>
      <c r="H4860" s="164"/>
    </row>
    <row r="4861" spans="1:8" x14ac:dyDescent="0.2">
      <c r="A4861" s="549"/>
      <c r="C4861" s="548"/>
      <c r="H4861" s="164"/>
    </row>
    <row r="4862" spans="1:8" x14ac:dyDescent="0.2">
      <c r="A4862" s="549"/>
      <c r="C4862" s="548"/>
      <c r="H4862" s="164"/>
    </row>
    <row r="4863" spans="1:8" x14ac:dyDescent="0.2">
      <c r="A4863" s="549"/>
      <c r="C4863" s="548"/>
      <c r="H4863" s="164"/>
    </row>
    <row r="4864" spans="1:8" x14ac:dyDescent="0.2">
      <c r="A4864" s="549"/>
      <c r="C4864" s="548"/>
      <c r="H4864" s="164"/>
    </row>
    <row r="4865" spans="1:8" x14ac:dyDescent="0.2">
      <c r="A4865" s="549"/>
      <c r="C4865" s="548"/>
      <c r="H4865" s="164"/>
    </row>
    <row r="4866" spans="1:8" x14ac:dyDescent="0.2">
      <c r="A4866" s="549"/>
      <c r="C4866" s="548"/>
      <c r="H4866" s="164"/>
    </row>
    <row r="4867" spans="1:8" x14ac:dyDescent="0.2">
      <c r="A4867" s="549"/>
      <c r="C4867" s="548"/>
      <c r="H4867" s="164"/>
    </row>
    <row r="4868" spans="1:8" x14ac:dyDescent="0.2">
      <c r="A4868" s="549"/>
      <c r="C4868" s="548"/>
      <c r="H4868" s="164"/>
    </row>
    <row r="4869" spans="1:8" x14ac:dyDescent="0.2">
      <c r="A4869" s="549"/>
      <c r="C4869" s="548"/>
      <c r="H4869" s="164"/>
    </row>
    <row r="4870" spans="1:8" x14ac:dyDescent="0.2">
      <c r="A4870" s="549"/>
      <c r="C4870" s="548"/>
      <c r="H4870" s="164"/>
    </row>
    <row r="4871" spans="1:8" x14ac:dyDescent="0.2">
      <c r="A4871" s="549"/>
      <c r="C4871" s="548"/>
      <c r="H4871" s="164"/>
    </row>
    <row r="4872" spans="1:8" x14ac:dyDescent="0.2">
      <c r="A4872" s="549"/>
      <c r="C4872" s="548"/>
      <c r="H4872" s="164"/>
    </row>
    <row r="4873" spans="1:8" x14ac:dyDescent="0.2">
      <c r="A4873" s="549"/>
      <c r="C4873" s="548"/>
      <c r="H4873" s="164"/>
    </row>
    <row r="4874" spans="1:8" x14ac:dyDescent="0.2">
      <c r="A4874" s="549"/>
      <c r="C4874" s="548"/>
      <c r="H4874" s="164"/>
    </row>
    <row r="4875" spans="1:8" x14ac:dyDescent="0.2">
      <c r="A4875" s="549"/>
      <c r="C4875" s="548"/>
      <c r="H4875" s="164"/>
    </row>
    <row r="4876" spans="1:8" x14ac:dyDescent="0.2">
      <c r="A4876" s="549"/>
      <c r="C4876" s="548"/>
      <c r="H4876" s="164"/>
    </row>
    <row r="4877" spans="1:8" x14ac:dyDescent="0.2">
      <c r="A4877" s="549"/>
      <c r="C4877" s="548"/>
      <c r="H4877" s="164"/>
    </row>
    <row r="4878" spans="1:8" x14ac:dyDescent="0.2">
      <c r="A4878" s="549"/>
      <c r="C4878" s="548"/>
      <c r="H4878" s="164"/>
    </row>
    <row r="4879" spans="1:8" x14ac:dyDescent="0.2">
      <c r="A4879" s="549"/>
      <c r="C4879" s="548"/>
      <c r="H4879" s="164"/>
    </row>
    <row r="4880" spans="1:8" x14ac:dyDescent="0.2">
      <c r="A4880" s="549"/>
      <c r="C4880" s="548"/>
      <c r="H4880" s="164"/>
    </row>
    <row r="4881" spans="1:8" x14ac:dyDescent="0.2">
      <c r="A4881" s="549"/>
      <c r="C4881" s="548"/>
      <c r="H4881" s="164"/>
    </row>
    <row r="4882" spans="1:8" x14ac:dyDescent="0.2">
      <c r="A4882" s="549"/>
      <c r="C4882" s="548"/>
      <c r="H4882" s="164"/>
    </row>
    <row r="4883" spans="1:8" x14ac:dyDescent="0.2">
      <c r="A4883" s="549"/>
      <c r="C4883" s="548"/>
      <c r="H4883" s="164"/>
    </row>
    <row r="4884" spans="1:8" x14ac:dyDescent="0.2">
      <c r="A4884" s="549"/>
      <c r="C4884" s="548"/>
      <c r="H4884" s="164"/>
    </row>
    <row r="4885" spans="1:8" x14ac:dyDescent="0.2">
      <c r="A4885" s="549"/>
      <c r="C4885" s="548"/>
      <c r="H4885" s="164"/>
    </row>
    <row r="4886" spans="1:8" x14ac:dyDescent="0.2">
      <c r="A4886" s="549"/>
      <c r="C4886" s="548"/>
      <c r="H4886" s="164"/>
    </row>
    <row r="4887" spans="1:8" x14ac:dyDescent="0.2">
      <c r="A4887" s="549"/>
      <c r="C4887" s="548"/>
      <c r="H4887" s="164"/>
    </row>
    <row r="4888" spans="1:8" x14ac:dyDescent="0.2">
      <c r="A4888" s="549"/>
      <c r="C4888" s="548"/>
      <c r="H4888" s="164"/>
    </row>
    <row r="4889" spans="1:8" x14ac:dyDescent="0.2">
      <c r="A4889" s="549"/>
      <c r="C4889" s="548"/>
      <c r="H4889" s="164"/>
    </row>
    <row r="4890" spans="1:8" x14ac:dyDescent="0.2">
      <c r="A4890" s="549"/>
      <c r="C4890" s="548"/>
      <c r="H4890" s="164"/>
    </row>
    <row r="4891" spans="1:8" x14ac:dyDescent="0.2">
      <c r="A4891" s="549"/>
      <c r="C4891" s="548"/>
      <c r="H4891" s="164"/>
    </row>
    <row r="4892" spans="1:8" x14ac:dyDescent="0.2">
      <c r="A4892" s="549"/>
      <c r="C4892" s="548"/>
      <c r="H4892" s="164"/>
    </row>
    <row r="4893" spans="1:8" x14ac:dyDescent="0.2">
      <c r="A4893" s="549"/>
      <c r="C4893" s="548"/>
      <c r="H4893" s="164"/>
    </row>
    <row r="4894" spans="1:8" x14ac:dyDescent="0.2">
      <c r="A4894" s="549"/>
      <c r="C4894" s="548"/>
      <c r="H4894" s="164"/>
    </row>
    <row r="4895" spans="1:8" x14ac:dyDescent="0.2">
      <c r="A4895" s="549"/>
      <c r="C4895" s="548"/>
      <c r="H4895" s="164"/>
    </row>
    <row r="4896" spans="1:8" x14ac:dyDescent="0.2">
      <c r="A4896" s="549"/>
      <c r="C4896" s="548"/>
      <c r="H4896" s="164"/>
    </row>
    <row r="4897" spans="1:8" x14ac:dyDescent="0.2">
      <c r="A4897" s="549"/>
      <c r="C4897" s="548"/>
      <c r="H4897" s="164"/>
    </row>
    <row r="4898" spans="1:8" x14ac:dyDescent="0.2">
      <c r="A4898" s="549"/>
      <c r="C4898" s="548"/>
      <c r="H4898" s="164"/>
    </row>
    <row r="4899" spans="1:8" x14ac:dyDescent="0.2">
      <c r="A4899" s="549"/>
      <c r="C4899" s="548"/>
      <c r="H4899" s="164"/>
    </row>
    <row r="4900" spans="1:8" x14ac:dyDescent="0.2">
      <c r="A4900" s="549"/>
      <c r="C4900" s="548"/>
      <c r="H4900" s="164"/>
    </row>
    <row r="4901" spans="1:8" x14ac:dyDescent="0.2">
      <c r="A4901" s="549"/>
      <c r="C4901" s="548"/>
      <c r="H4901" s="164"/>
    </row>
    <row r="4902" spans="1:8" x14ac:dyDescent="0.2">
      <c r="A4902" s="549"/>
      <c r="C4902" s="548"/>
      <c r="H4902" s="164"/>
    </row>
    <row r="4903" spans="1:8" x14ac:dyDescent="0.2">
      <c r="A4903" s="549"/>
      <c r="C4903" s="548"/>
      <c r="H4903" s="164"/>
    </row>
    <row r="4904" spans="1:8" x14ac:dyDescent="0.2">
      <c r="A4904" s="549"/>
      <c r="C4904" s="548"/>
      <c r="H4904" s="164"/>
    </row>
    <row r="4905" spans="1:8" x14ac:dyDescent="0.2">
      <c r="A4905" s="549"/>
      <c r="C4905" s="548"/>
      <c r="H4905" s="164"/>
    </row>
    <row r="4906" spans="1:8" x14ac:dyDescent="0.2">
      <c r="A4906" s="549"/>
      <c r="C4906" s="548"/>
      <c r="H4906" s="164"/>
    </row>
    <row r="4907" spans="1:8" x14ac:dyDescent="0.2">
      <c r="A4907" s="549"/>
      <c r="C4907" s="548"/>
      <c r="H4907" s="164"/>
    </row>
    <row r="4908" spans="1:8" x14ac:dyDescent="0.2">
      <c r="A4908" s="549"/>
      <c r="C4908" s="548"/>
      <c r="H4908" s="164"/>
    </row>
    <row r="4909" spans="1:8" x14ac:dyDescent="0.2">
      <c r="A4909" s="549"/>
      <c r="C4909" s="548"/>
      <c r="H4909" s="164"/>
    </row>
    <row r="4910" spans="1:8" x14ac:dyDescent="0.2">
      <c r="A4910" s="549"/>
      <c r="C4910" s="548"/>
      <c r="H4910" s="164"/>
    </row>
    <row r="4911" spans="1:8" x14ac:dyDescent="0.2">
      <c r="A4911" s="549"/>
      <c r="C4911" s="548"/>
      <c r="H4911" s="164"/>
    </row>
    <row r="4912" spans="1:8" x14ac:dyDescent="0.2">
      <c r="A4912" s="549"/>
      <c r="C4912" s="548"/>
      <c r="H4912" s="164"/>
    </row>
    <row r="4913" spans="1:8" x14ac:dyDescent="0.2">
      <c r="A4913" s="549"/>
      <c r="C4913" s="548"/>
      <c r="H4913" s="164"/>
    </row>
    <row r="4914" spans="1:8" x14ac:dyDescent="0.2">
      <c r="A4914" s="549"/>
      <c r="C4914" s="548"/>
      <c r="H4914" s="164"/>
    </row>
    <row r="4915" spans="1:8" x14ac:dyDescent="0.2">
      <c r="A4915" s="549"/>
      <c r="C4915" s="548"/>
      <c r="H4915" s="164"/>
    </row>
    <row r="4916" spans="1:8" x14ac:dyDescent="0.2">
      <c r="A4916" s="549"/>
      <c r="C4916" s="548"/>
      <c r="H4916" s="164"/>
    </row>
    <row r="4917" spans="1:8" x14ac:dyDescent="0.2">
      <c r="A4917" s="549"/>
      <c r="C4917" s="548"/>
      <c r="H4917" s="164"/>
    </row>
    <row r="4918" spans="1:8" x14ac:dyDescent="0.2">
      <c r="A4918" s="549"/>
      <c r="C4918" s="548"/>
      <c r="H4918" s="164"/>
    </row>
    <row r="4919" spans="1:8" x14ac:dyDescent="0.2">
      <c r="A4919" s="549"/>
      <c r="C4919" s="548"/>
      <c r="H4919" s="164"/>
    </row>
    <row r="4920" spans="1:8" x14ac:dyDescent="0.2">
      <c r="A4920" s="549"/>
      <c r="C4920" s="548"/>
      <c r="H4920" s="164"/>
    </row>
    <row r="4921" spans="1:8" x14ac:dyDescent="0.2">
      <c r="A4921" s="549"/>
      <c r="C4921" s="548"/>
      <c r="H4921" s="164"/>
    </row>
    <row r="4922" spans="1:8" x14ac:dyDescent="0.2">
      <c r="A4922" s="549"/>
      <c r="C4922" s="548"/>
      <c r="H4922" s="164"/>
    </row>
    <row r="4923" spans="1:8" x14ac:dyDescent="0.2">
      <c r="A4923" s="549"/>
      <c r="C4923" s="548"/>
      <c r="H4923" s="164"/>
    </row>
    <row r="4924" spans="1:8" x14ac:dyDescent="0.2">
      <c r="A4924" s="549"/>
      <c r="C4924" s="548"/>
      <c r="H4924" s="164"/>
    </row>
    <row r="4925" spans="1:8" x14ac:dyDescent="0.2">
      <c r="A4925" s="549"/>
      <c r="C4925" s="548"/>
      <c r="H4925" s="164"/>
    </row>
    <row r="4926" spans="1:8" x14ac:dyDescent="0.2">
      <c r="A4926" s="549"/>
      <c r="C4926" s="548"/>
      <c r="H4926" s="164"/>
    </row>
    <row r="4927" spans="1:8" x14ac:dyDescent="0.2">
      <c r="A4927" s="549"/>
      <c r="C4927" s="548"/>
      <c r="H4927" s="164"/>
    </row>
    <row r="4928" spans="1:8" x14ac:dyDescent="0.2">
      <c r="A4928" s="549"/>
      <c r="C4928" s="548"/>
      <c r="H4928" s="164"/>
    </row>
    <row r="4929" spans="1:8" x14ac:dyDescent="0.2">
      <c r="A4929" s="549"/>
      <c r="C4929" s="548"/>
      <c r="H4929" s="164"/>
    </row>
    <row r="4930" spans="1:8" x14ac:dyDescent="0.2">
      <c r="A4930" s="549"/>
      <c r="C4930" s="548"/>
      <c r="H4930" s="164"/>
    </row>
    <row r="4931" spans="1:8" x14ac:dyDescent="0.2">
      <c r="A4931" s="549"/>
      <c r="C4931" s="548"/>
      <c r="H4931" s="164"/>
    </row>
    <row r="4932" spans="1:8" x14ac:dyDescent="0.2">
      <c r="A4932" s="549"/>
      <c r="C4932" s="548"/>
      <c r="H4932" s="164"/>
    </row>
    <row r="4933" spans="1:8" x14ac:dyDescent="0.2">
      <c r="A4933" s="549"/>
      <c r="C4933" s="548"/>
      <c r="H4933" s="164"/>
    </row>
    <row r="4934" spans="1:8" x14ac:dyDescent="0.2">
      <c r="A4934" s="549"/>
      <c r="C4934" s="548"/>
      <c r="H4934" s="164"/>
    </row>
    <row r="4935" spans="1:8" x14ac:dyDescent="0.2">
      <c r="A4935" s="549"/>
      <c r="C4935" s="548"/>
      <c r="H4935" s="164"/>
    </row>
    <row r="4936" spans="1:8" x14ac:dyDescent="0.2">
      <c r="A4936" s="549"/>
      <c r="C4936" s="548"/>
      <c r="H4936" s="164"/>
    </row>
    <row r="4937" spans="1:8" x14ac:dyDescent="0.2">
      <c r="A4937" s="549"/>
      <c r="C4937" s="548"/>
      <c r="H4937" s="164"/>
    </row>
    <row r="4938" spans="1:8" x14ac:dyDescent="0.2">
      <c r="A4938" s="549"/>
      <c r="C4938" s="548"/>
      <c r="H4938" s="164"/>
    </row>
    <row r="4939" spans="1:8" x14ac:dyDescent="0.2">
      <c r="A4939" s="549"/>
      <c r="C4939" s="548"/>
      <c r="H4939" s="164"/>
    </row>
    <row r="4940" spans="1:8" x14ac:dyDescent="0.2">
      <c r="A4940" s="549"/>
      <c r="C4940" s="548"/>
      <c r="H4940" s="164"/>
    </row>
    <row r="4941" spans="1:8" x14ac:dyDescent="0.2">
      <c r="A4941" s="549"/>
      <c r="C4941" s="548"/>
      <c r="H4941" s="164"/>
    </row>
    <row r="4942" spans="1:8" x14ac:dyDescent="0.2">
      <c r="A4942" s="549"/>
      <c r="C4942" s="548"/>
      <c r="H4942" s="164"/>
    </row>
    <row r="4943" spans="1:8" x14ac:dyDescent="0.2">
      <c r="A4943" s="549"/>
      <c r="C4943" s="548"/>
      <c r="H4943" s="164"/>
    </row>
    <row r="4944" spans="1:8" x14ac:dyDescent="0.2">
      <c r="A4944" s="549"/>
      <c r="C4944" s="548"/>
      <c r="H4944" s="164"/>
    </row>
    <row r="4945" spans="1:8" x14ac:dyDescent="0.2">
      <c r="A4945" s="549"/>
      <c r="C4945" s="548"/>
      <c r="H4945" s="164"/>
    </row>
    <row r="4946" spans="1:8" x14ac:dyDescent="0.2">
      <c r="A4946" s="549"/>
      <c r="C4946" s="548"/>
      <c r="H4946" s="164"/>
    </row>
    <row r="4947" spans="1:8" x14ac:dyDescent="0.2">
      <c r="A4947" s="549"/>
      <c r="C4947" s="548"/>
      <c r="H4947" s="164"/>
    </row>
    <row r="4948" spans="1:8" x14ac:dyDescent="0.2">
      <c r="A4948" s="549"/>
      <c r="C4948" s="548"/>
      <c r="H4948" s="164"/>
    </row>
    <row r="4949" spans="1:8" x14ac:dyDescent="0.2">
      <c r="A4949" s="549"/>
      <c r="C4949" s="548"/>
      <c r="H4949" s="164"/>
    </row>
    <row r="4950" spans="1:8" x14ac:dyDescent="0.2">
      <c r="A4950" s="549"/>
      <c r="C4950" s="548"/>
      <c r="H4950" s="164"/>
    </row>
    <row r="4951" spans="1:8" x14ac:dyDescent="0.2">
      <c r="A4951" s="549"/>
      <c r="C4951" s="548"/>
      <c r="H4951" s="164"/>
    </row>
    <row r="4952" spans="1:8" x14ac:dyDescent="0.2">
      <c r="A4952" s="549"/>
      <c r="C4952" s="548"/>
      <c r="H4952" s="164"/>
    </row>
    <row r="4953" spans="1:8" x14ac:dyDescent="0.2">
      <c r="A4953" s="549"/>
      <c r="C4953" s="548"/>
      <c r="H4953" s="164"/>
    </row>
    <row r="4954" spans="1:8" x14ac:dyDescent="0.2">
      <c r="A4954" s="549"/>
      <c r="C4954" s="548"/>
      <c r="H4954" s="164"/>
    </row>
    <row r="4955" spans="1:8" x14ac:dyDescent="0.2">
      <c r="A4955" s="549"/>
      <c r="C4955" s="548"/>
      <c r="H4955" s="164"/>
    </row>
    <row r="4956" spans="1:8" x14ac:dyDescent="0.2">
      <c r="A4956" s="549"/>
      <c r="C4956" s="548"/>
      <c r="H4956" s="164"/>
    </row>
    <row r="4957" spans="1:8" x14ac:dyDescent="0.2">
      <c r="A4957" s="549"/>
      <c r="C4957" s="548"/>
      <c r="H4957" s="164"/>
    </row>
    <row r="4958" spans="1:8" x14ac:dyDescent="0.2">
      <c r="A4958" s="549"/>
      <c r="C4958" s="548"/>
      <c r="H4958" s="164"/>
    </row>
    <row r="4959" spans="1:8" x14ac:dyDescent="0.2">
      <c r="A4959" s="549"/>
      <c r="C4959" s="548"/>
      <c r="H4959" s="164"/>
    </row>
    <row r="4960" spans="1:8" x14ac:dyDescent="0.2">
      <c r="A4960" s="549"/>
      <c r="C4960" s="548"/>
      <c r="H4960" s="164"/>
    </row>
    <row r="4961" spans="1:8" x14ac:dyDescent="0.2">
      <c r="A4961" s="549"/>
      <c r="C4961" s="548"/>
      <c r="H4961" s="164"/>
    </row>
    <row r="4962" spans="1:8" x14ac:dyDescent="0.2">
      <c r="A4962" s="549"/>
      <c r="C4962" s="548"/>
      <c r="H4962" s="164"/>
    </row>
    <row r="4963" spans="1:8" x14ac:dyDescent="0.2">
      <c r="A4963" s="549"/>
      <c r="C4963" s="548"/>
      <c r="H4963" s="164"/>
    </row>
    <row r="4964" spans="1:8" x14ac:dyDescent="0.2">
      <c r="A4964" s="549"/>
      <c r="C4964" s="548"/>
      <c r="H4964" s="164"/>
    </row>
    <row r="4965" spans="1:8" x14ac:dyDescent="0.2">
      <c r="C4965" s="548"/>
      <c r="H4965" s="164"/>
    </row>
    <row r="4966" spans="1:8" x14ac:dyDescent="0.2">
      <c r="C4966" s="548"/>
      <c r="H4966" s="164"/>
    </row>
    <row r="4967" spans="1:8" x14ac:dyDescent="0.2">
      <c r="C4967" s="548"/>
      <c r="H4967" s="164"/>
    </row>
    <row r="4968" spans="1:8" x14ac:dyDescent="0.2">
      <c r="C4968" s="548"/>
      <c r="H4968" s="164"/>
    </row>
    <row r="4969" spans="1:8" x14ac:dyDescent="0.2">
      <c r="C4969" s="548"/>
      <c r="H4969" s="164"/>
    </row>
    <row r="4970" spans="1:8" x14ac:dyDescent="0.2">
      <c r="C4970" s="548"/>
      <c r="H4970" s="164"/>
    </row>
    <row r="4971" spans="1:8" x14ac:dyDescent="0.2">
      <c r="C4971" s="548"/>
      <c r="H4971" s="164"/>
    </row>
    <row r="4972" spans="1:8" x14ac:dyDescent="0.2">
      <c r="C4972" s="548"/>
      <c r="H4972" s="164"/>
    </row>
    <row r="4973" spans="1:8" x14ac:dyDescent="0.2">
      <c r="C4973" s="548"/>
      <c r="H4973" s="164"/>
    </row>
    <row r="4974" spans="1:8" x14ac:dyDescent="0.2">
      <c r="C4974" s="548"/>
      <c r="H4974" s="164"/>
    </row>
    <row r="4975" spans="1:8" x14ac:dyDescent="0.2">
      <c r="C4975" s="548"/>
      <c r="H4975" s="164"/>
    </row>
    <row r="4976" spans="1:8" x14ac:dyDescent="0.2">
      <c r="C4976" s="548"/>
      <c r="H4976" s="164"/>
    </row>
    <row r="4977" spans="3:8" x14ac:dyDescent="0.2">
      <c r="C4977" s="548"/>
      <c r="H4977" s="164"/>
    </row>
    <row r="4978" spans="3:8" x14ac:dyDescent="0.2">
      <c r="C4978" s="548"/>
      <c r="H4978" s="164"/>
    </row>
    <row r="4979" spans="3:8" x14ac:dyDescent="0.2">
      <c r="C4979" s="548"/>
      <c r="H4979" s="164"/>
    </row>
    <row r="4980" spans="3:8" x14ac:dyDescent="0.2">
      <c r="C4980" s="548"/>
      <c r="H4980" s="164"/>
    </row>
    <row r="4981" spans="3:8" x14ac:dyDescent="0.2">
      <c r="C4981" s="548"/>
      <c r="H4981" s="164"/>
    </row>
    <row r="4982" spans="3:8" x14ac:dyDescent="0.2">
      <c r="C4982" s="548"/>
      <c r="H4982" s="164"/>
    </row>
    <row r="4983" spans="3:8" x14ac:dyDescent="0.2">
      <c r="C4983" s="548"/>
      <c r="H4983" s="164"/>
    </row>
    <row r="4984" spans="3:8" x14ac:dyDescent="0.2">
      <c r="C4984" s="548"/>
      <c r="H4984" s="164"/>
    </row>
    <row r="4985" spans="3:8" x14ac:dyDescent="0.2">
      <c r="C4985" s="548"/>
      <c r="H4985" s="164"/>
    </row>
    <row r="4986" spans="3:8" x14ac:dyDescent="0.2">
      <c r="C4986" s="548"/>
      <c r="H4986" s="164"/>
    </row>
    <row r="4987" spans="3:8" x14ac:dyDescent="0.2">
      <c r="C4987" s="548"/>
      <c r="H4987" s="164"/>
    </row>
    <row r="4988" spans="3:8" x14ac:dyDescent="0.2">
      <c r="C4988" s="548"/>
      <c r="H4988" s="164"/>
    </row>
    <row r="4989" spans="3:8" x14ac:dyDescent="0.2">
      <c r="C4989" s="548"/>
      <c r="H4989" s="164"/>
    </row>
    <row r="4990" spans="3:8" x14ac:dyDescent="0.2">
      <c r="C4990" s="548"/>
      <c r="H4990" s="164"/>
    </row>
    <row r="4991" spans="3:8" x14ac:dyDescent="0.2">
      <c r="C4991" s="548"/>
      <c r="H4991" s="164"/>
    </row>
    <row r="4992" spans="3:8" x14ac:dyDescent="0.2">
      <c r="C4992" s="548"/>
      <c r="H4992" s="164"/>
    </row>
    <row r="4993" spans="3:8" x14ac:dyDescent="0.2">
      <c r="C4993" s="548"/>
      <c r="H4993" s="164"/>
    </row>
    <row r="4994" spans="3:8" x14ac:dyDescent="0.2">
      <c r="C4994" s="548"/>
      <c r="H4994" s="164"/>
    </row>
    <row r="4995" spans="3:8" x14ac:dyDescent="0.2">
      <c r="C4995" s="548"/>
      <c r="H4995" s="164"/>
    </row>
    <row r="4996" spans="3:8" x14ac:dyDescent="0.2">
      <c r="C4996" s="548"/>
      <c r="H4996" s="164"/>
    </row>
    <row r="4997" spans="3:8" x14ac:dyDescent="0.2">
      <c r="C4997" s="548"/>
      <c r="H4997" s="164"/>
    </row>
    <row r="4998" spans="3:8" x14ac:dyDescent="0.2">
      <c r="C4998" s="548"/>
      <c r="H4998" s="164"/>
    </row>
    <row r="4999" spans="3:8" x14ac:dyDescent="0.2">
      <c r="C4999" s="548"/>
      <c r="H4999" s="164"/>
    </row>
    <row r="5000" spans="3:8" x14ac:dyDescent="0.2">
      <c r="C5000" s="548"/>
      <c r="H5000" s="164"/>
    </row>
    <row r="5001" spans="3:8" x14ac:dyDescent="0.2">
      <c r="C5001" s="548"/>
      <c r="H5001" s="164"/>
    </row>
    <row r="5002" spans="3:8" x14ac:dyDescent="0.2">
      <c r="C5002" s="548"/>
      <c r="H5002" s="164"/>
    </row>
    <row r="5003" spans="3:8" x14ac:dyDescent="0.2">
      <c r="C5003" s="548"/>
      <c r="H5003" s="164"/>
    </row>
    <row r="5004" spans="3:8" x14ac:dyDescent="0.2">
      <c r="C5004" s="548"/>
      <c r="H5004" s="164"/>
    </row>
    <row r="5005" spans="3:8" x14ac:dyDescent="0.2">
      <c r="C5005" s="548"/>
      <c r="H5005" s="164"/>
    </row>
    <row r="5006" spans="3:8" x14ac:dyDescent="0.2">
      <c r="C5006" s="548"/>
      <c r="H5006" s="164"/>
    </row>
    <row r="5007" spans="3:8" x14ac:dyDescent="0.2">
      <c r="C5007" s="548"/>
      <c r="H5007" s="164"/>
    </row>
    <row r="5008" spans="3:8" x14ac:dyDescent="0.2">
      <c r="C5008" s="548"/>
      <c r="H5008" s="164"/>
    </row>
    <row r="5009" spans="3:8" x14ac:dyDescent="0.2">
      <c r="C5009" s="548"/>
      <c r="H5009" s="164"/>
    </row>
    <row r="5010" spans="3:8" x14ac:dyDescent="0.2">
      <c r="C5010" s="548"/>
      <c r="H5010" s="164"/>
    </row>
    <row r="5011" spans="3:8" x14ac:dyDescent="0.2">
      <c r="C5011" s="548"/>
      <c r="H5011" s="164"/>
    </row>
    <row r="5012" spans="3:8" x14ac:dyDescent="0.2">
      <c r="C5012" s="548"/>
      <c r="H5012" s="164"/>
    </row>
    <row r="5013" spans="3:8" x14ac:dyDescent="0.2">
      <c r="C5013" s="548"/>
      <c r="H5013" s="164"/>
    </row>
    <row r="5014" spans="3:8" x14ac:dyDescent="0.2">
      <c r="C5014" s="548"/>
      <c r="H5014" s="164"/>
    </row>
    <row r="5015" spans="3:8" x14ac:dyDescent="0.2">
      <c r="C5015" s="548"/>
      <c r="H5015" s="164"/>
    </row>
    <row r="5016" spans="3:8" x14ac:dyDescent="0.2">
      <c r="C5016" s="548"/>
      <c r="H5016" s="164"/>
    </row>
    <row r="5017" spans="3:8" x14ac:dyDescent="0.2">
      <c r="C5017" s="548"/>
      <c r="H5017" s="164"/>
    </row>
    <row r="5018" spans="3:8" x14ac:dyDescent="0.2">
      <c r="C5018" s="548"/>
      <c r="H5018" s="164"/>
    </row>
    <row r="5019" spans="3:8" x14ac:dyDescent="0.2">
      <c r="C5019" s="548"/>
      <c r="H5019" s="164"/>
    </row>
    <row r="5020" spans="3:8" x14ac:dyDescent="0.2">
      <c r="C5020" s="548"/>
      <c r="H5020" s="164"/>
    </row>
    <row r="5021" spans="3:8" x14ac:dyDescent="0.2">
      <c r="C5021" s="548"/>
      <c r="H5021" s="164"/>
    </row>
    <row r="5022" spans="3:8" x14ac:dyDescent="0.2">
      <c r="C5022" s="548"/>
      <c r="H5022" s="164"/>
    </row>
    <row r="5023" spans="3:8" x14ac:dyDescent="0.2">
      <c r="C5023" s="548"/>
      <c r="H5023" s="164"/>
    </row>
    <row r="5024" spans="3:8" x14ac:dyDescent="0.2">
      <c r="C5024" s="548"/>
      <c r="H5024" s="164"/>
    </row>
    <row r="5025" spans="3:8" x14ac:dyDescent="0.2">
      <c r="C5025" s="548"/>
      <c r="H5025" s="164"/>
    </row>
    <row r="5026" spans="3:8" x14ac:dyDescent="0.2">
      <c r="C5026" s="548"/>
      <c r="H5026" s="164"/>
    </row>
    <row r="5027" spans="3:8" x14ac:dyDescent="0.2">
      <c r="C5027" s="548"/>
      <c r="H5027" s="164"/>
    </row>
    <row r="5028" spans="3:8" x14ac:dyDescent="0.2">
      <c r="C5028" s="548"/>
      <c r="H5028" s="164"/>
    </row>
    <row r="5029" spans="3:8" x14ac:dyDescent="0.2">
      <c r="C5029" s="548"/>
      <c r="H5029" s="164"/>
    </row>
    <row r="5030" spans="3:8" x14ac:dyDescent="0.2">
      <c r="C5030" s="548"/>
      <c r="H5030" s="164"/>
    </row>
    <row r="5031" spans="3:8" x14ac:dyDescent="0.2">
      <c r="C5031" s="548"/>
      <c r="H5031" s="164"/>
    </row>
    <row r="5032" spans="3:8" x14ac:dyDescent="0.2">
      <c r="C5032" s="548"/>
      <c r="H5032" s="164"/>
    </row>
    <row r="5033" spans="3:8" x14ac:dyDescent="0.2">
      <c r="C5033" s="548"/>
      <c r="H5033" s="164"/>
    </row>
    <row r="5034" spans="3:8" x14ac:dyDescent="0.2">
      <c r="C5034" s="548"/>
      <c r="H5034" s="164"/>
    </row>
    <row r="5035" spans="3:8" x14ac:dyDescent="0.2">
      <c r="C5035" s="548"/>
      <c r="H5035" s="164"/>
    </row>
    <row r="5036" spans="3:8" x14ac:dyDescent="0.2">
      <c r="C5036" s="548"/>
      <c r="H5036" s="164"/>
    </row>
    <row r="5037" spans="3:8" x14ac:dyDescent="0.2">
      <c r="C5037" s="548"/>
      <c r="H5037" s="164"/>
    </row>
    <row r="5038" spans="3:8" x14ac:dyDescent="0.2">
      <c r="C5038" s="548"/>
      <c r="H5038" s="164"/>
    </row>
    <row r="5039" spans="3:8" x14ac:dyDescent="0.2">
      <c r="C5039" s="548"/>
      <c r="H5039" s="164"/>
    </row>
    <row r="5040" spans="3:8" x14ac:dyDescent="0.2">
      <c r="C5040" s="548"/>
      <c r="H5040" s="164"/>
    </row>
    <row r="5041" spans="3:8" x14ac:dyDescent="0.2">
      <c r="C5041" s="548"/>
      <c r="H5041" s="164"/>
    </row>
    <row r="5042" spans="3:8" x14ac:dyDescent="0.2">
      <c r="C5042" s="548"/>
      <c r="H5042" s="164"/>
    </row>
    <row r="5043" spans="3:8" x14ac:dyDescent="0.2">
      <c r="C5043" s="548"/>
      <c r="H5043" s="164"/>
    </row>
    <row r="5044" spans="3:8" x14ac:dyDescent="0.2">
      <c r="C5044" s="548"/>
      <c r="H5044" s="164"/>
    </row>
    <row r="5045" spans="3:8" x14ac:dyDescent="0.2">
      <c r="C5045" s="548"/>
      <c r="H5045" s="164"/>
    </row>
    <row r="5046" spans="3:8" x14ac:dyDescent="0.2">
      <c r="C5046" s="548"/>
      <c r="H5046" s="164"/>
    </row>
    <row r="5047" spans="3:8" x14ac:dyDescent="0.2">
      <c r="C5047" s="548"/>
      <c r="H5047" s="164"/>
    </row>
    <row r="5048" spans="3:8" x14ac:dyDescent="0.2">
      <c r="C5048" s="548"/>
      <c r="H5048" s="164"/>
    </row>
    <row r="5049" spans="3:8" x14ac:dyDescent="0.2">
      <c r="C5049" s="548"/>
      <c r="H5049" s="164"/>
    </row>
    <row r="5050" spans="3:8" x14ac:dyDescent="0.2">
      <c r="C5050" s="548"/>
      <c r="H5050" s="164"/>
    </row>
    <row r="5051" spans="3:8" x14ac:dyDescent="0.2">
      <c r="C5051" s="548"/>
      <c r="H5051" s="164"/>
    </row>
    <row r="5052" spans="3:8" x14ac:dyDescent="0.2">
      <c r="C5052" s="548"/>
      <c r="H5052" s="164"/>
    </row>
    <row r="5053" spans="3:8" x14ac:dyDescent="0.2">
      <c r="C5053" s="548"/>
      <c r="H5053" s="164"/>
    </row>
    <row r="5054" spans="3:8" x14ac:dyDescent="0.2">
      <c r="C5054" s="548"/>
      <c r="H5054" s="164"/>
    </row>
    <row r="5055" spans="3:8" x14ac:dyDescent="0.2">
      <c r="C5055" s="548"/>
      <c r="H5055" s="164"/>
    </row>
    <row r="5056" spans="3:8" x14ac:dyDescent="0.2">
      <c r="C5056" s="548"/>
      <c r="H5056" s="164"/>
    </row>
    <row r="5057" spans="3:8" x14ac:dyDescent="0.2">
      <c r="C5057" s="548"/>
      <c r="H5057" s="164"/>
    </row>
    <row r="5058" spans="3:8" x14ac:dyDescent="0.2">
      <c r="C5058" s="548"/>
      <c r="H5058" s="164"/>
    </row>
    <row r="5059" spans="3:8" x14ac:dyDescent="0.2">
      <c r="C5059" s="548"/>
      <c r="H5059" s="164"/>
    </row>
    <row r="5060" spans="3:8" x14ac:dyDescent="0.2">
      <c r="C5060" s="548"/>
      <c r="H5060" s="164"/>
    </row>
    <row r="5061" spans="3:8" x14ac:dyDescent="0.2">
      <c r="C5061" s="548"/>
      <c r="H5061" s="164"/>
    </row>
    <row r="5062" spans="3:8" x14ac:dyDescent="0.2">
      <c r="C5062" s="548"/>
      <c r="H5062" s="164"/>
    </row>
    <row r="5063" spans="3:8" x14ac:dyDescent="0.2">
      <c r="C5063" s="548"/>
      <c r="H5063" s="164"/>
    </row>
    <row r="5064" spans="3:8" x14ac:dyDescent="0.2">
      <c r="C5064" s="548"/>
      <c r="H5064" s="164"/>
    </row>
    <row r="5065" spans="3:8" x14ac:dyDescent="0.2">
      <c r="C5065" s="548"/>
      <c r="H5065" s="164"/>
    </row>
    <row r="5066" spans="3:8" x14ac:dyDescent="0.2">
      <c r="C5066" s="548"/>
      <c r="H5066" s="164"/>
    </row>
    <row r="5067" spans="3:8" x14ac:dyDescent="0.2">
      <c r="C5067" s="548"/>
      <c r="H5067" s="164"/>
    </row>
    <row r="5068" spans="3:8" x14ac:dyDescent="0.2">
      <c r="C5068" s="548"/>
      <c r="H5068" s="164"/>
    </row>
    <row r="5069" spans="3:8" x14ac:dyDescent="0.2">
      <c r="C5069" s="548"/>
      <c r="H5069" s="164"/>
    </row>
    <row r="5070" spans="3:8" x14ac:dyDescent="0.2">
      <c r="C5070" s="548"/>
      <c r="H5070" s="164"/>
    </row>
    <row r="5071" spans="3:8" x14ac:dyDescent="0.2">
      <c r="C5071" s="548"/>
      <c r="H5071" s="164"/>
    </row>
    <row r="5072" spans="3:8" x14ac:dyDescent="0.2">
      <c r="C5072" s="548"/>
      <c r="H5072" s="164"/>
    </row>
    <row r="5073" spans="3:8" x14ac:dyDescent="0.2">
      <c r="C5073" s="548"/>
      <c r="H5073" s="164"/>
    </row>
    <row r="5074" spans="3:8" x14ac:dyDescent="0.2">
      <c r="C5074" s="548"/>
      <c r="H5074" s="164"/>
    </row>
    <row r="5075" spans="3:8" x14ac:dyDescent="0.2">
      <c r="C5075" s="548"/>
      <c r="H5075" s="164"/>
    </row>
    <row r="5076" spans="3:8" x14ac:dyDescent="0.2">
      <c r="C5076" s="548"/>
      <c r="H5076" s="164"/>
    </row>
    <row r="5077" spans="3:8" x14ac:dyDescent="0.2">
      <c r="C5077" s="548"/>
      <c r="H5077" s="164"/>
    </row>
    <row r="5078" spans="3:8" x14ac:dyDescent="0.2">
      <c r="C5078" s="548"/>
      <c r="H5078" s="164"/>
    </row>
    <row r="5079" spans="3:8" x14ac:dyDescent="0.2">
      <c r="C5079" s="548"/>
      <c r="H5079" s="164"/>
    </row>
    <row r="5080" spans="3:8" x14ac:dyDescent="0.2">
      <c r="C5080" s="548"/>
      <c r="H5080" s="164"/>
    </row>
    <row r="5081" spans="3:8" x14ac:dyDescent="0.2">
      <c r="C5081" s="548"/>
      <c r="H5081" s="164"/>
    </row>
    <row r="5082" spans="3:8" x14ac:dyDescent="0.2">
      <c r="C5082" s="548"/>
      <c r="H5082" s="164"/>
    </row>
    <row r="5083" spans="3:8" x14ac:dyDescent="0.2">
      <c r="C5083" s="548"/>
      <c r="H5083" s="164"/>
    </row>
    <row r="5084" spans="3:8" x14ac:dyDescent="0.2">
      <c r="C5084" s="548"/>
      <c r="H5084" s="164"/>
    </row>
    <row r="5085" spans="3:8" x14ac:dyDescent="0.2">
      <c r="C5085" s="548"/>
      <c r="H5085" s="164"/>
    </row>
    <row r="5086" spans="3:8" x14ac:dyDescent="0.2">
      <c r="C5086" s="548"/>
      <c r="H5086" s="164"/>
    </row>
    <row r="5087" spans="3:8" x14ac:dyDescent="0.2">
      <c r="C5087" s="548"/>
      <c r="H5087" s="164"/>
    </row>
    <row r="5088" spans="3:8" x14ac:dyDescent="0.2">
      <c r="C5088" s="548"/>
      <c r="H5088" s="164"/>
    </row>
    <row r="5089" spans="3:8" x14ac:dyDescent="0.2">
      <c r="C5089" s="548"/>
      <c r="H5089" s="164"/>
    </row>
    <row r="5090" spans="3:8" x14ac:dyDescent="0.2">
      <c r="C5090" s="548"/>
      <c r="H5090" s="164"/>
    </row>
    <row r="5091" spans="3:8" x14ac:dyDescent="0.2">
      <c r="C5091" s="548"/>
      <c r="H5091" s="164"/>
    </row>
    <row r="5092" spans="3:8" x14ac:dyDescent="0.2">
      <c r="C5092" s="548"/>
      <c r="H5092" s="164"/>
    </row>
    <row r="5093" spans="3:8" x14ac:dyDescent="0.2">
      <c r="C5093" s="548"/>
      <c r="H5093" s="164"/>
    </row>
    <row r="5094" spans="3:8" x14ac:dyDescent="0.2">
      <c r="C5094" s="548"/>
      <c r="H5094" s="164"/>
    </row>
    <row r="5095" spans="3:8" x14ac:dyDescent="0.2">
      <c r="C5095" s="548"/>
      <c r="H5095" s="164"/>
    </row>
    <row r="5096" spans="3:8" x14ac:dyDescent="0.2">
      <c r="C5096" s="548"/>
      <c r="H5096" s="164"/>
    </row>
    <row r="5097" spans="3:8" x14ac:dyDescent="0.2">
      <c r="C5097" s="548"/>
      <c r="H5097" s="164"/>
    </row>
    <row r="5098" spans="3:8" x14ac:dyDescent="0.2">
      <c r="C5098" s="548"/>
      <c r="H5098" s="164"/>
    </row>
    <row r="5099" spans="3:8" x14ac:dyDescent="0.2">
      <c r="C5099" s="548"/>
      <c r="H5099" s="164"/>
    </row>
    <row r="5100" spans="3:8" x14ac:dyDescent="0.2">
      <c r="C5100" s="548"/>
      <c r="H5100" s="164"/>
    </row>
    <row r="5101" spans="3:8" x14ac:dyDescent="0.2">
      <c r="C5101" s="548"/>
      <c r="H5101" s="164"/>
    </row>
    <row r="5102" spans="3:8" x14ac:dyDescent="0.2">
      <c r="C5102" s="548"/>
      <c r="H5102" s="164"/>
    </row>
    <row r="5103" spans="3:8" x14ac:dyDescent="0.2">
      <c r="C5103" s="548"/>
      <c r="H5103" s="164"/>
    </row>
    <row r="5104" spans="3:8" x14ac:dyDescent="0.2">
      <c r="C5104" s="548"/>
      <c r="H5104" s="164"/>
    </row>
    <row r="5105" spans="3:8" x14ac:dyDescent="0.2">
      <c r="C5105" s="548"/>
      <c r="H5105" s="164"/>
    </row>
    <row r="5106" spans="3:8" x14ac:dyDescent="0.2">
      <c r="C5106" s="548"/>
      <c r="H5106" s="164"/>
    </row>
    <row r="5107" spans="3:8" x14ac:dyDescent="0.2">
      <c r="C5107" s="548"/>
      <c r="H5107" s="164"/>
    </row>
    <row r="5108" spans="3:8" x14ac:dyDescent="0.2">
      <c r="C5108" s="548"/>
      <c r="H5108" s="164"/>
    </row>
    <row r="5109" spans="3:8" x14ac:dyDescent="0.2">
      <c r="C5109" s="548"/>
      <c r="H5109" s="164"/>
    </row>
    <row r="5110" spans="3:8" x14ac:dyDescent="0.2">
      <c r="C5110" s="548"/>
      <c r="H5110" s="164"/>
    </row>
    <row r="5111" spans="3:8" x14ac:dyDescent="0.2">
      <c r="C5111" s="548"/>
      <c r="H5111" s="164"/>
    </row>
    <row r="5112" spans="3:8" x14ac:dyDescent="0.2">
      <c r="C5112" s="548"/>
      <c r="H5112" s="164"/>
    </row>
    <row r="5113" spans="3:8" x14ac:dyDescent="0.2">
      <c r="C5113" s="548"/>
      <c r="H5113" s="164"/>
    </row>
    <row r="5114" spans="3:8" x14ac:dyDescent="0.2">
      <c r="C5114" s="548"/>
      <c r="H5114" s="164"/>
    </row>
    <row r="5115" spans="3:8" x14ac:dyDescent="0.2">
      <c r="C5115" s="548"/>
      <c r="H5115" s="164"/>
    </row>
    <row r="5116" spans="3:8" x14ac:dyDescent="0.2">
      <c r="C5116" s="548"/>
      <c r="H5116" s="164"/>
    </row>
    <row r="5117" spans="3:8" x14ac:dyDescent="0.2">
      <c r="C5117" s="548"/>
      <c r="H5117" s="164"/>
    </row>
    <row r="5118" spans="3:8" x14ac:dyDescent="0.2">
      <c r="C5118" s="548"/>
      <c r="H5118" s="164"/>
    </row>
    <row r="5119" spans="3:8" x14ac:dyDescent="0.2">
      <c r="C5119" s="548"/>
      <c r="H5119" s="164"/>
    </row>
    <row r="5120" spans="3:8" x14ac:dyDescent="0.2">
      <c r="C5120" s="548"/>
      <c r="H5120" s="164"/>
    </row>
    <row r="5121" spans="3:8" x14ac:dyDescent="0.2">
      <c r="C5121" s="548"/>
      <c r="H5121" s="164"/>
    </row>
    <row r="5122" spans="3:8" x14ac:dyDescent="0.2">
      <c r="C5122" s="548"/>
      <c r="H5122" s="164"/>
    </row>
    <row r="5123" spans="3:8" x14ac:dyDescent="0.2">
      <c r="C5123" s="548"/>
      <c r="H5123" s="164"/>
    </row>
    <row r="5124" spans="3:8" x14ac:dyDescent="0.2">
      <c r="C5124" s="548"/>
      <c r="H5124" s="164"/>
    </row>
    <row r="5125" spans="3:8" x14ac:dyDescent="0.2">
      <c r="C5125" s="548"/>
      <c r="H5125" s="164"/>
    </row>
    <row r="5126" spans="3:8" x14ac:dyDescent="0.2">
      <c r="C5126" s="548"/>
      <c r="H5126" s="164"/>
    </row>
    <row r="5127" spans="3:8" x14ac:dyDescent="0.2">
      <c r="C5127" s="548"/>
      <c r="H5127" s="164"/>
    </row>
    <row r="5128" spans="3:8" x14ac:dyDescent="0.2">
      <c r="C5128" s="548"/>
      <c r="H5128" s="164"/>
    </row>
    <row r="5129" spans="3:8" x14ac:dyDescent="0.2">
      <c r="C5129" s="548"/>
      <c r="H5129" s="164"/>
    </row>
    <row r="5130" spans="3:8" x14ac:dyDescent="0.2">
      <c r="C5130" s="548"/>
      <c r="H5130" s="164"/>
    </row>
    <row r="5131" spans="3:8" x14ac:dyDescent="0.2">
      <c r="C5131" s="548"/>
      <c r="H5131" s="164"/>
    </row>
    <row r="5132" spans="3:8" x14ac:dyDescent="0.2">
      <c r="C5132" s="548"/>
      <c r="H5132" s="164"/>
    </row>
    <row r="5133" spans="3:8" x14ac:dyDescent="0.2">
      <c r="C5133" s="548"/>
      <c r="H5133" s="164"/>
    </row>
    <row r="5134" spans="3:8" x14ac:dyDescent="0.2">
      <c r="C5134" s="548"/>
      <c r="H5134" s="164"/>
    </row>
    <row r="5135" spans="3:8" x14ac:dyDescent="0.2">
      <c r="C5135" s="548"/>
      <c r="H5135" s="164"/>
    </row>
    <row r="5136" spans="3:8" x14ac:dyDescent="0.2">
      <c r="C5136" s="548"/>
      <c r="H5136" s="164"/>
    </row>
    <row r="5137" spans="3:8" x14ac:dyDescent="0.2">
      <c r="C5137" s="548"/>
      <c r="H5137" s="164"/>
    </row>
    <row r="5138" spans="3:8" x14ac:dyDescent="0.2">
      <c r="C5138" s="548"/>
      <c r="H5138" s="164"/>
    </row>
    <row r="5139" spans="3:8" x14ac:dyDescent="0.2">
      <c r="C5139" s="548"/>
      <c r="H5139" s="164"/>
    </row>
    <row r="5140" spans="3:8" x14ac:dyDescent="0.2">
      <c r="C5140" s="548"/>
      <c r="H5140" s="164"/>
    </row>
    <row r="5141" spans="3:8" x14ac:dyDescent="0.2">
      <c r="C5141" s="548"/>
      <c r="H5141" s="164"/>
    </row>
    <row r="5142" spans="3:8" x14ac:dyDescent="0.2">
      <c r="C5142" s="548"/>
      <c r="H5142" s="164"/>
    </row>
    <row r="5143" spans="3:8" x14ac:dyDescent="0.2">
      <c r="C5143" s="548"/>
      <c r="H5143" s="164"/>
    </row>
    <row r="5144" spans="3:8" x14ac:dyDescent="0.2">
      <c r="C5144" s="548"/>
      <c r="H5144" s="164"/>
    </row>
    <row r="5145" spans="3:8" x14ac:dyDescent="0.2">
      <c r="C5145" s="548"/>
      <c r="H5145" s="164"/>
    </row>
    <row r="5146" spans="3:8" x14ac:dyDescent="0.2">
      <c r="C5146" s="548"/>
      <c r="H5146" s="164"/>
    </row>
    <row r="5147" spans="3:8" x14ac:dyDescent="0.2">
      <c r="C5147" s="548"/>
      <c r="H5147" s="164"/>
    </row>
    <row r="5148" spans="3:8" x14ac:dyDescent="0.2">
      <c r="C5148" s="548"/>
      <c r="H5148" s="164"/>
    </row>
    <row r="5149" spans="3:8" x14ac:dyDescent="0.2">
      <c r="C5149" s="548"/>
      <c r="H5149" s="164"/>
    </row>
    <row r="5150" spans="3:8" x14ac:dyDescent="0.2">
      <c r="C5150" s="548"/>
      <c r="H5150" s="164"/>
    </row>
    <row r="5151" spans="3:8" x14ac:dyDescent="0.2">
      <c r="C5151" s="548"/>
      <c r="H5151" s="164"/>
    </row>
    <row r="5152" spans="3:8" x14ac:dyDescent="0.2">
      <c r="C5152" s="548"/>
      <c r="H5152" s="164"/>
    </row>
    <row r="5153" spans="3:8" x14ac:dyDescent="0.2">
      <c r="C5153" s="548"/>
      <c r="H5153" s="164"/>
    </row>
    <row r="5154" spans="3:8" x14ac:dyDescent="0.2">
      <c r="C5154" s="548"/>
      <c r="H5154" s="164"/>
    </row>
    <row r="5155" spans="3:8" x14ac:dyDescent="0.2">
      <c r="C5155" s="548"/>
      <c r="H5155" s="164"/>
    </row>
    <row r="5156" spans="3:8" x14ac:dyDescent="0.2">
      <c r="C5156" s="548"/>
      <c r="H5156" s="164"/>
    </row>
    <row r="5157" spans="3:8" x14ac:dyDescent="0.2">
      <c r="C5157" s="548"/>
      <c r="H5157" s="164"/>
    </row>
    <row r="5158" spans="3:8" x14ac:dyDescent="0.2">
      <c r="C5158" s="548"/>
      <c r="H5158" s="164"/>
    </row>
    <row r="5159" spans="3:8" x14ac:dyDescent="0.2">
      <c r="C5159" s="548"/>
      <c r="H5159" s="164"/>
    </row>
    <row r="5160" spans="3:8" x14ac:dyDescent="0.2">
      <c r="C5160" s="548"/>
      <c r="H5160" s="164"/>
    </row>
    <row r="5161" spans="3:8" x14ac:dyDescent="0.2">
      <c r="C5161" s="548"/>
      <c r="H5161" s="164"/>
    </row>
    <row r="5162" spans="3:8" x14ac:dyDescent="0.2">
      <c r="C5162" s="548"/>
      <c r="H5162" s="164"/>
    </row>
    <row r="5163" spans="3:8" x14ac:dyDescent="0.2">
      <c r="C5163" s="548"/>
      <c r="H5163" s="164"/>
    </row>
    <row r="5164" spans="3:8" x14ac:dyDescent="0.2">
      <c r="C5164" s="548"/>
      <c r="H5164" s="164"/>
    </row>
    <row r="5165" spans="3:8" x14ac:dyDescent="0.2">
      <c r="C5165" s="548"/>
      <c r="H5165" s="164"/>
    </row>
    <row r="5166" spans="3:8" x14ac:dyDescent="0.2">
      <c r="C5166" s="548"/>
      <c r="H5166" s="164"/>
    </row>
    <row r="5167" spans="3:8" x14ac:dyDescent="0.2">
      <c r="C5167" s="548"/>
      <c r="H5167" s="164"/>
    </row>
    <row r="5168" spans="3:8" x14ac:dyDescent="0.2">
      <c r="C5168" s="548"/>
      <c r="H5168" s="164"/>
    </row>
    <row r="5169" spans="3:8" x14ac:dyDescent="0.2">
      <c r="C5169" s="548"/>
      <c r="H5169" s="164"/>
    </row>
    <row r="5170" spans="3:8" x14ac:dyDescent="0.2">
      <c r="C5170" s="548"/>
      <c r="H5170" s="164"/>
    </row>
    <row r="5171" spans="3:8" x14ac:dyDescent="0.2">
      <c r="C5171" s="548"/>
      <c r="H5171" s="164"/>
    </row>
    <row r="5172" spans="3:8" x14ac:dyDescent="0.2">
      <c r="C5172" s="548"/>
      <c r="H5172" s="164"/>
    </row>
    <row r="5173" spans="3:8" x14ac:dyDescent="0.2">
      <c r="C5173" s="548"/>
      <c r="H5173" s="164"/>
    </row>
    <row r="5174" spans="3:8" x14ac:dyDescent="0.2">
      <c r="C5174" s="548"/>
      <c r="H5174" s="164"/>
    </row>
    <row r="5175" spans="3:8" x14ac:dyDescent="0.2">
      <c r="C5175" s="548"/>
      <c r="H5175" s="164"/>
    </row>
    <row r="5176" spans="3:8" x14ac:dyDescent="0.2">
      <c r="C5176" s="548"/>
      <c r="H5176" s="164"/>
    </row>
    <row r="5177" spans="3:8" x14ac:dyDescent="0.2">
      <c r="C5177" s="548"/>
      <c r="H5177" s="164"/>
    </row>
    <row r="5178" spans="3:8" x14ac:dyDescent="0.2">
      <c r="C5178" s="548"/>
      <c r="H5178" s="164"/>
    </row>
    <row r="5179" spans="3:8" x14ac:dyDescent="0.2">
      <c r="C5179" s="548"/>
      <c r="H5179" s="164"/>
    </row>
    <row r="5180" spans="3:8" x14ac:dyDescent="0.2">
      <c r="C5180" s="548"/>
      <c r="H5180" s="164"/>
    </row>
    <row r="5181" spans="3:8" x14ac:dyDescent="0.2">
      <c r="C5181" s="548"/>
      <c r="H5181" s="164"/>
    </row>
    <row r="5182" spans="3:8" x14ac:dyDescent="0.2">
      <c r="C5182" s="548"/>
      <c r="H5182" s="164"/>
    </row>
    <row r="5183" spans="3:8" x14ac:dyDescent="0.2">
      <c r="C5183" s="548"/>
      <c r="H5183" s="164"/>
    </row>
    <row r="5184" spans="3:8" x14ac:dyDescent="0.2">
      <c r="C5184" s="548"/>
      <c r="H5184" s="164"/>
    </row>
    <row r="5185" spans="3:8" x14ac:dyDescent="0.2">
      <c r="C5185" s="548"/>
      <c r="H5185" s="164"/>
    </row>
    <row r="5186" spans="3:8" x14ac:dyDescent="0.2">
      <c r="C5186" s="548"/>
      <c r="H5186" s="164"/>
    </row>
    <row r="5187" spans="3:8" x14ac:dyDescent="0.2">
      <c r="C5187" s="548"/>
      <c r="H5187" s="164"/>
    </row>
    <row r="5188" spans="3:8" x14ac:dyDescent="0.2">
      <c r="C5188" s="548"/>
      <c r="H5188" s="164"/>
    </row>
    <row r="5189" spans="3:8" x14ac:dyDescent="0.2">
      <c r="C5189" s="548"/>
      <c r="H5189" s="164"/>
    </row>
    <row r="5190" spans="3:8" x14ac:dyDescent="0.2">
      <c r="C5190" s="548"/>
      <c r="H5190" s="164"/>
    </row>
    <row r="5191" spans="3:8" x14ac:dyDescent="0.2">
      <c r="C5191" s="548"/>
      <c r="H5191" s="164"/>
    </row>
    <row r="5192" spans="3:8" x14ac:dyDescent="0.2">
      <c r="C5192" s="548"/>
      <c r="H5192" s="164"/>
    </row>
    <row r="5193" spans="3:8" x14ac:dyDescent="0.2">
      <c r="C5193" s="548"/>
      <c r="H5193" s="164"/>
    </row>
    <row r="5194" spans="3:8" x14ac:dyDescent="0.2">
      <c r="C5194" s="548"/>
      <c r="H5194" s="164"/>
    </row>
    <row r="5195" spans="3:8" x14ac:dyDescent="0.2">
      <c r="C5195" s="548"/>
      <c r="H5195" s="164"/>
    </row>
    <row r="5196" spans="3:8" x14ac:dyDescent="0.2">
      <c r="C5196" s="548"/>
      <c r="H5196" s="164"/>
    </row>
    <row r="5197" spans="3:8" x14ac:dyDescent="0.2">
      <c r="C5197" s="548"/>
      <c r="H5197" s="164"/>
    </row>
    <row r="5198" spans="3:8" x14ac:dyDescent="0.2">
      <c r="C5198" s="548"/>
      <c r="H5198" s="164"/>
    </row>
    <row r="5199" spans="3:8" x14ac:dyDescent="0.2">
      <c r="C5199" s="548"/>
      <c r="H5199" s="164"/>
    </row>
    <row r="5200" spans="3:8" x14ac:dyDescent="0.2">
      <c r="C5200" s="548"/>
      <c r="H5200" s="164"/>
    </row>
    <row r="5201" spans="3:8" x14ac:dyDescent="0.2">
      <c r="C5201" s="548"/>
      <c r="H5201" s="164"/>
    </row>
    <row r="5202" spans="3:8" x14ac:dyDescent="0.2">
      <c r="C5202" s="548"/>
      <c r="H5202" s="164"/>
    </row>
    <row r="5203" spans="3:8" x14ac:dyDescent="0.2">
      <c r="C5203" s="548"/>
      <c r="H5203" s="164"/>
    </row>
    <row r="5204" spans="3:8" x14ac:dyDescent="0.2">
      <c r="C5204" s="548"/>
      <c r="H5204" s="164"/>
    </row>
    <row r="5205" spans="3:8" x14ac:dyDescent="0.2">
      <c r="C5205" s="548"/>
      <c r="H5205" s="164"/>
    </row>
    <row r="5206" spans="3:8" x14ac:dyDescent="0.2">
      <c r="C5206" s="548"/>
      <c r="H5206" s="164"/>
    </row>
    <row r="5207" spans="3:8" x14ac:dyDescent="0.2">
      <c r="C5207" s="548"/>
      <c r="H5207" s="164"/>
    </row>
    <row r="5208" spans="3:8" x14ac:dyDescent="0.2">
      <c r="C5208" s="548"/>
      <c r="H5208" s="164"/>
    </row>
    <row r="5209" spans="3:8" x14ac:dyDescent="0.2">
      <c r="C5209" s="548"/>
      <c r="H5209" s="164"/>
    </row>
    <row r="5210" spans="3:8" x14ac:dyDescent="0.2">
      <c r="C5210" s="548"/>
      <c r="H5210" s="164"/>
    </row>
    <row r="5211" spans="3:8" x14ac:dyDescent="0.2">
      <c r="C5211" s="548"/>
      <c r="H5211" s="164"/>
    </row>
    <row r="5212" spans="3:8" x14ac:dyDescent="0.2">
      <c r="C5212" s="548"/>
      <c r="H5212" s="164"/>
    </row>
    <row r="5213" spans="3:8" x14ac:dyDescent="0.2">
      <c r="C5213" s="548"/>
      <c r="H5213" s="164"/>
    </row>
    <row r="5214" spans="3:8" x14ac:dyDescent="0.2">
      <c r="C5214" s="548"/>
      <c r="H5214" s="164"/>
    </row>
    <row r="5215" spans="3:8" x14ac:dyDescent="0.2">
      <c r="C5215" s="548"/>
      <c r="H5215" s="164"/>
    </row>
    <row r="5216" spans="3:8" x14ac:dyDescent="0.2">
      <c r="C5216" s="548"/>
      <c r="H5216" s="164"/>
    </row>
    <row r="5217" spans="3:8" x14ac:dyDescent="0.2">
      <c r="C5217" s="548"/>
      <c r="H5217" s="164"/>
    </row>
    <row r="5218" spans="3:8" x14ac:dyDescent="0.2">
      <c r="C5218" s="548"/>
      <c r="H5218" s="164"/>
    </row>
    <row r="5219" spans="3:8" x14ac:dyDescent="0.2">
      <c r="C5219" s="548"/>
      <c r="H5219" s="164"/>
    </row>
    <row r="5220" spans="3:8" x14ac:dyDescent="0.2">
      <c r="C5220" s="548"/>
      <c r="H5220" s="164"/>
    </row>
    <row r="5221" spans="3:8" x14ac:dyDescent="0.2">
      <c r="C5221" s="548"/>
      <c r="H5221" s="164"/>
    </row>
    <row r="5222" spans="3:8" x14ac:dyDescent="0.2">
      <c r="C5222" s="548"/>
      <c r="H5222" s="164"/>
    </row>
    <row r="5223" spans="3:8" x14ac:dyDescent="0.2">
      <c r="C5223" s="548"/>
      <c r="H5223" s="164"/>
    </row>
    <row r="5224" spans="3:8" x14ac:dyDescent="0.2">
      <c r="C5224" s="548"/>
      <c r="H5224" s="164"/>
    </row>
    <row r="5225" spans="3:8" x14ac:dyDescent="0.2">
      <c r="C5225" s="548"/>
      <c r="H5225" s="164"/>
    </row>
    <row r="5226" spans="3:8" x14ac:dyDescent="0.2">
      <c r="C5226" s="548"/>
      <c r="H5226" s="164"/>
    </row>
    <row r="5227" spans="3:8" x14ac:dyDescent="0.2">
      <c r="C5227" s="548"/>
      <c r="H5227" s="164"/>
    </row>
    <row r="5228" spans="3:8" x14ac:dyDescent="0.2">
      <c r="C5228" s="548"/>
      <c r="H5228" s="164"/>
    </row>
    <row r="5229" spans="3:8" x14ac:dyDescent="0.2">
      <c r="C5229" s="548"/>
      <c r="H5229" s="164"/>
    </row>
    <row r="5230" spans="3:8" x14ac:dyDescent="0.2">
      <c r="C5230" s="548"/>
      <c r="H5230" s="164"/>
    </row>
    <row r="5231" spans="3:8" x14ac:dyDescent="0.2">
      <c r="C5231" s="548"/>
      <c r="H5231" s="164"/>
    </row>
    <row r="5232" spans="3:8" x14ac:dyDescent="0.2">
      <c r="C5232" s="548"/>
      <c r="H5232" s="164"/>
    </row>
    <row r="5233" spans="3:8" x14ac:dyDescent="0.2">
      <c r="C5233" s="548"/>
      <c r="H5233" s="164"/>
    </row>
    <row r="5234" spans="3:8" x14ac:dyDescent="0.2">
      <c r="C5234" s="548"/>
      <c r="H5234" s="164"/>
    </row>
    <row r="5235" spans="3:8" x14ac:dyDescent="0.2">
      <c r="C5235" s="548"/>
      <c r="H5235" s="164"/>
    </row>
    <row r="5236" spans="3:8" x14ac:dyDescent="0.2">
      <c r="C5236" s="548"/>
      <c r="H5236" s="164"/>
    </row>
    <row r="5237" spans="3:8" x14ac:dyDescent="0.2">
      <c r="C5237" s="548"/>
      <c r="H5237" s="164"/>
    </row>
    <row r="5238" spans="3:8" x14ac:dyDescent="0.2">
      <c r="C5238" s="548"/>
      <c r="H5238" s="164"/>
    </row>
    <row r="5239" spans="3:8" x14ac:dyDescent="0.2">
      <c r="C5239" s="548"/>
      <c r="H5239" s="164"/>
    </row>
    <row r="5240" spans="3:8" x14ac:dyDescent="0.2">
      <c r="C5240" s="548"/>
      <c r="H5240" s="164"/>
    </row>
    <row r="5241" spans="3:8" x14ac:dyDescent="0.2">
      <c r="C5241" s="548"/>
      <c r="H5241" s="164"/>
    </row>
    <row r="5242" spans="3:8" x14ac:dyDescent="0.2">
      <c r="C5242" s="548"/>
      <c r="H5242" s="164"/>
    </row>
    <row r="5243" spans="3:8" x14ac:dyDescent="0.2">
      <c r="C5243" s="548"/>
      <c r="H5243" s="164"/>
    </row>
    <row r="5244" spans="3:8" x14ac:dyDescent="0.2">
      <c r="C5244" s="548"/>
      <c r="H5244" s="164"/>
    </row>
    <row r="5245" spans="3:8" x14ac:dyDescent="0.2">
      <c r="C5245" s="548"/>
      <c r="H5245" s="164"/>
    </row>
    <row r="5246" spans="3:8" x14ac:dyDescent="0.2">
      <c r="C5246" s="548"/>
      <c r="H5246" s="164"/>
    </row>
    <row r="5247" spans="3:8" x14ac:dyDescent="0.2">
      <c r="C5247" s="548"/>
      <c r="H5247" s="164"/>
    </row>
    <row r="5248" spans="3:8" x14ac:dyDescent="0.2">
      <c r="C5248" s="548"/>
      <c r="H5248" s="164"/>
    </row>
    <row r="5249" spans="3:8" x14ac:dyDescent="0.2">
      <c r="C5249" s="548"/>
      <c r="H5249" s="164"/>
    </row>
    <row r="5250" spans="3:8" x14ac:dyDescent="0.2">
      <c r="C5250" s="548"/>
      <c r="H5250" s="164"/>
    </row>
    <row r="5251" spans="3:8" x14ac:dyDescent="0.2">
      <c r="C5251" s="548"/>
      <c r="H5251" s="164"/>
    </row>
    <row r="5252" spans="3:8" x14ac:dyDescent="0.2">
      <c r="C5252" s="548"/>
      <c r="H5252" s="164"/>
    </row>
    <row r="5253" spans="3:8" x14ac:dyDescent="0.2">
      <c r="C5253" s="548"/>
      <c r="H5253" s="164"/>
    </row>
    <row r="5254" spans="3:8" x14ac:dyDescent="0.2">
      <c r="C5254" s="548"/>
      <c r="H5254" s="164"/>
    </row>
    <row r="5255" spans="3:8" x14ac:dyDescent="0.2">
      <c r="C5255" s="548"/>
      <c r="H5255" s="164"/>
    </row>
    <row r="5256" spans="3:8" x14ac:dyDescent="0.2">
      <c r="C5256" s="548"/>
      <c r="H5256" s="164"/>
    </row>
    <row r="5257" spans="3:8" x14ac:dyDescent="0.2">
      <c r="C5257" s="548"/>
      <c r="H5257" s="164"/>
    </row>
    <row r="5258" spans="3:8" x14ac:dyDescent="0.2">
      <c r="C5258" s="548"/>
      <c r="H5258" s="164"/>
    </row>
    <row r="5259" spans="3:8" x14ac:dyDescent="0.2">
      <c r="C5259" s="548"/>
      <c r="H5259" s="164"/>
    </row>
    <row r="5260" spans="3:8" x14ac:dyDescent="0.2">
      <c r="C5260" s="548"/>
      <c r="H5260" s="164"/>
    </row>
    <row r="5261" spans="3:8" x14ac:dyDescent="0.2">
      <c r="C5261" s="548"/>
      <c r="H5261" s="164"/>
    </row>
    <row r="5262" spans="3:8" x14ac:dyDescent="0.2">
      <c r="C5262" s="548"/>
      <c r="H5262" s="164"/>
    </row>
    <row r="5263" spans="3:8" x14ac:dyDescent="0.2">
      <c r="C5263" s="548"/>
      <c r="H5263" s="164"/>
    </row>
    <row r="5264" spans="3:8" x14ac:dyDescent="0.2">
      <c r="C5264" s="548"/>
      <c r="H5264" s="164"/>
    </row>
    <row r="5265" spans="3:8" x14ac:dyDescent="0.2">
      <c r="C5265" s="548"/>
      <c r="H5265" s="164"/>
    </row>
    <row r="5266" spans="3:8" x14ac:dyDescent="0.2">
      <c r="C5266" s="548"/>
      <c r="H5266" s="164"/>
    </row>
    <row r="5267" spans="3:8" x14ac:dyDescent="0.2">
      <c r="C5267" s="548"/>
      <c r="H5267" s="164"/>
    </row>
    <row r="5268" spans="3:8" x14ac:dyDescent="0.2">
      <c r="C5268" s="548"/>
      <c r="H5268" s="164"/>
    </row>
    <row r="5269" spans="3:8" x14ac:dyDescent="0.2">
      <c r="C5269" s="548"/>
      <c r="H5269" s="164"/>
    </row>
    <row r="5270" spans="3:8" x14ac:dyDescent="0.2">
      <c r="C5270" s="548"/>
      <c r="H5270" s="164"/>
    </row>
    <row r="5271" spans="3:8" x14ac:dyDescent="0.2">
      <c r="C5271" s="548"/>
      <c r="H5271" s="164"/>
    </row>
    <row r="5272" spans="3:8" x14ac:dyDescent="0.2">
      <c r="C5272" s="548"/>
      <c r="H5272" s="164"/>
    </row>
    <row r="5273" spans="3:8" x14ac:dyDescent="0.2">
      <c r="C5273" s="548"/>
      <c r="H5273" s="164"/>
    </row>
    <row r="5274" spans="3:8" x14ac:dyDescent="0.2">
      <c r="C5274" s="548"/>
      <c r="H5274" s="164"/>
    </row>
    <row r="5275" spans="3:8" x14ac:dyDescent="0.2">
      <c r="C5275" s="548"/>
      <c r="H5275" s="164"/>
    </row>
    <row r="5276" spans="3:8" x14ac:dyDescent="0.2">
      <c r="C5276" s="548"/>
      <c r="H5276" s="164"/>
    </row>
    <row r="5277" spans="3:8" x14ac:dyDescent="0.2">
      <c r="C5277" s="548"/>
      <c r="H5277" s="164"/>
    </row>
    <row r="5278" spans="3:8" x14ac:dyDescent="0.2">
      <c r="C5278" s="548"/>
      <c r="H5278" s="164"/>
    </row>
    <row r="5279" spans="3:8" x14ac:dyDescent="0.2">
      <c r="C5279" s="548"/>
      <c r="H5279" s="164"/>
    </row>
    <row r="5280" spans="3:8" x14ac:dyDescent="0.2">
      <c r="C5280" s="548"/>
      <c r="H5280" s="164"/>
    </row>
    <row r="5281" spans="3:8" x14ac:dyDescent="0.2">
      <c r="C5281" s="548"/>
      <c r="H5281" s="164"/>
    </row>
    <row r="5282" spans="3:8" x14ac:dyDescent="0.2">
      <c r="C5282" s="548"/>
      <c r="H5282" s="164"/>
    </row>
    <row r="5283" spans="3:8" x14ac:dyDescent="0.2">
      <c r="C5283" s="548"/>
      <c r="H5283" s="164"/>
    </row>
    <row r="5284" spans="3:8" x14ac:dyDescent="0.2">
      <c r="C5284" s="548"/>
      <c r="H5284" s="164"/>
    </row>
    <row r="5285" spans="3:8" x14ac:dyDescent="0.2">
      <c r="C5285" s="548"/>
      <c r="H5285" s="164"/>
    </row>
    <row r="5286" spans="3:8" x14ac:dyDescent="0.2">
      <c r="C5286" s="548"/>
      <c r="H5286" s="164"/>
    </row>
    <row r="5287" spans="3:8" x14ac:dyDescent="0.2">
      <c r="C5287" s="548"/>
      <c r="H5287" s="164"/>
    </row>
    <row r="5288" spans="3:8" x14ac:dyDescent="0.2">
      <c r="C5288" s="548"/>
      <c r="H5288" s="164"/>
    </row>
    <row r="5289" spans="3:8" x14ac:dyDescent="0.2">
      <c r="C5289" s="548"/>
      <c r="H5289" s="164"/>
    </row>
    <row r="5290" spans="3:8" x14ac:dyDescent="0.2">
      <c r="C5290" s="548"/>
      <c r="H5290" s="164"/>
    </row>
    <row r="5291" spans="3:8" x14ac:dyDescent="0.2">
      <c r="C5291" s="548"/>
      <c r="H5291" s="164"/>
    </row>
    <row r="5292" spans="3:8" x14ac:dyDescent="0.2">
      <c r="C5292" s="548"/>
      <c r="H5292" s="164"/>
    </row>
    <row r="5293" spans="3:8" x14ac:dyDescent="0.2">
      <c r="C5293" s="548"/>
      <c r="H5293" s="164"/>
    </row>
    <row r="5294" spans="3:8" x14ac:dyDescent="0.2">
      <c r="C5294" s="548"/>
      <c r="H5294" s="164"/>
    </row>
    <row r="5295" spans="3:8" x14ac:dyDescent="0.2">
      <c r="C5295" s="548"/>
      <c r="H5295" s="164"/>
    </row>
    <row r="5296" spans="3:8" x14ac:dyDescent="0.2">
      <c r="C5296" s="548"/>
      <c r="H5296" s="164"/>
    </row>
    <row r="5297" spans="3:8" x14ac:dyDescent="0.2">
      <c r="C5297" s="548"/>
      <c r="H5297" s="164"/>
    </row>
    <row r="5298" spans="3:8" x14ac:dyDescent="0.2">
      <c r="C5298" s="548"/>
      <c r="H5298" s="164"/>
    </row>
    <row r="5299" spans="3:8" x14ac:dyDescent="0.2">
      <c r="C5299" s="548"/>
      <c r="H5299" s="164"/>
    </row>
    <row r="5300" spans="3:8" x14ac:dyDescent="0.2">
      <c r="C5300" s="548"/>
      <c r="H5300" s="164"/>
    </row>
    <row r="5301" spans="3:8" x14ac:dyDescent="0.2">
      <c r="C5301" s="548"/>
      <c r="H5301" s="164"/>
    </row>
    <row r="5302" spans="3:8" x14ac:dyDescent="0.2">
      <c r="C5302" s="548"/>
      <c r="H5302" s="164"/>
    </row>
    <row r="5303" spans="3:8" x14ac:dyDescent="0.2">
      <c r="C5303" s="548"/>
      <c r="H5303" s="164"/>
    </row>
    <row r="5304" spans="3:8" x14ac:dyDescent="0.2">
      <c r="C5304" s="548"/>
      <c r="H5304" s="164"/>
    </row>
    <row r="5305" spans="3:8" x14ac:dyDescent="0.2">
      <c r="C5305" s="548"/>
      <c r="H5305" s="164"/>
    </row>
    <row r="5306" spans="3:8" x14ac:dyDescent="0.2">
      <c r="C5306" s="548"/>
      <c r="H5306" s="164"/>
    </row>
    <row r="5307" spans="3:8" x14ac:dyDescent="0.2">
      <c r="C5307" s="548"/>
      <c r="H5307" s="164"/>
    </row>
    <row r="5308" spans="3:8" x14ac:dyDescent="0.2">
      <c r="C5308" s="548"/>
      <c r="H5308" s="164"/>
    </row>
    <row r="5309" spans="3:8" x14ac:dyDescent="0.2">
      <c r="C5309" s="548"/>
      <c r="H5309" s="164"/>
    </row>
    <row r="5310" spans="3:8" x14ac:dyDescent="0.2">
      <c r="C5310" s="548"/>
      <c r="H5310" s="164"/>
    </row>
    <row r="5311" spans="3:8" x14ac:dyDescent="0.2">
      <c r="C5311" s="548"/>
      <c r="H5311" s="164"/>
    </row>
    <row r="5312" spans="3:8" x14ac:dyDescent="0.2">
      <c r="C5312" s="548"/>
      <c r="H5312" s="164"/>
    </row>
    <row r="5313" spans="3:8" x14ac:dyDescent="0.2">
      <c r="C5313" s="548"/>
      <c r="H5313" s="164"/>
    </row>
    <row r="5314" spans="3:8" x14ac:dyDescent="0.2">
      <c r="C5314" s="548"/>
      <c r="H5314" s="164"/>
    </row>
    <row r="5315" spans="3:8" x14ac:dyDescent="0.2">
      <c r="C5315" s="548"/>
      <c r="H5315" s="164"/>
    </row>
    <row r="5316" spans="3:8" x14ac:dyDescent="0.2">
      <c r="C5316" s="548"/>
      <c r="H5316" s="164"/>
    </row>
    <row r="5317" spans="3:8" x14ac:dyDescent="0.2">
      <c r="C5317" s="548"/>
      <c r="H5317" s="164"/>
    </row>
    <row r="5318" spans="3:8" x14ac:dyDescent="0.2">
      <c r="C5318" s="548"/>
      <c r="H5318" s="164"/>
    </row>
    <row r="5319" spans="3:8" x14ac:dyDescent="0.2">
      <c r="C5319" s="548"/>
      <c r="H5319" s="164"/>
    </row>
    <row r="5320" spans="3:8" x14ac:dyDescent="0.2">
      <c r="C5320" s="548"/>
      <c r="H5320" s="164"/>
    </row>
    <row r="5321" spans="3:8" x14ac:dyDescent="0.2">
      <c r="C5321" s="548"/>
      <c r="H5321" s="164"/>
    </row>
    <row r="5322" spans="3:8" x14ac:dyDescent="0.2">
      <c r="C5322" s="548"/>
      <c r="H5322" s="164"/>
    </row>
    <row r="5323" spans="3:8" x14ac:dyDescent="0.2">
      <c r="C5323" s="548"/>
      <c r="H5323" s="164"/>
    </row>
    <row r="5324" spans="3:8" x14ac:dyDescent="0.2">
      <c r="C5324" s="548"/>
      <c r="H5324" s="164"/>
    </row>
    <row r="5325" spans="3:8" x14ac:dyDescent="0.2">
      <c r="C5325" s="548"/>
      <c r="H5325" s="164"/>
    </row>
    <row r="5326" spans="3:8" x14ac:dyDescent="0.2">
      <c r="C5326" s="548"/>
      <c r="H5326" s="164"/>
    </row>
    <row r="5327" spans="3:8" x14ac:dyDescent="0.2">
      <c r="C5327" s="548"/>
      <c r="H5327" s="164"/>
    </row>
    <row r="5328" spans="3:8" x14ac:dyDescent="0.2">
      <c r="C5328" s="548"/>
      <c r="H5328" s="164"/>
    </row>
    <row r="5329" spans="3:8" x14ac:dyDescent="0.2">
      <c r="C5329" s="548"/>
      <c r="H5329" s="164"/>
    </row>
    <row r="5330" spans="3:8" x14ac:dyDescent="0.2">
      <c r="C5330" s="548"/>
      <c r="H5330" s="164"/>
    </row>
    <row r="5331" spans="3:8" x14ac:dyDescent="0.2">
      <c r="C5331" s="548"/>
      <c r="H5331" s="164"/>
    </row>
    <row r="5332" spans="3:8" x14ac:dyDescent="0.2">
      <c r="C5332" s="548"/>
      <c r="H5332" s="164"/>
    </row>
    <row r="5333" spans="3:8" x14ac:dyDescent="0.2">
      <c r="C5333" s="548"/>
      <c r="H5333" s="164"/>
    </row>
    <row r="5334" spans="3:8" x14ac:dyDescent="0.2">
      <c r="C5334" s="548"/>
      <c r="H5334" s="164"/>
    </row>
    <row r="5335" spans="3:8" x14ac:dyDescent="0.2">
      <c r="C5335" s="548"/>
      <c r="H5335" s="164"/>
    </row>
    <row r="5336" spans="3:8" x14ac:dyDescent="0.2">
      <c r="C5336" s="548"/>
      <c r="H5336" s="164"/>
    </row>
    <row r="5337" spans="3:8" x14ac:dyDescent="0.2">
      <c r="C5337" s="548"/>
      <c r="H5337" s="164"/>
    </row>
    <row r="5338" spans="3:8" x14ac:dyDescent="0.2">
      <c r="C5338" s="548"/>
      <c r="H5338" s="164"/>
    </row>
    <row r="5339" spans="3:8" x14ac:dyDescent="0.2">
      <c r="C5339" s="548"/>
      <c r="H5339" s="164"/>
    </row>
    <row r="5340" spans="3:8" x14ac:dyDescent="0.2">
      <c r="C5340" s="548"/>
      <c r="H5340" s="164"/>
    </row>
    <row r="5341" spans="3:8" x14ac:dyDescent="0.2">
      <c r="C5341" s="548"/>
      <c r="H5341" s="164"/>
    </row>
    <row r="5342" spans="3:8" x14ac:dyDescent="0.2">
      <c r="C5342" s="548"/>
      <c r="H5342" s="164"/>
    </row>
    <row r="5343" spans="3:8" x14ac:dyDescent="0.2">
      <c r="C5343" s="548"/>
      <c r="H5343" s="164"/>
    </row>
    <row r="5344" spans="3:8" x14ac:dyDescent="0.2">
      <c r="C5344" s="548"/>
      <c r="H5344" s="164"/>
    </row>
    <row r="5345" spans="3:8" x14ac:dyDescent="0.2">
      <c r="C5345" s="548"/>
      <c r="H5345" s="164"/>
    </row>
    <row r="5346" spans="3:8" x14ac:dyDescent="0.2">
      <c r="C5346" s="548"/>
      <c r="H5346" s="164"/>
    </row>
    <row r="5347" spans="3:8" x14ac:dyDescent="0.2">
      <c r="C5347" s="548"/>
      <c r="H5347" s="164"/>
    </row>
    <row r="5348" spans="3:8" x14ac:dyDescent="0.2">
      <c r="C5348" s="548"/>
      <c r="H5348" s="164"/>
    </row>
    <row r="5349" spans="3:8" x14ac:dyDescent="0.2">
      <c r="C5349" s="548"/>
      <c r="H5349" s="164"/>
    </row>
    <row r="5350" spans="3:8" x14ac:dyDescent="0.2">
      <c r="C5350" s="548"/>
      <c r="H5350" s="164"/>
    </row>
    <row r="5351" spans="3:8" x14ac:dyDescent="0.2">
      <c r="C5351" s="548"/>
      <c r="H5351" s="164"/>
    </row>
    <row r="5352" spans="3:8" x14ac:dyDescent="0.2">
      <c r="C5352" s="548"/>
      <c r="H5352" s="164"/>
    </row>
    <row r="5353" spans="3:8" x14ac:dyDescent="0.2">
      <c r="C5353" s="548"/>
      <c r="H5353" s="164"/>
    </row>
    <row r="5354" spans="3:8" x14ac:dyDescent="0.2">
      <c r="C5354" s="548"/>
      <c r="H5354" s="164"/>
    </row>
    <row r="5355" spans="3:8" x14ac:dyDescent="0.2">
      <c r="C5355" s="548"/>
      <c r="H5355" s="164"/>
    </row>
    <row r="5356" spans="3:8" x14ac:dyDescent="0.2">
      <c r="C5356" s="548"/>
      <c r="H5356" s="164"/>
    </row>
    <row r="5357" spans="3:8" x14ac:dyDescent="0.2">
      <c r="C5357" s="548"/>
      <c r="H5357" s="164"/>
    </row>
    <row r="5358" spans="3:8" x14ac:dyDescent="0.2">
      <c r="C5358" s="548"/>
      <c r="H5358" s="164"/>
    </row>
    <row r="5359" spans="3:8" x14ac:dyDescent="0.2">
      <c r="C5359" s="548"/>
      <c r="H5359" s="164"/>
    </row>
    <row r="5360" spans="3:8" x14ac:dyDescent="0.2">
      <c r="C5360" s="548"/>
      <c r="H5360" s="164"/>
    </row>
    <row r="5361" spans="3:8" x14ac:dyDescent="0.2">
      <c r="C5361" s="548"/>
      <c r="H5361" s="164"/>
    </row>
    <row r="5362" spans="3:8" x14ac:dyDescent="0.2">
      <c r="C5362" s="548"/>
      <c r="H5362" s="164"/>
    </row>
    <row r="5363" spans="3:8" x14ac:dyDescent="0.2">
      <c r="C5363" s="548"/>
      <c r="H5363" s="164"/>
    </row>
    <row r="5364" spans="3:8" x14ac:dyDescent="0.2">
      <c r="C5364" s="548"/>
      <c r="H5364" s="164"/>
    </row>
    <row r="5365" spans="3:8" x14ac:dyDescent="0.2">
      <c r="C5365" s="548"/>
      <c r="H5365" s="164"/>
    </row>
    <row r="5366" spans="3:8" x14ac:dyDescent="0.2">
      <c r="C5366" s="548"/>
      <c r="H5366" s="164"/>
    </row>
    <row r="5367" spans="3:8" x14ac:dyDescent="0.2">
      <c r="C5367" s="548"/>
      <c r="H5367" s="164"/>
    </row>
    <row r="5368" spans="3:8" x14ac:dyDescent="0.2">
      <c r="C5368" s="548"/>
      <c r="H5368" s="164"/>
    </row>
    <row r="5369" spans="3:8" x14ac:dyDescent="0.2">
      <c r="C5369" s="548"/>
      <c r="H5369" s="164"/>
    </row>
    <row r="5370" spans="3:8" x14ac:dyDescent="0.2">
      <c r="C5370" s="548"/>
      <c r="H5370" s="164"/>
    </row>
    <row r="5371" spans="3:8" x14ac:dyDescent="0.2">
      <c r="C5371" s="548"/>
      <c r="H5371" s="164"/>
    </row>
    <row r="5372" spans="3:8" x14ac:dyDescent="0.2">
      <c r="C5372" s="548"/>
      <c r="H5372" s="164"/>
    </row>
    <row r="5373" spans="3:8" x14ac:dyDescent="0.2">
      <c r="C5373" s="548"/>
      <c r="H5373" s="164"/>
    </row>
    <row r="5374" spans="3:8" x14ac:dyDescent="0.2">
      <c r="C5374" s="548"/>
      <c r="H5374" s="164"/>
    </row>
    <row r="5375" spans="3:8" x14ac:dyDescent="0.2">
      <c r="C5375" s="548"/>
      <c r="H5375" s="164"/>
    </row>
    <row r="5376" spans="3:8" x14ac:dyDescent="0.2">
      <c r="C5376" s="548"/>
      <c r="H5376" s="164"/>
    </row>
    <row r="5377" spans="3:8" x14ac:dyDescent="0.2">
      <c r="C5377" s="548"/>
      <c r="H5377" s="164"/>
    </row>
    <row r="5378" spans="3:8" x14ac:dyDescent="0.2">
      <c r="C5378" s="548"/>
      <c r="H5378" s="164"/>
    </row>
    <row r="5379" spans="3:8" x14ac:dyDescent="0.2">
      <c r="C5379" s="548"/>
      <c r="H5379" s="164"/>
    </row>
    <row r="5380" spans="3:8" x14ac:dyDescent="0.2">
      <c r="C5380" s="548"/>
      <c r="H5380" s="164"/>
    </row>
    <row r="5381" spans="3:8" x14ac:dyDescent="0.2">
      <c r="C5381" s="548"/>
      <c r="H5381" s="164"/>
    </row>
    <row r="5382" spans="3:8" x14ac:dyDescent="0.2">
      <c r="C5382" s="548"/>
      <c r="H5382" s="164"/>
    </row>
    <row r="5383" spans="3:8" x14ac:dyDescent="0.2">
      <c r="C5383" s="548"/>
      <c r="H5383" s="164"/>
    </row>
    <row r="5384" spans="3:8" x14ac:dyDescent="0.2">
      <c r="C5384" s="548"/>
      <c r="H5384" s="164"/>
    </row>
    <row r="5385" spans="3:8" x14ac:dyDescent="0.2">
      <c r="C5385" s="548"/>
      <c r="H5385" s="164"/>
    </row>
    <row r="5386" spans="3:8" x14ac:dyDescent="0.2">
      <c r="C5386" s="548"/>
      <c r="H5386" s="164"/>
    </row>
    <row r="5387" spans="3:8" x14ac:dyDescent="0.2">
      <c r="C5387" s="548"/>
      <c r="H5387" s="164"/>
    </row>
    <row r="5388" spans="3:8" x14ac:dyDescent="0.2">
      <c r="C5388" s="548"/>
      <c r="H5388" s="164"/>
    </row>
    <row r="5389" spans="3:8" x14ac:dyDescent="0.2">
      <c r="C5389" s="548"/>
      <c r="H5389" s="164"/>
    </row>
    <row r="5390" spans="3:8" x14ac:dyDescent="0.2">
      <c r="C5390" s="548"/>
      <c r="H5390" s="164"/>
    </row>
    <row r="5391" spans="3:8" x14ac:dyDescent="0.2">
      <c r="C5391" s="548"/>
      <c r="H5391" s="164"/>
    </row>
    <row r="5392" spans="3:8" x14ac:dyDescent="0.2">
      <c r="C5392" s="548"/>
      <c r="H5392" s="164"/>
    </row>
    <row r="5393" spans="3:8" x14ac:dyDescent="0.2">
      <c r="C5393" s="548"/>
      <c r="H5393" s="164"/>
    </row>
    <row r="5394" spans="3:8" x14ac:dyDescent="0.2">
      <c r="C5394" s="548"/>
      <c r="H5394" s="164"/>
    </row>
    <row r="5395" spans="3:8" x14ac:dyDescent="0.2">
      <c r="C5395" s="548"/>
      <c r="H5395" s="164"/>
    </row>
    <row r="5396" spans="3:8" x14ac:dyDescent="0.2">
      <c r="C5396" s="548"/>
      <c r="H5396" s="164"/>
    </row>
    <row r="5397" spans="3:8" x14ac:dyDescent="0.2">
      <c r="C5397" s="548"/>
      <c r="H5397" s="164"/>
    </row>
    <row r="5398" spans="3:8" x14ac:dyDescent="0.2">
      <c r="C5398" s="548"/>
      <c r="H5398" s="164"/>
    </row>
    <row r="5399" spans="3:8" x14ac:dyDescent="0.2">
      <c r="C5399" s="548"/>
      <c r="H5399" s="164"/>
    </row>
    <row r="5400" spans="3:8" x14ac:dyDescent="0.2">
      <c r="C5400" s="548"/>
      <c r="H5400" s="164"/>
    </row>
    <row r="5401" spans="3:8" x14ac:dyDescent="0.2">
      <c r="C5401" s="548"/>
      <c r="H5401" s="164"/>
    </row>
    <row r="5402" spans="3:8" x14ac:dyDescent="0.2">
      <c r="C5402" s="548"/>
      <c r="H5402" s="164"/>
    </row>
    <row r="5403" spans="3:8" x14ac:dyDescent="0.2">
      <c r="C5403" s="548"/>
      <c r="H5403" s="164"/>
    </row>
    <row r="5404" spans="3:8" x14ac:dyDescent="0.2">
      <c r="C5404" s="548"/>
      <c r="H5404" s="164"/>
    </row>
    <row r="5405" spans="3:8" x14ac:dyDescent="0.2">
      <c r="C5405" s="548"/>
      <c r="H5405" s="164"/>
    </row>
    <row r="5406" spans="3:8" x14ac:dyDescent="0.2">
      <c r="C5406" s="548"/>
      <c r="H5406" s="164"/>
    </row>
    <row r="5407" spans="3:8" x14ac:dyDescent="0.2">
      <c r="C5407" s="548"/>
      <c r="H5407" s="164"/>
    </row>
    <row r="5408" spans="3:8" x14ac:dyDescent="0.2">
      <c r="C5408" s="548"/>
      <c r="H5408" s="164"/>
    </row>
    <row r="5409" spans="3:8" x14ac:dyDescent="0.2">
      <c r="C5409" s="548"/>
      <c r="H5409" s="164"/>
    </row>
    <row r="5410" spans="3:8" x14ac:dyDescent="0.2">
      <c r="C5410" s="548"/>
      <c r="H5410" s="164"/>
    </row>
    <row r="5411" spans="3:8" x14ac:dyDescent="0.2">
      <c r="C5411" s="548"/>
      <c r="H5411" s="164"/>
    </row>
    <row r="5412" spans="3:8" x14ac:dyDescent="0.2">
      <c r="C5412" s="548"/>
      <c r="H5412" s="164"/>
    </row>
    <row r="5413" spans="3:8" x14ac:dyDescent="0.2">
      <c r="C5413" s="548"/>
      <c r="H5413" s="164"/>
    </row>
    <row r="5414" spans="3:8" x14ac:dyDescent="0.2">
      <c r="C5414" s="548"/>
      <c r="H5414" s="164"/>
    </row>
    <row r="5415" spans="3:8" x14ac:dyDescent="0.2">
      <c r="C5415" s="548"/>
      <c r="H5415" s="164"/>
    </row>
    <row r="5416" spans="3:8" x14ac:dyDescent="0.2">
      <c r="C5416" s="548"/>
      <c r="H5416" s="164"/>
    </row>
    <row r="5417" spans="3:8" x14ac:dyDescent="0.2">
      <c r="C5417" s="548"/>
      <c r="H5417" s="164"/>
    </row>
    <row r="5418" spans="3:8" x14ac:dyDescent="0.2">
      <c r="C5418" s="548"/>
      <c r="H5418" s="164"/>
    </row>
    <row r="5419" spans="3:8" x14ac:dyDescent="0.2">
      <c r="C5419" s="548"/>
      <c r="H5419" s="164"/>
    </row>
    <row r="5420" spans="3:8" x14ac:dyDescent="0.2">
      <c r="C5420" s="548"/>
      <c r="H5420" s="164"/>
    </row>
    <row r="5421" spans="3:8" x14ac:dyDescent="0.2">
      <c r="C5421" s="548"/>
      <c r="H5421" s="164"/>
    </row>
    <row r="5422" spans="3:8" x14ac:dyDescent="0.2">
      <c r="C5422" s="548"/>
      <c r="H5422" s="164"/>
    </row>
    <row r="5423" spans="3:8" x14ac:dyDescent="0.2">
      <c r="C5423" s="548"/>
      <c r="H5423" s="164"/>
    </row>
    <row r="5424" spans="3:8" x14ac:dyDescent="0.2">
      <c r="C5424" s="548"/>
      <c r="H5424" s="164"/>
    </row>
    <row r="5425" spans="3:8" x14ac:dyDescent="0.2">
      <c r="C5425" s="548"/>
      <c r="H5425" s="164"/>
    </row>
    <row r="5426" spans="3:8" x14ac:dyDescent="0.2">
      <c r="C5426" s="548"/>
      <c r="H5426" s="164"/>
    </row>
    <row r="5427" spans="3:8" x14ac:dyDescent="0.2">
      <c r="C5427" s="548"/>
      <c r="H5427" s="164"/>
    </row>
    <row r="5428" spans="3:8" x14ac:dyDescent="0.2">
      <c r="C5428" s="548"/>
      <c r="H5428" s="164"/>
    </row>
    <row r="5429" spans="3:8" x14ac:dyDescent="0.2">
      <c r="C5429" s="548"/>
      <c r="H5429" s="164"/>
    </row>
    <row r="5430" spans="3:8" x14ac:dyDescent="0.2">
      <c r="C5430" s="548"/>
      <c r="H5430" s="164"/>
    </row>
    <row r="5431" spans="3:8" x14ac:dyDescent="0.2">
      <c r="C5431" s="548"/>
      <c r="H5431" s="164"/>
    </row>
    <row r="5432" spans="3:8" x14ac:dyDescent="0.2">
      <c r="C5432" s="548"/>
      <c r="H5432" s="164"/>
    </row>
    <row r="5433" spans="3:8" x14ac:dyDescent="0.2">
      <c r="C5433" s="548"/>
      <c r="H5433" s="164"/>
    </row>
    <row r="5434" spans="3:8" x14ac:dyDescent="0.2">
      <c r="C5434" s="548"/>
      <c r="H5434" s="164"/>
    </row>
    <row r="5435" spans="3:8" x14ac:dyDescent="0.2">
      <c r="C5435" s="548"/>
      <c r="H5435" s="164"/>
    </row>
    <row r="5436" spans="3:8" x14ac:dyDescent="0.2">
      <c r="C5436" s="548"/>
      <c r="H5436" s="164"/>
    </row>
    <row r="5437" spans="3:8" x14ac:dyDescent="0.2">
      <c r="C5437" s="548"/>
      <c r="H5437" s="164"/>
    </row>
    <row r="5438" spans="3:8" x14ac:dyDescent="0.2">
      <c r="C5438" s="548"/>
      <c r="H5438" s="164"/>
    </row>
    <row r="5439" spans="3:8" x14ac:dyDescent="0.2">
      <c r="C5439" s="548"/>
      <c r="H5439" s="164"/>
    </row>
    <row r="5440" spans="3:8" x14ac:dyDescent="0.2">
      <c r="C5440" s="548"/>
      <c r="H5440" s="164"/>
    </row>
    <row r="5441" spans="3:8" x14ac:dyDescent="0.2">
      <c r="C5441" s="548"/>
      <c r="H5441" s="164"/>
    </row>
    <row r="5442" spans="3:8" x14ac:dyDescent="0.2">
      <c r="C5442" s="548"/>
      <c r="H5442" s="164"/>
    </row>
    <row r="5443" spans="3:8" x14ac:dyDescent="0.2">
      <c r="C5443" s="548"/>
      <c r="H5443" s="164"/>
    </row>
    <row r="5444" spans="3:8" x14ac:dyDescent="0.2">
      <c r="C5444" s="548"/>
      <c r="H5444" s="164"/>
    </row>
    <row r="5445" spans="3:8" x14ac:dyDescent="0.2">
      <c r="C5445" s="548"/>
      <c r="H5445" s="164"/>
    </row>
    <row r="5446" spans="3:8" x14ac:dyDescent="0.2">
      <c r="C5446" s="548"/>
      <c r="H5446" s="164"/>
    </row>
    <row r="5447" spans="3:8" x14ac:dyDescent="0.2">
      <c r="C5447" s="548"/>
      <c r="H5447" s="164"/>
    </row>
    <row r="5448" spans="3:8" x14ac:dyDescent="0.2">
      <c r="C5448" s="548"/>
      <c r="H5448" s="164"/>
    </row>
    <row r="5449" spans="3:8" x14ac:dyDescent="0.2">
      <c r="C5449" s="548"/>
      <c r="H5449" s="164"/>
    </row>
    <row r="5450" spans="3:8" x14ac:dyDescent="0.2">
      <c r="C5450" s="548"/>
      <c r="H5450" s="164"/>
    </row>
    <row r="5451" spans="3:8" x14ac:dyDescent="0.2">
      <c r="C5451" s="548"/>
      <c r="H5451" s="164"/>
    </row>
    <row r="5452" spans="3:8" x14ac:dyDescent="0.2">
      <c r="C5452" s="548"/>
      <c r="H5452" s="164"/>
    </row>
    <row r="5453" spans="3:8" x14ac:dyDescent="0.2">
      <c r="C5453" s="548"/>
      <c r="H5453" s="164"/>
    </row>
    <row r="5454" spans="3:8" x14ac:dyDescent="0.2">
      <c r="C5454" s="548"/>
      <c r="H5454" s="164"/>
    </row>
    <row r="5455" spans="3:8" x14ac:dyDescent="0.2">
      <c r="C5455" s="548"/>
      <c r="H5455" s="164"/>
    </row>
    <row r="5456" spans="3:8" x14ac:dyDescent="0.2">
      <c r="C5456" s="548"/>
      <c r="H5456" s="164"/>
    </row>
    <row r="5457" spans="3:8" x14ac:dyDescent="0.2">
      <c r="C5457" s="548"/>
      <c r="H5457" s="164"/>
    </row>
    <row r="5458" spans="3:8" x14ac:dyDescent="0.2">
      <c r="C5458" s="548"/>
      <c r="H5458" s="164"/>
    </row>
    <row r="5459" spans="3:8" x14ac:dyDescent="0.2">
      <c r="C5459" s="548"/>
      <c r="H5459" s="164"/>
    </row>
    <row r="5460" spans="3:8" x14ac:dyDescent="0.2">
      <c r="C5460" s="548"/>
      <c r="H5460" s="164"/>
    </row>
    <row r="5461" spans="3:8" x14ac:dyDescent="0.2">
      <c r="C5461" s="548"/>
      <c r="H5461" s="164"/>
    </row>
    <row r="5462" spans="3:8" x14ac:dyDescent="0.2">
      <c r="C5462" s="548"/>
      <c r="H5462" s="164"/>
    </row>
    <row r="5463" spans="3:8" x14ac:dyDescent="0.2">
      <c r="C5463" s="548"/>
      <c r="H5463" s="164"/>
    </row>
    <row r="5464" spans="3:8" x14ac:dyDescent="0.2">
      <c r="C5464" s="548"/>
      <c r="H5464" s="164"/>
    </row>
    <row r="5465" spans="3:8" x14ac:dyDescent="0.2">
      <c r="C5465" s="548"/>
      <c r="H5465" s="164"/>
    </row>
    <row r="5466" spans="3:8" x14ac:dyDescent="0.2">
      <c r="C5466" s="548"/>
      <c r="H5466" s="164"/>
    </row>
    <row r="5467" spans="3:8" x14ac:dyDescent="0.2">
      <c r="C5467" s="548"/>
      <c r="H5467" s="164"/>
    </row>
    <row r="5468" spans="3:8" x14ac:dyDescent="0.2">
      <c r="C5468" s="548"/>
      <c r="H5468" s="164"/>
    </row>
    <row r="5469" spans="3:8" x14ac:dyDescent="0.2">
      <c r="C5469" s="548"/>
      <c r="H5469" s="164"/>
    </row>
    <row r="5470" spans="3:8" x14ac:dyDescent="0.2">
      <c r="C5470" s="548"/>
      <c r="H5470" s="164"/>
    </row>
    <row r="5471" spans="3:8" x14ac:dyDescent="0.2">
      <c r="C5471" s="548"/>
      <c r="H5471" s="164"/>
    </row>
    <row r="5472" spans="3:8" x14ac:dyDescent="0.2">
      <c r="C5472" s="548"/>
      <c r="H5472" s="164"/>
    </row>
    <row r="5473" spans="3:8" x14ac:dyDescent="0.2">
      <c r="C5473" s="548"/>
      <c r="H5473" s="164"/>
    </row>
    <row r="5474" spans="3:8" x14ac:dyDescent="0.2">
      <c r="C5474" s="548"/>
      <c r="H5474" s="164"/>
    </row>
    <row r="5475" spans="3:8" x14ac:dyDescent="0.2">
      <c r="C5475" s="548"/>
      <c r="H5475" s="164"/>
    </row>
    <row r="5476" spans="3:8" x14ac:dyDescent="0.2">
      <c r="C5476" s="548"/>
      <c r="H5476" s="164"/>
    </row>
    <row r="5477" spans="3:8" x14ac:dyDescent="0.2">
      <c r="C5477" s="548"/>
      <c r="H5477" s="164"/>
    </row>
    <row r="5478" spans="3:8" x14ac:dyDescent="0.2">
      <c r="C5478" s="548"/>
      <c r="H5478" s="164"/>
    </row>
    <row r="5479" spans="3:8" x14ac:dyDescent="0.2">
      <c r="C5479" s="548"/>
      <c r="H5479" s="164"/>
    </row>
    <row r="5480" spans="3:8" x14ac:dyDescent="0.2">
      <c r="C5480" s="548"/>
      <c r="H5480" s="164"/>
    </row>
    <row r="5481" spans="3:8" x14ac:dyDescent="0.2">
      <c r="C5481" s="548"/>
      <c r="H5481" s="164"/>
    </row>
    <row r="5482" spans="3:8" x14ac:dyDescent="0.2">
      <c r="C5482" s="548"/>
      <c r="H5482" s="164"/>
    </row>
    <row r="5483" spans="3:8" x14ac:dyDescent="0.2">
      <c r="C5483" s="548"/>
      <c r="H5483" s="164"/>
    </row>
    <row r="5484" spans="3:8" x14ac:dyDescent="0.2">
      <c r="C5484" s="548"/>
      <c r="H5484" s="164"/>
    </row>
    <row r="5485" spans="3:8" x14ac:dyDescent="0.2">
      <c r="C5485" s="548"/>
      <c r="H5485" s="164"/>
    </row>
    <row r="5486" spans="3:8" x14ac:dyDescent="0.2">
      <c r="C5486" s="548"/>
      <c r="H5486" s="164"/>
    </row>
    <row r="5487" spans="3:8" x14ac:dyDescent="0.2">
      <c r="C5487" s="548"/>
      <c r="H5487" s="164"/>
    </row>
    <row r="5488" spans="3:8" x14ac:dyDescent="0.2">
      <c r="C5488" s="548"/>
      <c r="H5488" s="164"/>
    </row>
    <row r="5489" spans="3:8" x14ac:dyDescent="0.2">
      <c r="C5489" s="548"/>
      <c r="H5489" s="164"/>
    </row>
    <row r="5490" spans="3:8" x14ac:dyDescent="0.2">
      <c r="C5490" s="548"/>
      <c r="H5490" s="164"/>
    </row>
    <row r="5491" spans="3:8" x14ac:dyDescent="0.2">
      <c r="C5491" s="548"/>
      <c r="H5491" s="164"/>
    </row>
    <row r="5492" spans="3:8" x14ac:dyDescent="0.2">
      <c r="C5492" s="548"/>
      <c r="H5492" s="164"/>
    </row>
    <row r="5493" spans="3:8" x14ac:dyDescent="0.2">
      <c r="C5493" s="548"/>
      <c r="H5493" s="164"/>
    </row>
    <row r="5494" spans="3:8" x14ac:dyDescent="0.2">
      <c r="C5494" s="548"/>
      <c r="H5494" s="164"/>
    </row>
    <row r="5495" spans="3:8" x14ac:dyDescent="0.2">
      <c r="C5495" s="548"/>
      <c r="H5495" s="164"/>
    </row>
    <row r="5496" spans="3:8" x14ac:dyDescent="0.2">
      <c r="C5496" s="548"/>
      <c r="H5496" s="164"/>
    </row>
    <row r="5497" spans="3:8" x14ac:dyDescent="0.2">
      <c r="C5497" s="548"/>
      <c r="H5497" s="164"/>
    </row>
    <row r="5498" spans="3:8" x14ac:dyDescent="0.2">
      <c r="C5498" s="548"/>
      <c r="H5498" s="164"/>
    </row>
    <row r="5499" spans="3:8" x14ac:dyDescent="0.2">
      <c r="C5499" s="548"/>
      <c r="H5499" s="164"/>
    </row>
    <row r="5500" spans="3:8" x14ac:dyDescent="0.2">
      <c r="C5500" s="548"/>
      <c r="H5500" s="164"/>
    </row>
    <row r="5501" spans="3:8" x14ac:dyDescent="0.2">
      <c r="C5501" s="548"/>
      <c r="H5501" s="164"/>
    </row>
    <row r="5502" spans="3:8" x14ac:dyDescent="0.2">
      <c r="C5502" s="548"/>
      <c r="H5502" s="164"/>
    </row>
    <row r="5503" spans="3:8" x14ac:dyDescent="0.2">
      <c r="C5503" s="548"/>
      <c r="H5503" s="164"/>
    </row>
    <row r="5504" spans="3:8" x14ac:dyDescent="0.2">
      <c r="C5504" s="548"/>
      <c r="H5504" s="164"/>
    </row>
    <row r="5505" spans="3:8" x14ac:dyDescent="0.2">
      <c r="C5505" s="548"/>
      <c r="H5505" s="164"/>
    </row>
    <row r="5506" spans="3:8" x14ac:dyDescent="0.2">
      <c r="C5506" s="548"/>
      <c r="H5506" s="164"/>
    </row>
    <row r="5507" spans="3:8" x14ac:dyDescent="0.2">
      <c r="C5507" s="548"/>
      <c r="H5507" s="164"/>
    </row>
    <row r="5508" spans="3:8" x14ac:dyDescent="0.2">
      <c r="C5508" s="548"/>
      <c r="H5508" s="164"/>
    </row>
    <row r="5509" spans="3:8" x14ac:dyDescent="0.2">
      <c r="C5509" s="548"/>
      <c r="H5509" s="164"/>
    </row>
    <row r="5510" spans="3:8" x14ac:dyDescent="0.2">
      <c r="C5510" s="548"/>
      <c r="H5510" s="164"/>
    </row>
    <row r="5511" spans="3:8" x14ac:dyDescent="0.2">
      <c r="C5511" s="548"/>
      <c r="H5511" s="164"/>
    </row>
    <row r="5512" spans="3:8" x14ac:dyDescent="0.2">
      <c r="C5512" s="548"/>
      <c r="H5512" s="164"/>
    </row>
    <row r="5513" spans="3:8" x14ac:dyDescent="0.2">
      <c r="C5513" s="548"/>
      <c r="H5513" s="164"/>
    </row>
    <row r="5514" spans="3:8" x14ac:dyDescent="0.2">
      <c r="C5514" s="548"/>
      <c r="H5514" s="164"/>
    </row>
    <row r="5515" spans="3:8" x14ac:dyDescent="0.2">
      <c r="C5515" s="548"/>
      <c r="H5515" s="164"/>
    </row>
    <row r="5516" spans="3:8" x14ac:dyDescent="0.2">
      <c r="C5516" s="548"/>
      <c r="H5516" s="164"/>
    </row>
    <row r="5517" spans="3:8" x14ac:dyDescent="0.2">
      <c r="C5517" s="548"/>
      <c r="H5517" s="164"/>
    </row>
    <row r="5518" spans="3:8" x14ac:dyDescent="0.2">
      <c r="C5518" s="548"/>
      <c r="H5518" s="164"/>
    </row>
    <row r="5519" spans="3:8" x14ac:dyDescent="0.2">
      <c r="C5519" s="548"/>
      <c r="H5519" s="164"/>
    </row>
    <row r="5520" spans="3:8" x14ac:dyDescent="0.2">
      <c r="C5520" s="548"/>
      <c r="H5520" s="164"/>
    </row>
    <row r="5521" spans="3:8" x14ac:dyDescent="0.2">
      <c r="C5521" s="548"/>
      <c r="H5521" s="164"/>
    </row>
    <row r="5522" spans="3:8" x14ac:dyDescent="0.2">
      <c r="C5522" s="548"/>
      <c r="H5522" s="164"/>
    </row>
    <row r="5523" spans="3:8" x14ac:dyDescent="0.2">
      <c r="C5523" s="548"/>
      <c r="H5523" s="164"/>
    </row>
    <row r="5524" spans="3:8" x14ac:dyDescent="0.2">
      <c r="C5524" s="548"/>
      <c r="H5524" s="164"/>
    </row>
    <row r="5525" spans="3:8" x14ac:dyDescent="0.2">
      <c r="C5525" s="548"/>
      <c r="H5525" s="164"/>
    </row>
    <row r="5526" spans="3:8" x14ac:dyDescent="0.2">
      <c r="C5526" s="548"/>
      <c r="H5526" s="164"/>
    </row>
    <row r="5527" spans="3:8" x14ac:dyDescent="0.2">
      <c r="C5527" s="548"/>
      <c r="H5527" s="164"/>
    </row>
    <row r="5528" spans="3:8" x14ac:dyDescent="0.2">
      <c r="C5528" s="548"/>
      <c r="H5528" s="164"/>
    </row>
    <row r="5529" spans="3:8" x14ac:dyDescent="0.2">
      <c r="C5529" s="548"/>
      <c r="H5529" s="164"/>
    </row>
    <row r="5530" spans="3:8" x14ac:dyDescent="0.2">
      <c r="C5530" s="548"/>
      <c r="H5530" s="164"/>
    </row>
    <row r="5531" spans="3:8" x14ac:dyDescent="0.2">
      <c r="C5531" s="548"/>
      <c r="H5531" s="164"/>
    </row>
    <row r="5532" spans="3:8" x14ac:dyDescent="0.2">
      <c r="C5532" s="548"/>
      <c r="H5532" s="164"/>
    </row>
    <row r="5533" spans="3:8" x14ac:dyDescent="0.2">
      <c r="C5533" s="548"/>
      <c r="H5533" s="164"/>
    </row>
    <row r="5534" spans="3:8" x14ac:dyDescent="0.2">
      <c r="C5534" s="548"/>
      <c r="H5534" s="164"/>
    </row>
    <row r="5535" spans="3:8" x14ac:dyDescent="0.2">
      <c r="C5535" s="548"/>
      <c r="H5535" s="164"/>
    </row>
    <row r="5536" spans="3:8" x14ac:dyDescent="0.2">
      <c r="C5536" s="548"/>
      <c r="H5536" s="164"/>
    </row>
    <row r="5537" spans="3:8" x14ac:dyDescent="0.2">
      <c r="C5537" s="548"/>
      <c r="H5537" s="164"/>
    </row>
    <row r="5538" spans="3:8" x14ac:dyDescent="0.2">
      <c r="C5538" s="548"/>
      <c r="H5538" s="164"/>
    </row>
    <row r="5539" spans="3:8" x14ac:dyDescent="0.2">
      <c r="C5539" s="548"/>
      <c r="H5539" s="164"/>
    </row>
    <row r="5540" spans="3:8" x14ac:dyDescent="0.2">
      <c r="C5540" s="548"/>
      <c r="H5540" s="164"/>
    </row>
    <row r="5541" spans="3:8" x14ac:dyDescent="0.2">
      <c r="C5541" s="548"/>
      <c r="H5541" s="164"/>
    </row>
    <row r="5542" spans="3:8" x14ac:dyDescent="0.2">
      <c r="C5542" s="548"/>
      <c r="H5542" s="164"/>
    </row>
    <row r="5543" spans="3:8" x14ac:dyDescent="0.2">
      <c r="C5543" s="548"/>
      <c r="H5543" s="164"/>
    </row>
    <row r="5544" spans="3:8" x14ac:dyDescent="0.2">
      <c r="C5544" s="548"/>
      <c r="H5544" s="164"/>
    </row>
    <row r="5545" spans="3:8" x14ac:dyDescent="0.2">
      <c r="C5545" s="548"/>
      <c r="H5545" s="164"/>
    </row>
    <row r="5546" spans="3:8" x14ac:dyDescent="0.2">
      <c r="C5546" s="548"/>
      <c r="H5546" s="164"/>
    </row>
    <row r="5547" spans="3:8" x14ac:dyDescent="0.2">
      <c r="C5547" s="548"/>
      <c r="H5547" s="164"/>
    </row>
    <row r="5548" spans="3:8" x14ac:dyDescent="0.2">
      <c r="C5548" s="548"/>
      <c r="H5548" s="164"/>
    </row>
    <row r="5549" spans="3:8" x14ac:dyDescent="0.2">
      <c r="C5549" s="548"/>
      <c r="H5549" s="164"/>
    </row>
    <row r="5550" spans="3:8" x14ac:dyDescent="0.2">
      <c r="C5550" s="548"/>
      <c r="H5550" s="164"/>
    </row>
    <row r="5551" spans="3:8" x14ac:dyDescent="0.2">
      <c r="C5551" s="548"/>
      <c r="H5551" s="164"/>
    </row>
    <row r="5552" spans="3:8" x14ac:dyDescent="0.2">
      <c r="C5552" s="548"/>
      <c r="H5552" s="164"/>
    </row>
    <row r="5553" spans="3:8" x14ac:dyDescent="0.2">
      <c r="C5553" s="548"/>
      <c r="H5553" s="164"/>
    </row>
    <row r="5554" spans="3:8" x14ac:dyDescent="0.2">
      <c r="C5554" s="548"/>
      <c r="H5554" s="164"/>
    </row>
    <row r="5555" spans="3:8" x14ac:dyDescent="0.2">
      <c r="C5555" s="548"/>
      <c r="H5555" s="164"/>
    </row>
    <row r="5556" spans="3:8" x14ac:dyDescent="0.2">
      <c r="C5556" s="548"/>
      <c r="H5556" s="164"/>
    </row>
    <row r="5557" spans="3:8" x14ac:dyDescent="0.2">
      <c r="C5557" s="548"/>
      <c r="H5557" s="164"/>
    </row>
    <row r="5558" spans="3:8" x14ac:dyDescent="0.2">
      <c r="C5558" s="548"/>
      <c r="H5558" s="164"/>
    </row>
    <row r="5559" spans="3:8" x14ac:dyDescent="0.2">
      <c r="C5559" s="548"/>
      <c r="H5559" s="164"/>
    </row>
    <row r="5560" spans="3:8" x14ac:dyDescent="0.2">
      <c r="C5560" s="548"/>
      <c r="H5560" s="164"/>
    </row>
    <row r="5561" spans="3:8" x14ac:dyDescent="0.2">
      <c r="C5561" s="548"/>
      <c r="H5561" s="164"/>
    </row>
    <row r="5562" spans="3:8" x14ac:dyDescent="0.2">
      <c r="C5562" s="548"/>
      <c r="H5562" s="164"/>
    </row>
    <row r="5563" spans="3:8" x14ac:dyDescent="0.2">
      <c r="C5563" s="548"/>
      <c r="H5563" s="164"/>
    </row>
    <row r="5564" spans="3:8" x14ac:dyDescent="0.2">
      <c r="C5564" s="548"/>
      <c r="H5564" s="164"/>
    </row>
    <row r="5565" spans="3:8" x14ac:dyDescent="0.2">
      <c r="C5565" s="548"/>
      <c r="H5565" s="164"/>
    </row>
    <row r="5566" spans="3:8" x14ac:dyDescent="0.2">
      <c r="C5566" s="548"/>
      <c r="H5566" s="164"/>
    </row>
    <row r="5567" spans="3:8" x14ac:dyDescent="0.2">
      <c r="C5567" s="548"/>
      <c r="H5567" s="164"/>
    </row>
    <row r="5568" spans="3:8" x14ac:dyDescent="0.2">
      <c r="C5568" s="548"/>
      <c r="H5568" s="164"/>
    </row>
    <row r="5569" spans="3:8" x14ac:dyDescent="0.2">
      <c r="C5569" s="548"/>
      <c r="H5569" s="164"/>
    </row>
    <row r="5570" spans="3:8" x14ac:dyDescent="0.2">
      <c r="C5570" s="548"/>
      <c r="H5570" s="164"/>
    </row>
    <row r="5571" spans="3:8" x14ac:dyDescent="0.2">
      <c r="C5571" s="548"/>
      <c r="H5571" s="164"/>
    </row>
    <row r="5572" spans="3:8" x14ac:dyDescent="0.2">
      <c r="C5572" s="548"/>
      <c r="H5572" s="164"/>
    </row>
    <row r="5573" spans="3:8" x14ac:dyDescent="0.2">
      <c r="C5573" s="548"/>
      <c r="H5573" s="164"/>
    </row>
    <row r="5574" spans="3:8" x14ac:dyDescent="0.2">
      <c r="C5574" s="548"/>
      <c r="H5574" s="164"/>
    </row>
    <row r="5575" spans="3:8" x14ac:dyDescent="0.2">
      <c r="C5575" s="548"/>
      <c r="H5575" s="164"/>
    </row>
    <row r="5576" spans="3:8" x14ac:dyDescent="0.2">
      <c r="C5576" s="548"/>
      <c r="H5576" s="164"/>
    </row>
    <row r="5577" spans="3:8" x14ac:dyDescent="0.2">
      <c r="C5577" s="548"/>
      <c r="H5577" s="164"/>
    </row>
    <row r="5578" spans="3:8" x14ac:dyDescent="0.2">
      <c r="C5578" s="548"/>
      <c r="H5578" s="164"/>
    </row>
    <row r="5579" spans="3:8" x14ac:dyDescent="0.2">
      <c r="C5579" s="548"/>
      <c r="H5579" s="164"/>
    </row>
    <row r="5580" spans="3:8" x14ac:dyDescent="0.2">
      <c r="C5580" s="548"/>
      <c r="H5580" s="164"/>
    </row>
    <row r="5581" spans="3:8" x14ac:dyDescent="0.2">
      <c r="C5581" s="548"/>
      <c r="H5581" s="164"/>
    </row>
    <row r="5582" spans="3:8" x14ac:dyDescent="0.2">
      <c r="C5582" s="548"/>
      <c r="H5582" s="164"/>
    </row>
    <row r="5583" spans="3:8" x14ac:dyDescent="0.2">
      <c r="C5583" s="548"/>
      <c r="H5583" s="164"/>
    </row>
    <row r="5584" spans="3:8" x14ac:dyDescent="0.2">
      <c r="C5584" s="548"/>
      <c r="H5584" s="164"/>
    </row>
    <row r="5585" spans="3:8" x14ac:dyDescent="0.2">
      <c r="C5585" s="548"/>
      <c r="H5585" s="164"/>
    </row>
    <row r="5586" spans="3:8" x14ac:dyDescent="0.2">
      <c r="C5586" s="548"/>
      <c r="H5586" s="164"/>
    </row>
    <row r="5587" spans="3:8" x14ac:dyDescent="0.2">
      <c r="C5587" s="548"/>
      <c r="H5587" s="164"/>
    </row>
    <row r="5588" spans="3:8" x14ac:dyDescent="0.2">
      <c r="C5588" s="548"/>
      <c r="H5588" s="164"/>
    </row>
    <row r="5589" spans="3:8" x14ac:dyDescent="0.2">
      <c r="C5589" s="548"/>
      <c r="H5589" s="164"/>
    </row>
    <row r="5590" spans="3:8" x14ac:dyDescent="0.2">
      <c r="C5590" s="548"/>
      <c r="H5590" s="164"/>
    </row>
    <row r="5591" spans="3:8" x14ac:dyDescent="0.2">
      <c r="C5591" s="548"/>
      <c r="H5591" s="164"/>
    </row>
    <row r="5592" spans="3:8" x14ac:dyDescent="0.2">
      <c r="C5592" s="548"/>
      <c r="H5592" s="164"/>
    </row>
    <row r="5593" spans="3:8" x14ac:dyDescent="0.2">
      <c r="C5593" s="548"/>
      <c r="H5593" s="164"/>
    </row>
    <row r="5594" spans="3:8" x14ac:dyDescent="0.2">
      <c r="C5594" s="548"/>
      <c r="H5594" s="164"/>
    </row>
    <row r="5595" spans="3:8" x14ac:dyDescent="0.2">
      <c r="C5595" s="548"/>
      <c r="H5595" s="164"/>
    </row>
    <row r="5596" spans="3:8" x14ac:dyDescent="0.2">
      <c r="C5596" s="548"/>
      <c r="H5596" s="164"/>
    </row>
    <row r="5597" spans="3:8" x14ac:dyDescent="0.2">
      <c r="C5597" s="548"/>
      <c r="H5597" s="164"/>
    </row>
    <row r="5598" spans="3:8" x14ac:dyDescent="0.2">
      <c r="C5598" s="548"/>
      <c r="H5598" s="164"/>
    </row>
    <row r="5599" spans="3:8" x14ac:dyDescent="0.2">
      <c r="C5599" s="548"/>
      <c r="H5599" s="164"/>
    </row>
    <row r="5600" spans="3:8" x14ac:dyDescent="0.2">
      <c r="C5600" s="548"/>
      <c r="H5600" s="164"/>
    </row>
    <row r="5601" spans="3:8" x14ac:dyDescent="0.2">
      <c r="C5601" s="548"/>
      <c r="H5601" s="164"/>
    </row>
    <row r="5602" spans="3:8" x14ac:dyDescent="0.2">
      <c r="C5602" s="548"/>
      <c r="H5602" s="164"/>
    </row>
    <row r="5603" spans="3:8" x14ac:dyDescent="0.2">
      <c r="C5603" s="548"/>
      <c r="H5603" s="164"/>
    </row>
    <row r="5604" spans="3:8" x14ac:dyDescent="0.2">
      <c r="C5604" s="548"/>
      <c r="H5604" s="164"/>
    </row>
    <row r="5605" spans="3:8" x14ac:dyDescent="0.2">
      <c r="C5605" s="548"/>
      <c r="H5605" s="164"/>
    </row>
    <row r="5606" spans="3:8" x14ac:dyDescent="0.2">
      <c r="C5606" s="548"/>
      <c r="H5606" s="164"/>
    </row>
    <row r="5607" spans="3:8" x14ac:dyDescent="0.2">
      <c r="C5607" s="548"/>
      <c r="H5607" s="164"/>
    </row>
    <row r="5608" spans="3:8" x14ac:dyDescent="0.2">
      <c r="C5608" s="548"/>
      <c r="H5608" s="164"/>
    </row>
    <row r="5609" spans="3:8" x14ac:dyDescent="0.2">
      <c r="C5609" s="548"/>
      <c r="H5609" s="164"/>
    </row>
    <row r="5610" spans="3:8" x14ac:dyDescent="0.2">
      <c r="C5610" s="548"/>
      <c r="H5610" s="164"/>
    </row>
    <row r="5611" spans="3:8" x14ac:dyDescent="0.2">
      <c r="C5611" s="548"/>
      <c r="H5611" s="164"/>
    </row>
    <row r="5612" spans="3:8" x14ac:dyDescent="0.2">
      <c r="C5612" s="548"/>
      <c r="H5612" s="164"/>
    </row>
    <row r="5613" spans="3:8" x14ac:dyDescent="0.2">
      <c r="C5613" s="548"/>
      <c r="H5613" s="164"/>
    </row>
    <row r="5614" spans="3:8" x14ac:dyDescent="0.2">
      <c r="C5614" s="548"/>
      <c r="H5614" s="164"/>
    </row>
    <row r="5615" spans="3:8" x14ac:dyDescent="0.2">
      <c r="C5615" s="548"/>
      <c r="H5615" s="164"/>
    </row>
    <row r="5616" spans="3:8" x14ac:dyDescent="0.2">
      <c r="C5616" s="548"/>
      <c r="H5616" s="164"/>
    </row>
    <row r="5617" spans="3:8" x14ac:dyDescent="0.2">
      <c r="C5617" s="548"/>
      <c r="H5617" s="164"/>
    </row>
    <row r="5618" spans="3:8" x14ac:dyDescent="0.2">
      <c r="C5618" s="548"/>
      <c r="H5618" s="164"/>
    </row>
    <row r="5619" spans="3:8" x14ac:dyDescent="0.2">
      <c r="C5619" s="548"/>
      <c r="H5619" s="164"/>
    </row>
    <row r="5620" spans="3:8" x14ac:dyDescent="0.2">
      <c r="C5620" s="548"/>
      <c r="H5620" s="164"/>
    </row>
    <row r="5621" spans="3:8" x14ac:dyDescent="0.2">
      <c r="C5621" s="548"/>
      <c r="H5621" s="164"/>
    </row>
    <row r="5622" spans="3:8" x14ac:dyDescent="0.2">
      <c r="C5622" s="548"/>
      <c r="H5622" s="164"/>
    </row>
    <row r="5623" spans="3:8" x14ac:dyDescent="0.2">
      <c r="C5623" s="548"/>
      <c r="H5623" s="164"/>
    </row>
    <row r="5624" spans="3:8" x14ac:dyDescent="0.2">
      <c r="C5624" s="548"/>
      <c r="H5624" s="164"/>
    </row>
    <row r="5625" spans="3:8" x14ac:dyDescent="0.2">
      <c r="C5625" s="548"/>
      <c r="H5625" s="164"/>
    </row>
    <row r="5626" spans="3:8" x14ac:dyDescent="0.2">
      <c r="C5626" s="548"/>
      <c r="H5626" s="164"/>
    </row>
    <row r="5627" spans="3:8" x14ac:dyDescent="0.2">
      <c r="C5627" s="548"/>
      <c r="H5627" s="164"/>
    </row>
    <row r="5628" spans="3:8" x14ac:dyDescent="0.2">
      <c r="C5628" s="548"/>
      <c r="H5628" s="164"/>
    </row>
    <row r="5629" spans="3:8" x14ac:dyDescent="0.2">
      <c r="C5629" s="548"/>
      <c r="H5629" s="164"/>
    </row>
    <row r="5630" spans="3:8" x14ac:dyDescent="0.2">
      <c r="C5630" s="548"/>
      <c r="H5630" s="164"/>
    </row>
    <row r="5631" spans="3:8" x14ac:dyDescent="0.2">
      <c r="C5631" s="548"/>
      <c r="H5631" s="164"/>
    </row>
    <row r="5632" spans="3:8" x14ac:dyDescent="0.2">
      <c r="C5632" s="548"/>
      <c r="H5632" s="164"/>
    </row>
    <row r="5633" spans="3:8" x14ac:dyDescent="0.2">
      <c r="C5633" s="548"/>
      <c r="H5633" s="164"/>
    </row>
    <row r="5634" spans="3:8" x14ac:dyDescent="0.2">
      <c r="C5634" s="548"/>
      <c r="H5634" s="164"/>
    </row>
    <row r="5635" spans="3:8" x14ac:dyDescent="0.2">
      <c r="C5635" s="548"/>
      <c r="H5635" s="164"/>
    </row>
    <row r="5636" spans="3:8" x14ac:dyDescent="0.2">
      <c r="C5636" s="548"/>
      <c r="H5636" s="164"/>
    </row>
    <row r="5637" spans="3:8" x14ac:dyDescent="0.2">
      <c r="C5637" s="548"/>
      <c r="H5637" s="164"/>
    </row>
    <row r="5638" spans="3:8" x14ac:dyDescent="0.2">
      <c r="C5638" s="548"/>
      <c r="H5638" s="164"/>
    </row>
    <row r="5639" spans="3:8" x14ac:dyDescent="0.2">
      <c r="C5639" s="548"/>
      <c r="H5639" s="164"/>
    </row>
    <row r="5640" spans="3:8" x14ac:dyDescent="0.2">
      <c r="C5640" s="548"/>
      <c r="H5640" s="164"/>
    </row>
    <row r="5641" spans="3:8" x14ac:dyDescent="0.2">
      <c r="C5641" s="548"/>
      <c r="H5641" s="164"/>
    </row>
    <row r="5642" spans="3:8" x14ac:dyDescent="0.2">
      <c r="C5642" s="548"/>
      <c r="H5642" s="164"/>
    </row>
    <row r="5643" spans="3:8" x14ac:dyDescent="0.2">
      <c r="C5643" s="548"/>
      <c r="H5643" s="164"/>
    </row>
    <row r="5644" spans="3:8" x14ac:dyDescent="0.2">
      <c r="C5644" s="548"/>
      <c r="H5644" s="164"/>
    </row>
    <row r="5645" spans="3:8" x14ac:dyDescent="0.2">
      <c r="C5645" s="548"/>
      <c r="H5645" s="164"/>
    </row>
    <row r="5646" spans="3:8" x14ac:dyDescent="0.2">
      <c r="C5646" s="548"/>
      <c r="H5646" s="164"/>
    </row>
    <row r="5647" spans="3:8" x14ac:dyDescent="0.2">
      <c r="C5647" s="548"/>
      <c r="H5647" s="164"/>
    </row>
    <row r="5648" spans="3:8" x14ac:dyDescent="0.2">
      <c r="C5648" s="548"/>
      <c r="H5648" s="164"/>
    </row>
    <row r="5649" spans="3:8" x14ac:dyDescent="0.2">
      <c r="C5649" s="548"/>
      <c r="H5649" s="164"/>
    </row>
    <row r="5650" spans="3:8" x14ac:dyDescent="0.2">
      <c r="C5650" s="548"/>
      <c r="H5650" s="164"/>
    </row>
    <row r="5651" spans="3:8" x14ac:dyDescent="0.2">
      <c r="C5651" s="548"/>
      <c r="H5651" s="164"/>
    </row>
    <row r="5652" spans="3:8" x14ac:dyDescent="0.2">
      <c r="C5652" s="548"/>
      <c r="H5652" s="164"/>
    </row>
    <row r="5653" spans="3:8" x14ac:dyDescent="0.2">
      <c r="C5653" s="548"/>
      <c r="H5653" s="164"/>
    </row>
    <row r="5654" spans="3:8" x14ac:dyDescent="0.2">
      <c r="C5654" s="548"/>
      <c r="H5654" s="164"/>
    </row>
    <row r="5655" spans="3:8" x14ac:dyDescent="0.2">
      <c r="C5655" s="548"/>
      <c r="H5655" s="164"/>
    </row>
    <row r="5656" spans="3:8" x14ac:dyDescent="0.2">
      <c r="C5656" s="548"/>
      <c r="H5656" s="164"/>
    </row>
    <row r="5657" spans="3:8" x14ac:dyDescent="0.2">
      <c r="C5657" s="548"/>
      <c r="H5657" s="164"/>
    </row>
    <row r="5658" spans="3:8" x14ac:dyDescent="0.2">
      <c r="C5658" s="548"/>
      <c r="H5658" s="164"/>
    </row>
    <row r="5659" spans="3:8" x14ac:dyDescent="0.2">
      <c r="C5659" s="548"/>
      <c r="H5659" s="164"/>
    </row>
    <row r="5660" spans="3:8" x14ac:dyDescent="0.2">
      <c r="C5660" s="548"/>
      <c r="H5660" s="164"/>
    </row>
    <row r="5661" spans="3:8" x14ac:dyDescent="0.2">
      <c r="C5661" s="548"/>
      <c r="H5661" s="164"/>
    </row>
    <row r="5662" spans="3:8" x14ac:dyDescent="0.2">
      <c r="C5662" s="548"/>
      <c r="H5662" s="164"/>
    </row>
    <row r="5663" spans="3:8" x14ac:dyDescent="0.2">
      <c r="C5663" s="548"/>
      <c r="H5663" s="164"/>
    </row>
    <row r="5664" spans="3:8" x14ac:dyDescent="0.2">
      <c r="C5664" s="548"/>
      <c r="H5664" s="164"/>
    </row>
    <row r="5665" spans="3:8" x14ac:dyDescent="0.2">
      <c r="C5665" s="548"/>
      <c r="H5665" s="164"/>
    </row>
    <row r="5666" spans="3:8" x14ac:dyDescent="0.2">
      <c r="C5666" s="548"/>
      <c r="H5666" s="164"/>
    </row>
    <row r="5667" spans="3:8" x14ac:dyDescent="0.2">
      <c r="C5667" s="548"/>
      <c r="H5667" s="164"/>
    </row>
    <row r="5668" spans="3:8" x14ac:dyDescent="0.2">
      <c r="C5668" s="548"/>
      <c r="H5668" s="164"/>
    </row>
    <row r="5669" spans="3:8" x14ac:dyDescent="0.2">
      <c r="C5669" s="548"/>
      <c r="H5669" s="164"/>
    </row>
    <row r="5670" spans="3:8" x14ac:dyDescent="0.2">
      <c r="C5670" s="548"/>
      <c r="H5670" s="164"/>
    </row>
    <row r="5671" spans="3:8" x14ac:dyDescent="0.2">
      <c r="C5671" s="548"/>
      <c r="H5671" s="164"/>
    </row>
    <row r="5672" spans="3:8" x14ac:dyDescent="0.2">
      <c r="C5672" s="548"/>
      <c r="H5672" s="164"/>
    </row>
    <row r="5673" spans="3:8" x14ac:dyDescent="0.2">
      <c r="C5673" s="548"/>
      <c r="H5673" s="164"/>
    </row>
    <row r="5674" spans="3:8" x14ac:dyDescent="0.2">
      <c r="C5674" s="548"/>
      <c r="H5674" s="164"/>
    </row>
    <row r="5675" spans="3:8" x14ac:dyDescent="0.2">
      <c r="C5675" s="548"/>
      <c r="H5675" s="164"/>
    </row>
    <row r="5676" spans="3:8" x14ac:dyDescent="0.2">
      <c r="C5676" s="548"/>
      <c r="H5676" s="164"/>
    </row>
    <row r="5677" spans="3:8" x14ac:dyDescent="0.2">
      <c r="C5677" s="548"/>
      <c r="H5677" s="164"/>
    </row>
    <row r="5678" spans="3:8" x14ac:dyDescent="0.2">
      <c r="C5678" s="548"/>
      <c r="H5678" s="164"/>
    </row>
    <row r="5679" spans="3:8" x14ac:dyDescent="0.2">
      <c r="C5679" s="548"/>
      <c r="H5679" s="164"/>
    </row>
    <row r="5680" spans="3:8" x14ac:dyDescent="0.2">
      <c r="C5680" s="548"/>
      <c r="H5680" s="164"/>
    </row>
    <row r="5681" spans="3:8" x14ac:dyDescent="0.2">
      <c r="C5681" s="548"/>
      <c r="H5681" s="164"/>
    </row>
    <row r="5682" spans="3:8" x14ac:dyDescent="0.2">
      <c r="C5682" s="548"/>
      <c r="H5682" s="164"/>
    </row>
    <row r="5683" spans="3:8" x14ac:dyDescent="0.2">
      <c r="C5683" s="548"/>
      <c r="H5683" s="164"/>
    </row>
    <row r="5684" spans="3:8" x14ac:dyDescent="0.2">
      <c r="C5684" s="548"/>
      <c r="H5684" s="164"/>
    </row>
    <row r="5685" spans="3:8" x14ac:dyDescent="0.2">
      <c r="C5685" s="548"/>
      <c r="H5685" s="164"/>
    </row>
    <row r="5686" spans="3:8" x14ac:dyDescent="0.2">
      <c r="C5686" s="548"/>
      <c r="H5686" s="164"/>
    </row>
    <row r="5687" spans="3:8" x14ac:dyDescent="0.2">
      <c r="C5687" s="548"/>
      <c r="H5687" s="164"/>
    </row>
    <row r="5688" spans="3:8" x14ac:dyDescent="0.2">
      <c r="C5688" s="548"/>
      <c r="H5688" s="164"/>
    </row>
    <row r="5689" spans="3:8" x14ac:dyDescent="0.2">
      <c r="C5689" s="548"/>
      <c r="H5689" s="164"/>
    </row>
    <row r="5690" spans="3:8" x14ac:dyDescent="0.2">
      <c r="C5690" s="548"/>
      <c r="H5690" s="164"/>
    </row>
    <row r="5691" spans="3:8" x14ac:dyDescent="0.2">
      <c r="C5691" s="548"/>
      <c r="H5691" s="164"/>
    </row>
    <row r="5692" spans="3:8" x14ac:dyDescent="0.2">
      <c r="C5692" s="548"/>
      <c r="H5692" s="164"/>
    </row>
    <row r="5693" spans="3:8" x14ac:dyDescent="0.2">
      <c r="C5693" s="548"/>
      <c r="H5693" s="164"/>
    </row>
    <row r="5694" spans="3:8" x14ac:dyDescent="0.2">
      <c r="C5694" s="548"/>
      <c r="H5694" s="164"/>
    </row>
    <row r="5695" spans="3:8" x14ac:dyDescent="0.2">
      <c r="C5695" s="548"/>
      <c r="H5695" s="164"/>
    </row>
    <row r="5696" spans="3:8" x14ac:dyDescent="0.2">
      <c r="C5696" s="548"/>
      <c r="H5696" s="164"/>
    </row>
    <row r="5697" spans="3:8" x14ac:dyDescent="0.2">
      <c r="C5697" s="548"/>
      <c r="H5697" s="164"/>
    </row>
    <row r="5698" spans="3:8" x14ac:dyDescent="0.2">
      <c r="C5698" s="548"/>
      <c r="H5698" s="164"/>
    </row>
    <row r="5699" spans="3:8" x14ac:dyDescent="0.2">
      <c r="C5699" s="548"/>
      <c r="H5699" s="164"/>
    </row>
    <row r="5700" spans="3:8" x14ac:dyDescent="0.2">
      <c r="C5700" s="548"/>
      <c r="H5700" s="164"/>
    </row>
    <row r="5701" spans="3:8" x14ac:dyDescent="0.2">
      <c r="C5701" s="548"/>
      <c r="H5701" s="164"/>
    </row>
    <row r="5702" spans="3:8" x14ac:dyDescent="0.2">
      <c r="C5702" s="548"/>
      <c r="H5702" s="164"/>
    </row>
    <row r="5703" spans="3:8" x14ac:dyDescent="0.2">
      <c r="C5703" s="548"/>
      <c r="H5703" s="164"/>
    </row>
    <row r="5704" spans="3:8" x14ac:dyDescent="0.2">
      <c r="C5704" s="548"/>
      <c r="H5704" s="164"/>
    </row>
    <row r="5705" spans="3:8" x14ac:dyDescent="0.2">
      <c r="C5705" s="548"/>
      <c r="H5705" s="164"/>
    </row>
    <row r="5706" spans="3:8" x14ac:dyDescent="0.2">
      <c r="C5706" s="548"/>
      <c r="H5706" s="164"/>
    </row>
    <row r="5707" spans="3:8" x14ac:dyDescent="0.2">
      <c r="C5707" s="548"/>
      <c r="H5707" s="164"/>
    </row>
    <row r="5708" spans="3:8" x14ac:dyDescent="0.2">
      <c r="C5708" s="548"/>
      <c r="H5708" s="164"/>
    </row>
    <row r="5709" spans="3:8" x14ac:dyDescent="0.2">
      <c r="C5709" s="548"/>
      <c r="H5709" s="164"/>
    </row>
    <row r="5710" spans="3:8" x14ac:dyDescent="0.2">
      <c r="C5710" s="548"/>
      <c r="H5710" s="164"/>
    </row>
    <row r="5711" spans="3:8" x14ac:dyDescent="0.2">
      <c r="C5711" s="548"/>
      <c r="H5711" s="164"/>
    </row>
    <row r="5712" spans="3:8" x14ac:dyDescent="0.2">
      <c r="C5712" s="548"/>
      <c r="H5712" s="164"/>
    </row>
    <row r="5713" spans="3:8" x14ac:dyDescent="0.2">
      <c r="C5713" s="548"/>
      <c r="H5713" s="164"/>
    </row>
    <row r="5714" spans="3:8" x14ac:dyDescent="0.2">
      <c r="C5714" s="548"/>
      <c r="H5714" s="164"/>
    </row>
    <row r="5715" spans="3:8" x14ac:dyDescent="0.2">
      <c r="C5715" s="548"/>
      <c r="H5715" s="164"/>
    </row>
    <row r="5716" spans="3:8" x14ac:dyDescent="0.2">
      <c r="C5716" s="548"/>
      <c r="H5716" s="164"/>
    </row>
    <row r="5717" spans="3:8" x14ac:dyDescent="0.2">
      <c r="C5717" s="548"/>
      <c r="H5717" s="164"/>
    </row>
    <row r="5718" spans="3:8" x14ac:dyDescent="0.2">
      <c r="C5718" s="548"/>
      <c r="H5718" s="164"/>
    </row>
    <row r="5719" spans="3:8" x14ac:dyDescent="0.2">
      <c r="C5719" s="548"/>
      <c r="H5719" s="164"/>
    </row>
    <row r="5720" spans="3:8" x14ac:dyDescent="0.2">
      <c r="C5720" s="548"/>
      <c r="H5720" s="164"/>
    </row>
    <row r="5721" spans="3:8" x14ac:dyDescent="0.2">
      <c r="C5721" s="548"/>
      <c r="H5721" s="164"/>
    </row>
    <row r="5722" spans="3:8" x14ac:dyDescent="0.2">
      <c r="C5722" s="548"/>
      <c r="H5722" s="164"/>
    </row>
    <row r="5723" spans="3:8" x14ac:dyDescent="0.2">
      <c r="C5723" s="548"/>
      <c r="H5723" s="164"/>
    </row>
    <row r="5724" spans="3:8" x14ac:dyDescent="0.2">
      <c r="C5724" s="548"/>
      <c r="H5724" s="164"/>
    </row>
    <row r="5725" spans="3:8" x14ac:dyDescent="0.2">
      <c r="C5725" s="548"/>
      <c r="H5725" s="164"/>
    </row>
    <row r="5726" spans="3:8" x14ac:dyDescent="0.2">
      <c r="C5726" s="548"/>
      <c r="H5726" s="164"/>
    </row>
    <row r="5727" spans="3:8" x14ac:dyDescent="0.2">
      <c r="C5727" s="548"/>
      <c r="H5727" s="164"/>
    </row>
    <row r="5728" spans="3:8" x14ac:dyDescent="0.2">
      <c r="C5728" s="548"/>
      <c r="H5728" s="164"/>
    </row>
    <row r="5729" spans="3:8" x14ac:dyDescent="0.2">
      <c r="C5729" s="548"/>
      <c r="H5729" s="164"/>
    </row>
    <row r="5730" spans="3:8" x14ac:dyDescent="0.2">
      <c r="C5730" s="548"/>
      <c r="H5730" s="164"/>
    </row>
    <row r="5731" spans="3:8" x14ac:dyDescent="0.2">
      <c r="C5731" s="548"/>
      <c r="H5731" s="164"/>
    </row>
    <row r="5732" spans="3:8" x14ac:dyDescent="0.2">
      <c r="C5732" s="548"/>
      <c r="H5732" s="164"/>
    </row>
    <row r="5733" spans="3:8" x14ac:dyDescent="0.2">
      <c r="C5733" s="548"/>
      <c r="H5733" s="164"/>
    </row>
    <row r="5734" spans="3:8" x14ac:dyDescent="0.2">
      <c r="C5734" s="548"/>
      <c r="H5734" s="164"/>
    </row>
    <row r="5735" spans="3:8" x14ac:dyDescent="0.2">
      <c r="C5735" s="548"/>
      <c r="H5735" s="164"/>
    </row>
    <row r="5736" spans="3:8" x14ac:dyDescent="0.2">
      <c r="C5736" s="548"/>
      <c r="H5736" s="164"/>
    </row>
    <row r="5737" spans="3:8" x14ac:dyDescent="0.2">
      <c r="C5737" s="548"/>
      <c r="H5737" s="164"/>
    </row>
    <row r="5738" spans="3:8" x14ac:dyDescent="0.2">
      <c r="C5738" s="548"/>
      <c r="H5738" s="164"/>
    </row>
    <row r="5739" spans="3:8" x14ac:dyDescent="0.2">
      <c r="C5739" s="548"/>
      <c r="H5739" s="164"/>
    </row>
    <row r="5740" spans="3:8" x14ac:dyDescent="0.2">
      <c r="C5740" s="548"/>
      <c r="H5740" s="164"/>
    </row>
    <row r="5741" spans="3:8" x14ac:dyDescent="0.2">
      <c r="C5741" s="548"/>
      <c r="H5741" s="164"/>
    </row>
    <row r="5742" spans="3:8" x14ac:dyDescent="0.2">
      <c r="C5742" s="548"/>
      <c r="H5742" s="164"/>
    </row>
    <row r="5743" spans="3:8" x14ac:dyDescent="0.2">
      <c r="C5743" s="548"/>
      <c r="H5743" s="164"/>
    </row>
    <row r="5744" spans="3:8" x14ac:dyDescent="0.2">
      <c r="C5744" s="548"/>
      <c r="H5744" s="164"/>
    </row>
    <row r="5745" spans="3:8" x14ac:dyDescent="0.2">
      <c r="C5745" s="548"/>
      <c r="H5745" s="164"/>
    </row>
    <row r="5746" spans="3:8" x14ac:dyDescent="0.2">
      <c r="C5746" s="548"/>
      <c r="H5746" s="164"/>
    </row>
    <row r="5747" spans="3:8" x14ac:dyDescent="0.2">
      <c r="C5747" s="548"/>
      <c r="H5747" s="164"/>
    </row>
    <row r="5748" spans="3:8" x14ac:dyDescent="0.2">
      <c r="C5748" s="548"/>
      <c r="H5748" s="164"/>
    </row>
    <row r="5749" spans="3:8" x14ac:dyDescent="0.2">
      <c r="C5749" s="548"/>
      <c r="H5749" s="164"/>
    </row>
    <row r="5750" spans="3:8" x14ac:dyDescent="0.2">
      <c r="C5750" s="548"/>
      <c r="H5750" s="164"/>
    </row>
    <row r="5751" spans="3:8" x14ac:dyDescent="0.2">
      <c r="C5751" s="548"/>
      <c r="H5751" s="164"/>
    </row>
    <row r="5752" spans="3:8" x14ac:dyDescent="0.2">
      <c r="C5752" s="548"/>
      <c r="H5752" s="164"/>
    </row>
    <row r="5753" spans="3:8" x14ac:dyDescent="0.2">
      <c r="C5753" s="548"/>
      <c r="H5753" s="164"/>
    </row>
    <row r="5754" spans="3:8" x14ac:dyDescent="0.2">
      <c r="C5754" s="548"/>
      <c r="H5754" s="164"/>
    </row>
    <row r="5755" spans="3:8" x14ac:dyDescent="0.2">
      <c r="C5755" s="548"/>
      <c r="H5755" s="164"/>
    </row>
    <row r="5756" spans="3:8" x14ac:dyDescent="0.2">
      <c r="C5756" s="548"/>
      <c r="H5756" s="164"/>
    </row>
    <row r="5757" spans="3:8" x14ac:dyDescent="0.2">
      <c r="C5757" s="548"/>
      <c r="H5757" s="164"/>
    </row>
    <row r="5758" spans="3:8" x14ac:dyDescent="0.2">
      <c r="C5758" s="548"/>
      <c r="H5758" s="164"/>
    </row>
    <row r="5759" spans="3:8" x14ac:dyDescent="0.2">
      <c r="C5759" s="548"/>
      <c r="H5759" s="164"/>
    </row>
    <row r="5760" spans="3:8" x14ac:dyDescent="0.2">
      <c r="C5760" s="548"/>
      <c r="H5760" s="164"/>
    </row>
    <row r="5761" spans="3:8" x14ac:dyDescent="0.2">
      <c r="C5761" s="548"/>
      <c r="H5761" s="164"/>
    </row>
    <row r="5762" spans="3:8" x14ac:dyDescent="0.2">
      <c r="C5762" s="548"/>
      <c r="H5762" s="164"/>
    </row>
    <row r="5763" spans="3:8" x14ac:dyDescent="0.2">
      <c r="C5763" s="548"/>
      <c r="H5763" s="164"/>
    </row>
    <row r="5764" spans="3:8" x14ac:dyDescent="0.2">
      <c r="C5764" s="548"/>
      <c r="H5764" s="164"/>
    </row>
    <row r="5765" spans="3:8" x14ac:dyDescent="0.2">
      <c r="C5765" s="548"/>
      <c r="H5765" s="164"/>
    </row>
    <row r="5766" spans="3:8" x14ac:dyDescent="0.2">
      <c r="C5766" s="548"/>
      <c r="H5766" s="164"/>
    </row>
    <row r="5767" spans="3:8" x14ac:dyDescent="0.2">
      <c r="C5767" s="548"/>
      <c r="H5767" s="164"/>
    </row>
    <row r="5768" spans="3:8" x14ac:dyDescent="0.2">
      <c r="C5768" s="548"/>
      <c r="H5768" s="164"/>
    </row>
    <row r="5769" spans="3:8" x14ac:dyDescent="0.2">
      <c r="C5769" s="548"/>
      <c r="H5769" s="164"/>
    </row>
    <row r="5770" spans="3:8" x14ac:dyDescent="0.2">
      <c r="C5770" s="548"/>
      <c r="H5770" s="164"/>
    </row>
    <row r="5771" spans="3:8" x14ac:dyDescent="0.2">
      <c r="C5771" s="548"/>
      <c r="H5771" s="164"/>
    </row>
    <row r="5772" spans="3:8" x14ac:dyDescent="0.2">
      <c r="C5772" s="548"/>
      <c r="H5772" s="164"/>
    </row>
    <row r="5773" spans="3:8" x14ac:dyDescent="0.2">
      <c r="C5773" s="548"/>
      <c r="H5773" s="164"/>
    </row>
    <row r="5774" spans="3:8" x14ac:dyDescent="0.2">
      <c r="C5774" s="548"/>
      <c r="H5774" s="164"/>
    </row>
    <row r="5775" spans="3:8" x14ac:dyDescent="0.2">
      <c r="C5775" s="548"/>
      <c r="H5775" s="164"/>
    </row>
    <row r="5776" spans="3:8" x14ac:dyDescent="0.2">
      <c r="C5776" s="548"/>
      <c r="H5776" s="164"/>
    </row>
    <row r="5777" spans="3:8" x14ac:dyDescent="0.2">
      <c r="C5777" s="548"/>
      <c r="H5777" s="164"/>
    </row>
    <row r="5778" spans="3:8" x14ac:dyDescent="0.2">
      <c r="C5778" s="548"/>
      <c r="H5778" s="164"/>
    </row>
    <row r="5779" spans="3:8" x14ac:dyDescent="0.2">
      <c r="C5779" s="548"/>
      <c r="H5779" s="164"/>
    </row>
    <row r="5780" spans="3:8" x14ac:dyDescent="0.2">
      <c r="C5780" s="548"/>
      <c r="H5780" s="164"/>
    </row>
    <row r="5781" spans="3:8" x14ac:dyDescent="0.2">
      <c r="C5781" s="548"/>
      <c r="H5781" s="164"/>
    </row>
    <row r="5782" spans="3:8" x14ac:dyDescent="0.2">
      <c r="C5782" s="548"/>
      <c r="H5782" s="164"/>
    </row>
    <row r="5783" spans="3:8" x14ac:dyDescent="0.2">
      <c r="C5783" s="548"/>
      <c r="H5783" s="164"/>
    </row>
    <row r="5784" spans="3:8" x14ac:dyDescent="0.2">
      <c r="C5784" s="548"/>
      <c r="H5784" s="164"/>
    </row>
    <row r="5785" spans="3:8" x14ac:dyDescent="0.2">
      <c r="C5785" s="548"/>
      <c r="H5785" s="164"/>
    </row>
    <row r="5786" spans="3:8" x14ac:dyDescent="0.2">
      <c r="C5786" s="548"/>
      <c r="H5786" s="164"/>
    </row>
    <row r="5787" spans="3:8" x14ac:dyDescent="0.2">
      <c r="C5787" s="548"/>
      <c r="H5787" s="164"/>
    </row>
    <row r="5788" spans="3:8" x14ac:dyDescent="0.2">
      <c r="C5788" s="548"/>
      <c r="H5788" s="164"/>
    </row>
    <row r="5789" spans="3:8" x14ac:dyDescent="0.2">
      <c r="C5789" s="548"/>
      <c r="H5789" s="164"/>
    </row>
    <row r="5790" spans="3:8" x14ac:dyDescent="0.2">
      <c r="C5790" s="548"/>
      <c r="H5790" s="164"/>
    </row>
    <row r="5791" spans="3:8" x14ac:dyDescent="0.2">
      <c r="C5791" s="548"/>
      <c r="H5791" s="164"/>
    </row>
    <row r="5792" spans="3:8" x14ac:dyDescent="0.2">
      <c r="C5792" s="548"/>
      <c r="H5792" s="164"/>
    </row>
    <row r="5793" spans="3:8" x14ac:dyDescent="0.2">
      <c r="C5793" s="548"/>
      <c r="H5793" s="164"/>
    </row>
    <row r="5794" spans="3:8" x14ac:dyDescent="0.2">
      <c r="C5794" s="548"/>
      <c r="H5794" s="164"/>
    </row>
    <row r="5795" spans="3:8" x14ac:dyDescent="0.2">
      <c r="C5795" s="548"/>
      <c r="H5795" s="164"/>
    </row>
    <row r="5796" spans="3:8" x14ac:dyDescent="0.2">
      <c r="C5796" s="548"/>
      <c r="H5796" s="164"/>
    </row>
    <row r="5797" spans="3:8" x14ac:dyDescent="0.2">
      <c r="C5797" s="548"/>
      <c r="H5797" s="164"/>
    </row>
    <row r="5798" spans="3:8" x14ac:dyDescent="0.2">
      <c r="C5798" s="548"/>
      <c r="H5798" s="164"/>
    </row>
    <row r="5799" spans="3:8" x14ac:dyDescent="0.2">
      <c r="C5799" s="548"/>
      <c r="H5799" s="164"/>
    </row>
    <row r="5800" spans="3:8" x14ac:dyDescent="0.2">
      <c r="C5800" s="548"/>
      <c r="H5800" s="164"/>
    </row>
    <row r="5801" spans="3:8" x14ac:dyDescent="0.2">
      <c r="C5801" s="548"/>
      <c r="H5801" s="164"/>
    </row>
    <row r="5802" spans="3:8" x14ac:dyDescent="0.2">
      <c r="C5802" s="548"/>
      <c r="H5802" s="164"/>
    </row>
    <row r="5803" spans="3:8" x14ac:dyDescent="0.2">
      <c r="C5803" s="548"/>
      <c r="H5803" s="164"/>
    </row>
    <row r="5804" spans="3:8" x14ac:dyDescent="0.2">
      <c r="C5804" s="548"/>
      <c r="H5804" s="164"/>
    </row>
    <row r="5805" spans="3:8" x14ac:dyDescent="0.2">
      <c r="C5805" s="548"/>
      <c r="H5805" s="164"/>
    </row>
    <row r="5806" spans="3:8" x14ac:dyDescent="0.2">
      <c r="C5806" s="548"/>
      <c r="H5806" s="164"/>
    </row>
    <row r="5807" spans="3:8" x14ac:dyDescent="0.2">
      <c r="C5807" s="548"/>
      <c r="H5807" s="164"/>
    </row>
    <row r="5808" spans="3:8" x14ac:dyDescent="0.2">
      <c r="C5808" s="548"/>
      <c r="H5808" s="164"/>
    </row>
    <row r="5809" spans="3:8" x14ac:dyDescent="0.2">
      <c r="C5809" s="548"/>
      <c r="H5809" s="164"/>
    </row>
    <row r="5810" spans="3:8" x14ac:dyDescent="0.2">
      <c r="C5810" s="548"/>
      <c r="H5810" s="164"/>
    </row>
    <row r="5811" spans="3:8" x14ac:dyDescent="0.2">
      <c r="C5811" s="548"/>
      <c r="H5811" s="164"/>
    </row>
    <row r="5812" spans="3:8" x14ac:dyDescent="0.2">
      <c r="C5812" s="548"/>
      <c r="H5812" s="164"/>
    </row>
    <row r="5813" spans="3:8" x14ac:dyDescent="0.2">
      <c r="C5813" s="548"/>
      <c r="H5813" s="164"/>
    </row>
    <row r="5814" spans="3:8" x14ac:dyDescent="0.2">
      <c r="C5814" s="548"/>
      <c r="H5814" s="164"/>
    </row>
    <row r="5815" spans="3:8" x14ac:dyDescent="0.2">
      <c r="C5815" s="548"/>
      <c r="H5815" s="164"/>
    </row>
    <row r="5816" spans="3:8" x14ac:dyDescent="0.2">
      <c r="C5816" s="548"/>
      <c r="H5816" s="164"/>
    </row>
    <row r="5817" spans="3:8" x14ac:dyDescent="0.2">
      <c r="C5817" s="548"/>
      <c r="H5817" s="164"/>
    </row>
    <row r="5818" spans="3:8" x14ac:dyDescent="0.2">
      <c r="C5818" s="548"/>
      <c r="H5818" s="164"/>
    </row>
    <row r="5819" spans="3:8" x14ac:dyDescent="0.2">
      <c r="C5819" s="548"/>
      <c r="H5819" s="164"/>
    </row>
    <row r="5820" spans="3:8" x14ac:dyDescent="0.2">
      <c r="C5820" s="548"/>
      <c r="H5820" s="164"/>
    </row>
    <row r="5821" spans="3:8" x14ac:dyDescent="0.2">
      <c r="C5821" s="548"/>
      <c r="H5821" s="164"/>
    </row>
    <row r="5822" spans="3:8" x14ac:dyDescent="0.2">
      <c r="C5822" s="548"/>
      <c r="H5822" s="164"/>
    </row>
    <row r="5823" spans="3:8" x14ac:dyDescent="0.2">
      <c r="C5823" s="548"/>
      <c r="H5823" s="164"/>
    </row>
    <row r="5824" spans="3:8" x14ac:dyDescent="0.2">
      <c r="C5824" s="548"/>
      <c r="H5824" s="164"/>
    </row>
    <row r="5825" spans="3:8" x14ac:dyDescent="0.2">
      <c r="C5825" s="548"/>
      <c r="H5825" s="164"/>
    </row>
    <row r="5826" spans="3:8" x14ac:dyDescent="0.2">
      <c r="C5826" s="548"/>
      <c r="H5826" s="164"/>
    </row>
    <row r="5827" spans="3:8" x14ac:dyDescent="0.2">
      <c r="C5827" s="548"/>
      <c r="H5827" s="164"/>
    </row>
    <row r="5828" spans="3:8" x14ac:dyDescent="0.2">
      <c r="C5828" s="548"/>
      <c r="H5828" s="164"/>
    </row>
    <row r="5829" spans="3:8" x14ac:dyDescent="0.2">
      <c r="C5829" s="548"/>
      <c r="H5829" s="164"/>
    </row>
    <row r="5830" spans="3:8" x14ac:dyDescent="0.2">
      <c r="C5830" s="548"/>
      <c r="H5830" s="164"/>
    </row>
    <row r="5831" spans="3:8" x14ac:dyDescent="0.2">
      <c r="C5831" s="548"/>
      <c r="H5831" s="164"/>
    </row>
    <row r="5832" spans="3:8" x14ac:dyDescent="0.2">
      <c r="C5832" s="548"/>
      <c r="H5832" s="164"/>
    </row>
    <row r="5833" spans="3:8" x14ac:dyDescent="0.2">
      <c r="C5833" s="548"/>
      <c r="H5833" s="164"/>
    </row>
    <row r="5834" spans="3:8" x14ac:dyDescent="0.2">
      <c r="C5834" s="548"/>
      <c r="H5834" s="164"/>
    </row>
    <row r="5835" spans="3:8" x14ac:dyDescent="0.2">
      <c r="C5835" s="548"/>
      <c r="H5835" s="164"/>
    </row>
    <row r="5836" spans="3:8" x14ac:dyDescent="0.2">
      <c r="C5836" s="548"/>
      <c r="H5836" s="164"/>
    </row>
    <row r="5837" spans="3:8" x14ac:dyDescent="0.2">
      <c r="C5837" s="548"/>
      <c r="H5837" s="164"/>
    </row>
    <row r="5838" spans="3:8" x14ac:dyDescent="0.2">
      <c r="C5838" s="548"/>
      <c r="H5838" s="164"/>
    </row>
    <row r="5839" spans="3:8" x14ac:dyDescent="0.2">
      <c r="C5839" s="548"/>
      <c r="H5839" s="164"/>
    </row>
    <row r="5840" spans="3:8" x14ac:dyDescent="0.2">
      <c r="C5840" s="548"/>
      <c r="H5840" s="164"/>
    </row>
    <row r="5841" spans="3:8" x14ac:dyDescent="0.2">
      <c r="C5841" s="548"/>
      <c r="H5841" s="164"/>
    </row>
    <row r="5842" spans="3:8" x14ac:dyDescent="0.2">
      <c r="C5842" s="548"/>
      <c r="H5842" s="164"/>
    </row>
    <row r="5843" spans="3:8" x14ac:dyDescent="0.2">
      <c r="C5843" s="548"/>
      <c r="H5843" s="164"/>
    </row>
    <row r="5844" spans="3:8" x14ac:dyDescent="0.2">
      <c r="C5844" s="548"/>
      <c r="H5844" s="164"/>
    </row>
    <row r="5845" spans="3:8" x14ac:dyDescent="0.2">
      <c r="C5845" s="548"/>
      <c r="H5845" s="164"/>
    </row>
    <row r="5846" spans="3:8" x14ac:dyDescent="0.2">
      <c r="C5846" s="548"/>
      <c r="H5846" s="164"/>
    </row>
    <row r="5847" spans="3:8" x14ac:dyDescent="0.2">
      <c r="C5847" s="548"/>
      <c r="H5847" s="164"/>
    </row>
    <row r="5848" spans="3:8" x14ac:dyDescent="0.2">
      <c r="C5848" s="548"/>
      <c r="H5848" s="164"/>
    </row>
    <row r="5849" spans="3:8" x14ac:dyDescent="0.2">
      <c r="C5849" s="548"/>
      <c r="H5849" s="164"/>
    </row>
    <row r="5850" spans="3:8" x14ac:dyDescent="0.2">
      <c r="C5850" s="548"/>
      <c r="H5850" s="164"/>
    </row>
    <row r="5851" spans="3:8" x14ac:dyDescent="0.2">
      <c r="C5851" s="548"/>
      <c r="H5851" s="164"/>
    </row>
    <row r="5852" spans="3:8" x14ac:dyDescent="0.2">
      <c r="C5852" s="548"/>
      <c r="H5852" s="164"/>
    </row>
    <row r="5853" spans="3:8" x14ac:dyDescent="0.2">
      <c r="C5853" s="548"/>
      <c r="H5853" s="164"/>
    </row>
    <row r="5854" spans="3:8" x14ac:dyDescent="0.2">
      <c r="C5854" s="548"/>
      <c r="H5854" s="164"/>
    </row>
    <row r="5855" spans="3:8" x14ac:dyDescent="0.2">
      <c r="C5855" s="548"/>
      <c r="H5855" s="164"/>
    </row>
    <row r="5856" spans="3:8" x14ac:dyDescent="0.2">
      <c r="C5856" s="548"/>
      <c r="H5856" s="164"/>
    </row>
    <row r="5857" spans="3:8" x14ac:dyDescent="0.2">
      <c r="C5857" s="548"/>
      <c r="H5857" s="164"/>
    </row>
    <row r="5858" spans="3:8" x14ac:dyDescent="0.2">
      <c r="C5858" s="548"/>
      <c r="H5858" s="164"/>
    </row>
    <row r="5859" spans="3:8" x14ac:dyDescent="0.2">
      <c r="C5859" s="548"/>
      <c r="H5859" s="164"/>
    </row>
    <row r="5860" spans="3:8" x14ac:dyDescent="0.2">
      <c r="C5860" s="548"/>
      <c r="H5860" s="164"/>
    </row>
    <row r="5861" spans="3:8" x14ac:dyDescent="0.2">
      <c r="C5861" s="548"/>
      <c r="H5861" s="164"/>
    </row>
    <row r="5862" spans="3:8" x14ac:dyDescent="0.2">
      <c r="C5862" s="548"/>
      <c r="H5862" s="164"/>
    </row>
    <row r="5863" spans="3:8" x14ac:dyDescent="0.2">
      <c r="C5863" s="548"/>
      <c r="H5863" s="164"/>
    </row>
    <row r="5864" spans="3:8" x14ac:dyDescent="0.2">
      <c r="C5864" s="548"/>
      <c r="H5864" s="164"/>
    </row>
    <row r="5865" spans="3:8" x14ac:dyDescent="0.2">
      <c r="C5865" s="548"/>
      <c r="H5865" s="164"/>
    </row>
    <row r="5866" spans="3:8" x14ac:dyDescent="0.2">
      <c r="C5866" s="548"/>
      <c r="H5866" s="164"/>
    </row>
    <row r="5867" spans="3:8" x14ac:dyDescent="0.2">
      <c r="C5867" s="548"/>
      <c r="H5867" s="164"/>
    </row>
    <row r="5868" spans="3:8" x14ac:dyDescent="0.2">
      <c r="C5868" s="548"/>
      <c r="H5868" s="164"/>
    </row>
    <row r="5869" spans="3:8" x14ac:dyDescent="0.2">
      <c r="C5869" s="548"/>
      <c r="H5869" s="164"/>
    </row>
    <row r="5870" spans="3:8" x14ac:dyDescent="0.2">
      <c r="C5870" s="548"/>
      <c r="H5870" s="164"/>
    </row>
    <row r="5871" spans="3:8" x14ac:dyDescent="0.2">
      <c r="C5871" s="548"/>
      <c r="H5871" s="164"/>
    </row>
    <row r="5872" spans="3:8" x14ac:dyDescent="0.2">
      <c r="C5872" s="548"/>
      <c r="H5872" s="164"/>
    </row>
    <row r="5873" spans="3:8" x14ac:dyDescent="0.2">
      <c r="C5873" s="548"/>
      <c r="H5873" s="164"/>
    </row>
    <row r="5874" spans="3:8" x14ac:dyDescent="0.2">
      <c r="C5874" s="548"/>
      <c r="H5874" s="164"/>
    </row>
    <row r="5875" spans="3:8" x14ac:dyDescent="0.2">
      <c r="C5875" s="548"/>
      <c r="H5875" s="164"/>
    </row>
    <row r="5876" spans="3:8" x14ac:dyDescent="0.2">
      <c r="C5876" s="548"/>
      <c r="H5876" s="164"/>
    </row>
    <row r="5877" spans="3:8" x14ac:dyDescent="0.2">
      <c r="C5877" s="548"/>
      <c r="H5877" s="164"/>
    </row>
    <row r="5878" spans="3:8" x14ac:dyDescent="0.2">
      <c r="C5878" s="548"/>
      <c r="H5878" s="164"/>
    </row>
    <row r="5879" spans="3:8" x14ac:dyDescent="0.2">
      <c r="C5879" s="548"/>
      <c r="H5879" s="164"/>
    </row>
    <row r="5880" spans="3:8" x14ac:dyDescent="0.2">
      <c r="C5880" s="548"/>
      <c r="H5880" s="164"/>
    </row>
    <row r="5881" spans="3:8" x14ac:dyDescent="0.2">
      <c r="C5881" s="548"/>
      <c r="H5881" s="164"/>
    </row>
    <row r="5882" spans="3:8" x14ac:dyDescent="0.2">
      <c r="C5882" s="548"/>
      <c r="H5882" s="164"/>
    </row>
    <row r="5883" spans="3:8" x14ac:dyDescent="0.2">
      <c r="C5883" s="548"/>
      <c r="H5883" s="164"/>
    </row>
    <row r="5884" spans="3:8" x14ac:dyDescent="0.2">
      <c r="C5884" s="548"/>
      <c r="H5884" s="164"/>
    </row>
    <row r="5885" spans="3:8" x14ac:dyDescent="0.2">
      <c r="C5885" s="548"/>
      <c r="H5885" s="164"/>
    </row>
    <row r="5886" spans="3:8" x14ac:dyDescent="0.2">
      <c r="C5886" s="548"/>
      <c r="H5886" s="164"/>
    </row>
    <row r="5887" spans="3:8" x14ac:dyDescent="0.2">
      <c r="C5887" s="548"/>
      <c r="H5887" s="164"/>
    </row>
    <row r="5888" spans="3:8" x14ac:dyDescent="0.2">
      <c r="C5888" s="548"/>
      <c r="H5888" s="164"/>
    </row>
    <row r="5889" spans="3:8" x14ac:dyDescent="0.2">
      <c r="C5889" s="548"/>
      <c r="H5889" s="164"/>
    </row>
    <row r="5890" spans="3:8" x14ac:dyDescent="0.2">
      <c r="C5890" s="548"/>
      <c r="H5890" s="164"/>
    </row>
    <row r="5891" spans="3:8" x14ac:dyDescent="0.2">
      <c r="C5891" s="548"/>
      <c r="H5891" s="164"/>
    </row>
    <row r="5892" spans="3:8" x14ac:dyDescent="0.2">
      <c r="C5892" s="548"/>
      <c r="H5892" s="164"/>
    </row>
    <row r="5893" spans="3:8" x14ac:dyDescent="0.2">
      <c r="C5893" s="548"/>
      <c r="H5893" s="164"/>
    </row>
    <row r="5894" spans="3:8" x14ac:dyDescent="0.2">
      <c r="C5894" s="548"/>
      <c r="H5894" s="164"/>
    </row>
    <row r="5895" spans="3:8" x14ac:dyDescent="0.2">
      <c r="C5895" s="548"/>
      <c r="H5895" s="164"/>
    </row>
    <row r="5896" spans="3:8" x14ac:dyDescent="0.2">
      <c r="C5896" s="548"/>
      <c r="H5896" s="164"/>
    </row>
    <row r="5897" spans="3:8" x14ac:dyDescent="0.2">
      <c r="C5897" s="548"/>
      <c r="H5897" s="164"/>
    </row>
    <row r="5898" spans="3:8" x14ac:dyDescent="0.2">
      <c r="C5898" s="548"/>
      <c r="H5898" s="164"/>
    </row>
    <row r="5899" spans="3:8" x14ac:dyDescent="0.2">
      <c r="C5899" s="548"/>
      <c r="H5899" s="164"/>
    </row>
    <row r="5900" spans="3:8" x14ac:dyDescent="0.2">
      <c r="C5900" s="548"/>
      <c r="H5900" s="164"/>
    </row>
    <row r="5901" spans="3:8" x14ac:dyDescent="0.2">
      <c r="C5901" s="548"/>
      <c r="H5901" s="164"/>
    </row>
    <row r="5902" spans="3:8" x14ac:dyDescent="0.2">
      <c r="C5902" s="548"/>
      <c r="H5902" s="164"/>
    </row>
    <row r="5903" spans="3:8" x14ac:dyDescent="0.2">
      <c r="C5903" s="548"/>
      <c r="H5903" s="164"/>
    </row>
    <row r="5904" spans="3:8" x14ac:dyDescent="0.2">
      <c r="C5904" s="548"/>
      <c r="H5904" s="164"/>
    </row>
    <row r="5905" spans="3:8" x14ac:dyDescent="0.2">
      <c r="C5905" s="548"/>
      <c r="H5905" s="164"/>
    </row>
    <row r="5906" spans="3:8" x14ac:dyDescent="0.2">
      <c r="C5906" s="548"/>
      <c r="H5906" s="164"/>
    </row>
    <row r="5907" spans="3:8" x14ac:dyDescent="0.2">
      <c r="C5907" s="548"/>
      <c r="H5907" s="164"/>
    </row>
    <row r="5908" spans="3:8" x14ac:dyDescent="0.2">
      <c r="C5908" s="548"/>
      <c r="H5908" s="164"/>
    </row>
    <row r="5909" spans="3:8" x14ac:dyDescent="0.2">
      <c r="C5909" s="548"/>
      <c r="H5909" s="164"/>
    </row>
    <row r="5910" spans="3:8" x14ac:dyDescent="0.2">
      <c r="C5910" s="548"/>
      <c r="H5910" s="164"/>
    </row>
    <row r="5911" spans="3:8" x14ac:dyDescent="0.2">
      <c r="C5911" s="548"/>
      <c r="H5911" s="164"/>
    </row>
    <row r="5912" spans="3:8" x14ac:dyDescent="0.2">
      <c r="C5912" s="548"/>
      <c r="H5912" s="164"/>
    </row>
    <row r="5913" spans="3:8" x14ac:dyDescent="0.2">
      <c r="C5913" s="548"/>
      <c r="H5913" s="164"/>
    </row>
    <row r="5914" spans="3:8" x14ac:dyDescent="0.2">
      <c r="C5914" s="548"/>
      <c r="H5914" s="164"/>
    </row>
    <row r="5915" spans="3:8" x14ac:dyDescent="0.2">
      <c r="C5915" s="548"/>
      <c r="H5915" s="164"/>
    </row>
    <row r="5916" spans="3:8" x14ac:dyDescent="0.2">
      <c r="C5916" s="548"/>
      <c r="H5916" s="164"/>
    </row>
    <row r="5917" spans="3:8" x14ac:dyDescent="0.2">
      <c r="C5917" s="548"/>
      <c r="H5917" s="164"/>
    </row>
    <row r="5918" spans="3:8" x14ac:dyDescent="0.2">
      <c r="C5918" s="548"/>
      <c r="H5918" s="164"/>
    </row>
    <row r="5919" spans="3:8" x14ac:dyDescent="0.2">
      <c r="C5919" s="548"/>
      <c r="H5919" s="164"/>
    </row>
    <row r="5920" spans="3:8" x14ac:dyDescent="0.2">
      <c r="C5920" s="548"/>
      <c r="H5920" s="164"/>
    </row>
    <row r="5921" spans="3:8" x14ac:dyDescent="0.2">
      <c r="C5921" s="548"/>
      <c r="H5921" s="164"/>
    </row>
    <row r="5922" spans="3:8" x14ac:dyDescent="0.2">
      <c r="C5922" s="548"/>
      <c r="H5922" s="164"/>
    </row>
    <row r="5923" spans="3:8" x14ac:dyDescent="0.2">
      <c r="C5923" s="548"/>
      <c r="H5923" s="164"/>
    </row>
    <row r="5924" spans="3:8" x14ac:dyDescent="0.2">
      <c r="C5924" s="548"/>
      <c r="H5924" s="164"/>
    </row>
    <row r="5925" spans="3:8" x14ac:dyDescent="0.2">
      <c r="C5925" s="548"/>
      <c r="H5925" s="164"/>
    </row>
    <row r="5926" spans="3:8" x14ac:dyDescent="0.2">
      <c r="C5926" s="548"/>
      <c r="H5926" s="164"/>
    </row>
    <row r="5927" spans="3:8" x14ac:dyDescent="0.2">
      <c r="C5927" s="548"/>
      <c r="H5927" s="164"/>
    </row>
    <row r="5928" spans="3:8" x14ac:dyDescent="0.2">
      <c r="C5928" s="548"/>
      <c r="H5928" s="164"/>
    </row>
    <row r="5929" spans="3:8" x14ac:dyDescent="0.2">
      <c r="C5929" s="548"/>
      <c r="H5929" s="164"/>
    </row>
    <row r="5930" spans="3:8" x14ac:dyDescent="0.2">
      <c r="C5930" s="548"/>
      <c r="H5930" s="164"/>
    </row>
    <row r="5931" spans="3:8" x14ac:dyDescent="0.2">
      <c r="C5931" s="548"/>
      <c r="H5931" s="164"/>
    </row>
    <row r="5932" spans="3:8" x14ac:dyDescent="0.2">
      <c r="C5932" s="548"/>
      <c r="H5932" s="164"/>
    </row>
    <row r="5933" spans="3:8" x14ac:dyDescent="0.2">
      <c r="C5933" s="548"/>
      <c r="H5933" s="164"/>
    </row>
    <row r="5934" spans="3:8" x14ac:dyDescent="0.2">
      <c r="C5934" s="548"/>
      <c r="H5934" s="164"/>
    </row>
    <row r="5935" spans="3:8" x14ac:dyDescent="0.2">
      <c r="C5935" s="548"/>
      <c r="H5935" s="164"/>
    </row>
    <row r="5936" spans="3:8" x14ac:dyDescent="0.2">
      <c r="C5936" s="548"/>
      <c r="H5936" s="164"/>
    </row>
    <row r="5937" spans="3:8" x14ac:dyDescent="0.2">
      <c r="C5937" s="548"/>
      <c r="H5937" s="164"/>
    </row>
    <row r="5938" spans="3:8" x14ac:dyDescent="0.2">
      <c r="C5938" s="548"/>
      <c r="H5938" s="164"/>
    </row>
    <row r="5939" spans="3:8" x14ac:dyDescent="0.2">
      <c r="C5939" s="548"/>
      <c r="H5939" s="164"/>
    </row>
    <row r="5940" spans="3:8" x14ac:dyDescent="0.2">
      <c r="C5940" s="548"/>
      <c r="H5940" s="164"/>
    </row>
    <row r="5941" spans="3:8" x14ac:dyDescent="0.2">
      <c r="C5941" s="548"/>
      <c r="H5941" s="164"/>
    </row>
    <row r="5942" spans="3:8" x14ac:dyDescent="0.2">
      <c r="C5942" s="548"/>
      <c r="H5942" s="164"/>
    </row>
    <row r="5943" spans="3:8" x14ac:dyDescent="0.2">
      <c r="C5943" s="548"/>
      <c r="H5943" s="164"/>
    </row>
    <row r="5944" spans="3:8" x14ac:dyDescent="0.2">
      <c r="C5944" s="548"/>
      <c r="H5944" s="164"/>
    </row>
    <row r="5945" spans="3:8" x14ac:dyDescent="0.2">
      <c r="C5945" s="548"/>
      <c r="H5945" s="164"/>
    </row>
    <row r="5946" spans="3:8" x14ac:dyDescent="0.2">
      <c r="C5946" s="548"/>
      <c r="H5946" s="164"/>
    </row>
    <row r="5947" spans="3:8" x14ac:dyDescent="0.2">
      <c r="C5947" s="548"/>
      <c r="H5947" s="164"/>
    </row>
    <row r="5948" spans="3:8" x14ac:dyDescent="0.2">
      <c r="C5948" s="548"/>
      <c r="H5948" s="164"/>
    </row>
    <row r="5949" spans="3:8" x14ac:dyDescent="0.2">
      <c r="C5949" s="548"/>
      <c r="H5949" s="164"/>
    </row>
    <row r="5950" spans="3:8" x14ac:dyDescent="0.2">
      <c r="C5950" s="548"/>
      <c r="H5950" s="164"/>
    </row>
    <row r="5951" spans="3:8" x14ac:dyDescent="0.2">
      <c r="C5951" s="548"/>
      <c r="H5951" s="164"/>
    </row>
    <row r="5952" spans="3:8" x14ac:dyDescent="0.2">
      <c r="C5952" s="548"/>
      <c r="H5952" s="164"/>
    </row>
    <row r="5953" spans="3:8" x14ac:dyDescent="0.2">
      <c r="C5953" s="548"/>
      <c r="H5953" s="164"/>
    </row>
    <row r="5954" spans="3:8" x14ac:dyDescent="0.2">
      <c r="C5954" s="548"/>
      <c r="H5954" s="164"/>
    </row>
    <row r="5955" spans="3:8" x14ac:dyDescent="0.2">
      <c r="C5955" s="548"/>
      <c r="H5955" s="164"/>
    </row>
    <row r="5956" spans="3:8" x14ac:dyDescent="0.2">
      <c r="C5956" s="548"/>
      <c r="H5956" s="164"/>
    </row>
    <row r="5957" spans="3:8" x14ac:dyDescent="0.2">
      <c r="C5957" s="548"/>
      <c r="H5957" s="164"/>
    </row>
    <row r="5958" spans="3:8" x14ac:dyDescent="0.2">
      <c r="C5958" s="548"/>
      <c r="H5958" s="164"/>
    </row>
    <row r="5959" spans="3:8" x14ac:dyDescent="0.2">
      <c r="C5959" s="548"/>
      <c r="H5959" s="164"/>
    </row>
    <row r="5960" spans="3:8" x14ac:dyDescent="0.2">
      <c r="C5960" s="548"/>
      <c r="H5960" s="164"/>
    </row>
    <row r="5961" spans="3:8" x14ac:dyDescent="0.2">
      <c r="C5961" s="548"/>
      <c r="H5961" s="164"/>
    </row>
    <row r="5962" spans="3:8" x14ac:dyDescent="0.2">
      <c r="C5962" s="548"/>
      <c r="H5962" s="164"/>
    </row>
    <row r="5963" spans="3:8" x14ac:dyDescent="0.2">
      <c r="C5963" s="548"/>
      <c r="H5963" s="164"/>
    </row>
    <row r="5964" spans="3:8" x14ac:dyDescent="0.2">
      <c r="C5964" s="548"/>
      <c r="H5964" s="164"/>
    </row>
    <row r="5965" spans="3:8" x14ac:dyDescent="0.2">
      <c r="C5965" s="548"/>
      <c r="H5965" s="164"/>
    </row>
    <row r="5966" spans="3:8" x14ac:dyDescent="0.2">
      <c r="C5966" s="548"/>
      <c r="H5966" s="164"/>
    </row>
    <row r="5967" spans="3:8" x14ac:dyDescent="0.2">
      <c r="C5967" s="548"/>
      <c r="H5967" s="164"/>
    </row>
    <row r="5968" spans="3:8" x14ac:dyDescent="0.2">
      <c r="C5968" s="548"/>
      <c r="H5968" s="164"/>
    </row>
    <row r="5969" spans="3:8" x14ac:dyDescent="0.2">
      <c r="C5969" s="548"/>
      <c r="H5969" s="164"/>
    </row>
    <row r="5970" spans="3:8" x14ac:dyDescent="0.2">
      <c r="C5970" s="548"/>
      <c r="H5970" s="164"/>
    </row>
    <row r="5971" spans="3:8" x14ac:dyDescent="0.2">
      <c r="C5971" s="548"/>
      <c r="H5971" s="164"/>
    </row>
    <row r="5972" spans="3:8" x14ac:dyDescent="0.2">
      <c r="C5972" s="548"/>
      <c r="H5972" s="164"/>
    </row>
    <row r="5973" spans="3:8" x14ac:dyDescent="0.2">
      <c r="C5973" s="548"/>
      <c r="H5973" s="164"/>
    </row>
    <row r="5974" spans="3:8" x14ac:dyDescent="0.2">
      <c r="C5974" s="548"/>
      <c r="H5974" s="164"/>
    </row>
    <row r="5975" spans="3:8" x14ac:dyDescent="0.2">
      <c r="C5975" s="548"/>
      <c r="H5975" s="164"/>
    </row>
    <row r="5976" spans="3:8" x14ac:dyDescent="0.2">
      <c r="C5976" s="548"/>
      <c r="H5976" s="164"/>
    </row>
    <row r="5977" spans="3:8" x14ac:dyDescent="0.2">
      <c r="C5977" s="548"/>
      <c r="H5977" s="164"/>
    </row>
    <row r="5978" spans="3:8" x14ac:dyDescent="0.2">
      <c r="C5978" s="548"/>
      <c r="H5978" s="164"/>
    </row>
    <row r="5979" spans="3:8" x14ac:dyDescent="0.2">
      <c r="C5979" s="548"/>
      <c r="H5979" s="164"/>
    </row>
    <row r="5980" spans="3:8" x14ac:dyDescent="0.2">
      <c r="C5980" s="548"/>
      <c r="H5980" s="164"/>
    </row>
    <row r="5981" spans="3:8" x14ac:dyDescent="0.2">
      <c r="C5981" s="548"/>
      <c r="H5981" s="164"/>
    </row>
    <row r="5982" spans="3:8" x14ac:dyDescent="0.2">
      <c r="C5982" s="548"/>
      <c r="H5982" s="164"/>
    </row>
    <row r="5983" spans="3:8" x14ac:dyDescent="0.2">
      <c r="C5983" s="548"/>
      <c r="H5983" s="164"/>
    </row>
    <row r="5984" spans="3:8" x14ac:dyDescent="0.2">
      <c r="C5984" s="548"/>
      <c r="H5984" s="164"/>
    </row>
    <row r="5985" spans="3:8" x14ac:dyDescent="0.2">
      <c r="C5985" s="548"/>
      <c r="H5985" s="164"/>
    </row>
    <row r="5986" spans="3:8" x14ac:dyDescent="0.2">
      <c r="C5986" s="548"/>
      <c r="H5986" s="164"/>
    </row>
    <row r="5987" spans="3:8" x14ac:dyDescent="0.2">
      <c r="C5987" s="548"/>
      <c r="H5987" s="164"/>
    </row>
    <row r="5988" spans="3:8" x14ac:dyDescent="0.2">
      <c r="C5988" s="548"/>
      <c r="H5988" s="164"/>
    </row>
    <row r="5989" spans="3:8" x14ac:dyDescent="0.2">
      <c r="C5989" s="548"/>
      <c r="H5989" s="164"/>
    </row>
    <row r="5990" spans="3:8" x14ac:dyDescent="0.2">
      <c r="C5990" s="548"/>
      <c r="H5990" s="164"/>
    </row>
    <row r="5991" spans="3:8" x14ac:dyDescent="0.2">
      <c r="C5991" s="548"/>
      <c r="H5991" s="164"/>
    </row>
    <row r="5992" spans="3:8" x14ac:dyDescent="0.2">
      <c r="C5992" s="548"/>
      <c r="H5992" s="164"/>
    </row>
    <row r="5993" spans="3:8" x14ac:dyDescent="0.2">
      <c r="C5993" s="548"/>
      <c r="H5993" s="164"/>
    </row>
    <row r="5994" spans="3:8" x14ac:dyDescent="0.2">
      <c r="C5994" s="548"/>
      <c r="H5994" s="164"/>
    </row>
    <row r="5995" spans="3:8" x14ac:dyDescent="0.2">
      <c r="C5995" s="548"/>
      <c r="H5995" s="164"/>
    </row>
    <row r="5996" spans="3:8" x14ac:dyDescent="0.2">
      <c r="C5996" s="548"/>
      <c r="H5996" s="164"/>
    </row>
    <row r="5997" spans="3:8" x14ac:dyDescent="0.2">
      <c r="C5997" s="548"/>
      <c r="H5997" s="164"/>
    </row>
    <row r="5998" spans="3:8" x14ac:dyDescent="0.2">
      <c r="C5998" s="548"/>
      <c r="H5998" s="164"/>
    </row>
    <row r="5999" spans="3:8" x14ac:dyDescent="0.2">
      <c r="C5999" s="548"/>
      <c r="H5999" s="164"/>
    </row>
    <row r="6000" spans="3:8" x14ac:dyDescent="0.2">
      <c r="C6000" s="548"/>
      <c r="H6000" s="164"/>
    </row>
    <row r="6001" spans="3:8" x14ac:dyDescent="0.2">
      <c r="C6001" s="548"/>
      <c r="H6001" s="164"/>
    </row>
    <row r="6002" spans="3:8" x14ac:dyDescent="0.2">
      <c r="C6002" s="548"/>
      <c r="H6002" s="164"/>
    </row>
    <row r="6003" spans="3:8" x14ac:dyDescent="0.2">
      <c r="C6003" s="548"/>
      <c r="H6003" s="164"/>
    </row>
    <row r="6004" spans="3:8" x14ac:dyDescent="0.2">
      <c r="C6004" s="548"/>
      <c r="H6004" s="164"/>
    </row>
    <row r="6005" spans="3:8" x14ac:dyDescent="0.2">
      <c r="C6005" s="548"/>
      <c r="H6005" s="164"/>
    </row>
    <row r="6006" spans="3:8" x14ac:dyDescent="0.2">
      <c r="C6006" s="548"/>
      <c r="H6006" s="164"/>
    </row>
    <row r="6007" spans="3:8" x14ac:dyDescent="0.2">
      <c r="C6007" s="548"/>
      <c r="H6007" s="164"/>
    </row>
    <row r="6008" spans="3:8" x14ac:dyDescent="0.2">
      <c r="C6008" s="548"/>
      <c r="H6008" s="164"/>
    </row>
    <row r="6009" spans="3:8" x14ac:dyDescent="0.2">
      <c r="C6009" s="548"/>
      <c r="H6009" s="164"/>
    </row>
    <row r="6010" spans="3:8" x14ac:dyDescent="0.2">
      <c r="C6010" s="548"/>
      <c r="H6010" s="164"/>
    </row>
    <row r="6011" spans="3:8" x14ac:dyDescent="0.2">
      <c r="C6011" s="548"/>
      <c r="H6011" s="164"/>
    </row>
    <row r="6012" spans="3:8" x14ac:dyDescent="0.2">
      <c r="C6012" s="548"/>
      <c r="H6012" s="164"/>
    </row>
    <row r="6013" spans="3:8" x14ac:dyDescent="0.2">
      <c r="C6013" s="548"/>
      <c r="H6013" s="164"/>
    </row>
    <row r="6014" spans="3:8" x14ac:dyDescent="0.2">
      <c r="C6014" s="548"/>
      <c r="H6014" s="164"/>
    </row>
    <row r="6015" spans="3:8" x14ac:dyDescent="0.2">
      <c r="C6015" s="548"/>
      <c r="H6015" s="164"/>
    </row>
    <row r="6016" spans="3:8" x14ac:dyDescent="0.2">
      <c r="C6016" s="548"/>
      <c r="H6016" s="164"/>
    </row>
    <row r="6017" spans="3:8" x14ac:dyDescent="0.2">
      <c r="C6017" s="548"/>
      <c r="H6017" s="164"/>
    </row>
    <row r="6018" spans="3:8" x14ac:dyDescent="0.2">
      <c r="C6018" s="548"/>
      <c r="H6018" s="164"/>
    </row>
    <row r="6019" spans="3:8" x14ac:dyDescent="0.2">
      <c r="C6019" s="548"/>
      <c r="H6019" s="164"/>
    </row>
    <row r="6020" spans="3:8" x14ac:dyDescent="0.2">
      <c r="C6020" s="548"/>
      <c r="H6020" s="164"/>
    </row>
    <row r="6021" spans="3:8" x14ac:dyDescent="0.2">
      <c r="C6021" s="548"/>
      <c r="H6021" s="164"/>
    </row>
    <row r="6022" spans="3:8" x14ac:dyDescent="0.2">
      <c r="C6022" s="548"/>
      <c r="H6022" s="164"/>
    </row>
    <row r="6023" spans="3:8" x14ac:dyDescent="0.2">
      <c r="C6023" s="548"/>
      <c r="H6023" s="164"/>
    </row>
    <row r="6024" spans="3:8" x14ac:dyDescent="0.2">
      <c r="C6024" s="548"/>
      <c r="H6024" s="164"/>
    </row>
    <row r="6025" spans="3:8" x14ac:dyDescent="0.2">
      <c r="C6025" s="548"/>
      <c r="H6025" s="164"/>
    </row>
    <row r="6026" spans="3:8" x14ac:dyDescent="0.2">
      <c r="C6026" s="548"/>
      <c r="H6026" s="164"/>
    </row>
    <row r="6027" spans="3:8" x14ac:dyDescent="0.2">
      <c r="C6027" s="548"/>
      <c r="H6027" s="164"/>
    </row>
    <row r="6028" spans="3:8" x14ac:dyDescent="0.2">
      <c r="C6028" s="548"/>
      <c r="H6028" s="164"/>
    </row>
    <row r="6029" spans="3:8" x14ac:dyDescent="0.2">
      <c r="C6029" s="548"/>
      <c r="H6029" s="164"/>
    </row>
    <row r="6030" spans="3:8" x14ac:dyDescent="0.2">
      <c r="C6030" s="548"/>
      <c r="H6030" s="164"/>
    </row>
    <row r="6031" spans="3:8" x14ac:dyDescent="0.2">
      <c r="C6031" s="548"/>
      <c r="H6031" s="164"/>
    </row>
    <row r="6032" spans="3:8" x14ac:dyDescent="0.2">
      <c r="C6032" s="548"/>
      <c r="H6032" s="164"/>
    </row>
    <row r="6033" spans="3:8" x14ac:dyDescent="0.2">
      <c r="C6033" s="548"/>
      <c r="H6033" s="164"/>
    </row>
    <row r="6034" spans="3:8" x14ac:dyDescent="0.2">
      <c r="C6034" s="548"/>
      <c r="H6034" s="164"/>
    </row>
    <row r="6035" spans="3:8" x14ac:dyDescent="0.2">
      <c r="C6035" s="548"/>
      <c r="H6035" s="164"/>
    </row>
    <row r="6036" spans="3:8" x14ac:dyDescent="0.2">
      <c r="C6036" s="548"/>
      <c r="H6036" s="164"/>
    </row>
    <row r="6037" spans="3:8" x14ac:dyDescent="0.2">
      <c r="C6037" s="548"/>
      <c r="H6037" s="164"/>
    </row>
    <row r="6038" spans="3:8" x14ac:dyDescent="0.2">
      <c r="C6038" s="548"/>
      <c r="H6038" s="164"/>
    </row>
    <row r="6039" spans="3:8" x14ac:dyDescent="0.2">
      <c r="C6039" s="548"/>
      <c r="H6039" s="164"/>
    </row>
    <row r="6040" spans="3:8" x14ac:dyDescent="0.2">
      <c r="C6040" s="548"/>
      <c r="H6040" s="164"/>
    </row>
    <row r="6041" spans="3:8" x14ac:dyDescent="0.2">
      <c r="C6041" s="548"/>
      <c r="H6041" s="164"/>
    </row>
    <row r="6042" spans="3:8" x14ac:dyDescent="0.2">
      <c r="C6042" s="548"/>
      <c r="H6042" s="164"/>
    </row>
    <row r="6043" spans="3:8" x14ac:dyDescent="0.2">
      <c r="C6043" s="548"/>
      <c r="H6043" s="164"/>
    </row>
    <row r="6044" spans="3:8" x14ac:dyDescent="0.2">
      <c r="C6044" s="548"/>
      <c r="H6044" s="164"/>
    </row>
    <row r="6045" spans="3:8" x14ac:dyDescent="0.2">
      <c r="C6045" s="548"/>
      <c r="H6045" s="164"/>
    </row>
    <row r="6046" spans="3:8" x14ac:dyDescent="0.2">
      <c r="C6046" s="548"/>
      <c r="H6046" s="164"/>
    </row>
    <row r="6047" spans="3:8" x14ac:dyDescent="0.2">
      <c r="C6047" s="548"/>
      <c r="H6047" s="164"/>
    </row>
    <row r="6048" spans="3:8" x14ac:dyDescent="0.2">
      <c r="C6048" s="548"/>
      <c r="H6048" s="164"/>
    </row>
    <row r="6049" spans="3:8" x14ac:dyDescent="0.2">
      <c r="C6049" s="548"/>
      <c r="H6049" s="164"/>
    </row>
    <row r="6050" spans="3:8" x14ac:dyDescent="0.2">
      <c r="C6050" s="548"/>
      <c r="H6050" s="164"/>
    </row>
    <row r="6051" spans="3:8" x14ac:dyDescent="0.2">
      <c r="C6051" s="548"/>
      <c r="H6051" s="164"/>
    </row>
    <row r="6052" spans="3:8" x14ac:dyDescent="0.2">
      <c r="C6052" s="548"/>
      <c r="H6052" s="164"/>
    </row>
    <row r="6053" spans="3:8" x14ac:dyDescent="0.2">
      <c r="C6053" s="548"/>
      <c r="H6053" s="164"/>
    </row>
    <row r="6054" spans="3:8" x14ac:dyDescent="0.2">
      <c r="C6054" s="548"/>
      <c r="H6054" s="164"/>
    </row>
    <row r="6055" spans="3:8" x14ac:dyDescent="0.2">
      <c r="C6055" s="548"/>
      <c r="H6055" s="164"/>
    </row>
    <row r="6056" spans="3:8" x14ac:dyDescent="0.2">
      <c r="C6056" s="548"/>
      <c r="H6056" s="164"/>
    </row>
    <row r="6057" spans="3:8" x14ac:dyDescent="0.2">
      <c r="C6057" s="548"/>
      <c r="H6057" s="164"/>
    </row>
    <row r="6058" spans="3:8" x14ac:dyDescent="0.2">
      <c r="C6058" s="548"/>
      <c r="H6058" s="164"/>
    </row>
    <row r="6059" spans="3:8" x14ac:dyDescent="0.2">
      <c r="C6059" s="548"/>
      <c r="H6059" s="164"/>
    </row>
    <row r="6060" spans="3:8" x14ac:dyDescent="0.2">
      <c r="C6060" s="548"/>
      <c r="H6060" s="164"/>
    </row>
    <row r="6061" spans="3:8" x14ac:dyDescent="0.2">
      <c r="C6061" s="548"/>
      <c r="H6061" s="164"/>
    </row>
    <row r="6062" spans="3:8" x14ac:dyDescent="0.2">
      <c r="C6062" s="548"/>
      <c r="H6062" s="164"/>
    </row>
    <row r="6063" spans="3:8" x14ac:dyDescent="0.2">
      <c r="C6063" s="548"/>
      <c r="H6063" s="164"/>
    </row>
    <row r="6064" spans="3:8" x14ac:dyDescent="0.2">
      <c r="C6064" s="548"/>
      <c r="H6064" s="164"/>
    </row>
    <row r="6065" spans="3:8" x14ac:dyDescent="0.2">
      <c r="C6065" s="548"/>
      <c r="H6065" s="164"/>
    </row>
    <row r="6066" spans="3:8" x14ac:dyDescent="0.2">
      <c r="C6066" s="548"/>
      <c r="H6066" s="164"/>
    </row>
    <row r="6067" spans="3:8" x14ac:dyDescent="0.2">
      <c r="C6067" s="548"/>
      <c r="H6067" s="164"/>
    </row>
    <row r="6068" spans="3:8" x14ac:dyDescent="0.2">
      <c r="C6068" s="548"/>
      <c r="H6068" s="164"/>
    </row>
    <row r="6069" spans="3:8" x14ac:dyDescent="0.2">
      <c r="C6069" s="548"/>
      <c r="H6069" s="164"/>
    </row>
    <row r="6070" spans="3:8" x14ac:dyDescent="0.2">
      <c r="C6070" s="548"/>
      <c r="H6070" s="164"/>
    </row>
    <row r="6071" spans="3:8" x14ac:dyDescent="0.2">
      <c r="C6071" s="548"/>
      <c r="H6071" s="164"/>
    </row>
    <row r="6072" spans="3:8" x14ac:dyDescent="0.2">
      <c r="C6072" s="548"/>
      <c r="H6072" s="164"/>
    </row>
    <row r="6073" spans="3:8" x14ac:dyDescent="0.2">
      <c r="C6073" s="548"/>
      <c r="H6073" s="164"/>
    </row>
    <row r="6074" spans="3:8" x14ac:dyDescent="0.2">
      <c r="C6074" s="548"/>
      <c r="H6074" s="164"/>
    </row>
    <row r="6075" spans="3:8" x14ac:dyDescent="0.2">
      <c r="C6075" s="548"/>
      <c r="H6075" s="164"/>
    </row>
    <row r="6076" spans="3:8" x14ac:dyDescent="0.2">
      <c r="C6076" s="548"/>
      <c r="H6076" s="164"/>
    </row>
    <row r="6077" spans="3:8" x14ac:dyDescent="0.2">
      <c r="C6077" s="548"/>
      <c r="H6077" s="164"/>
    </row>
    <row r="6078" spans="3:8" x14ac:dyDescent="0.2">
      <c r="C6078" s="548"/>
      <c r="H6078" s="164"/>
    </row>
    <row r="6079" spans="3:8" x14ac:dyDescent="0.2">
      <c r="C6079" s="548"/>
      <c r="H6079" s="164"/>
    </row>
    <row r="6080" spans="3:8" x14ac:dyDescent="0.2">
      <c r="C6080" s="548"/>
      <c r="H6080" s="164"/>
    </row>
    <row r="6081" spans="3:8" x14ac:dyDescent="0.2">
      <c r="C6081" s="548"/>
      <c r="H6081" s="164"/>
    </row>
    <row r="6082" spans="3:8" x14ac:dyDescent="0.2">
      <c r="C6082" s="548"/>
      <c r="H6082" s="164"/>
    </row>
    <row r="6083" spans="3:8" x14ac:dyDescent="0.2">
      <c r="C6083" s="548"/>
      <c r="H6083" s="164"/>
    </row>
    <row r="6084" spans="3:8" x14ac:dyDescent="0.2">
      <c r="C6084" s="548"/>
      <c r="H6084" s="164"/>
    </row>
    <row r="6085" spans="3:8" x14ac:dyDescent="0.2">
      <c r="C6085" s="548"/>
      <c r="H6085" s="164"/>
    </row>
    <row r="6086" spans="3:8" x14ac:dyDescent="0.2">
      <c r="C6086" s="548"/>
      <c r="H6086" s="164"/>
    </row>
    <row r="6087" spans="3:8" x14ac:dyDescent="0.2">
      <c r="C6087" s="548"/>
      <c r="H6087" s="164"/>
    </row>
    <row r="6088" spans="3:8" x14ac:dyDescent="0.2">
      <c r="C6088" s="548"/>
      <c r="H6088" s="164"/>
    </row>
    <row r="6089" spans="3:8" x14ac:dyDescent="0.2">
      <c r="C6089" s="548"/>
      <c r="H6089" s="164"/>
    </row>
    <row r="6090" spans="3:8" x14ac:dyDescent="0.2">
      <c r="C6090" s="548"/>
      <c r="H6090" s="164"/>
    </row>
    <row r="6091" spans="3:8" x14ac:dyDescent="0.2">
      <c r="C6091" s="548"/>
      <c r="H6091" s="164"/>
    </row>
    <row r="6092" spans="3:8" x14ac:dyDescent="0.2">
      <c r="C6092" s="548"/>
      <c r="H6092" s="164"/>
    </row>
    <row r="6093" spans="3:8" x14ac:dyDescent="0.2">
      <c r="C6093" s="548"/>
      <c r="H6093" s="164"/>
    </row>
    <row r="6094" spans="3:8" x14ac:dyDescent="0.2">
      <c r="C6094" s="548"/>
      <c r="H6094" s="164"/>
    </row>
    <row r="6095" spans="3:8" x14ac:dyDescent="0.2">
      <c r="C6095" s="548"/>
      <c r="H6095" s="164"/>
    </row>
    <row r="6096" spans="3:8" x14ac:dyDescent="0.2">
      <c r="C6096" s="548"/>
      <c r="H6096" s="164"/>
    </row>
    <row r="6097" spans="3:8" x14ac:dyDescent="0.2">
      <c r="C6097" s="548"/>
      <c r="H6097" s="164"/>
    </row>
    <row r="6098" spans="3:8" x14ac:dyDescent="0.2">
      <c r="C6098" s="548"/>
      <c r="H6098" s="164"/>
    </row>
    <row r="6099" spans="3:8" x14ac:dyDescent="0.2">
      <c r="C6099" s="548"/>
      <c r="H6099" s="164"/>
    </row>
    <row r="6100" spans="3:8" x14ac:dyDescent="0.2">
      <c r="C6100" s="548"/>
      <c r="H6100" s="164"/>
    </row>
    <row r="6101" spans="3:8" x14ac:dyDescent="0.2">
      <c r="C6101" s="548"/>
      <c r="H6101" s="164"/>
    </row>
    <row r="6102" spans="3:8" x14ac:dyDescent="0.2">
      <c r="C6102" s="548"/>
      <c r="H6102" s="164"/>
    </row>
    <row r="6103" spans="3:8" x14ac:dyDescent="0.2">
      <c r="C6103" s="548"/>
      <c r="H6103" s="164"/>
    </row>
    <row r="6104" spans="3:8" x14ac:dyDescent="0.2">
      <c r="C6104" s="548"/>
      <c r="H6104" s="164"/>
    </row>
    <row r="6105" spans="3:8" x14ac:dyDescent="0.2">
      <c r="C6105" s="548"/>
      <c r="H6105" s="164"/>
    </row>
    <row r="6106" spans="3:8" x14ac:dyDescent="0.2">
      <c r="C6106" s="548"/>
      <c r="H6106" s="164"/>
    </row>
    <row r="6107" spans="3:8" x14ac:dyDescent="0.2">
      <c r="C6107" s="548"/>
      <c r="H6107" s="164"/>
    </row>
    <row r="6108" spans="3:8" x14ac:dyDescent="0.2">
      <c r="C6108" s="548"/>
      <c r="H6108" s="164"/>
    </row>
    <row r="6109" spans="3:8" x14ac:dyDescent="0.2">
      <c r="C6109" s="548"/>
      <c r="H6109" s="164"/>
    </row>
    <row r="6110" spans="3:8" x14ac:dyDescent="0.2">
      <c r="C6110" s="548"/>
      <c r="H6110" s="164"/>
    </row>
    <row r="6111" spans="3:8" x14ac:dyDescent="0.2">
      <c r="C6111" s="548"/>
      <c r="H6111" s="164"/>
    </row>
    <row r="6112" spans="3:8" x14ac:dyDescent="0.2">
      <c r="C6112" s="548"/>
      <c r="H6112" s="164"/>
    </row>
    <row r="6113" spans="3:8" x14ac:dyDescent="0.2">
      <c r="C6113" s="548"/>
      <c r="H6113" s="164"/>
    </row>
    <row r="6114" spans="3:8" x14ac:dyDescent="0.2">
      <c r="C6114" s="548"/>
      <c r="H6114" s="164"/>
    </row>
    <row r="6115" spans="3:8" x14ac:dyDescent="0.2">
      <c r="C6115" s="548"/>
      <c r="H6115" s="164"/>
    </row>
    <row r="6116" spans="3:8" x14ac:dyDescent="0.2">
      <c r="C6116" s="548"/>
      <c r="H6116" s="164"/>
    </row>
    <row r="6117" spans="3:8" x14ac:dyDescent="0.2">
      <c r="C6117" s="548"/>
      <c r="H6117" s="164"/>
    </row>
    <row r="6118" spans="3:8" x14ac:dyDescent="0.2">
      <c r="C6118" s="548"/>
      <c r="H6118" s="164"/>
    </row>
    <row r="6119" spans="3:8" x14ac:dyDescent="0.2">
      <c r="C6119" s="548"/>
      <c r="H6119" s="164"/>
    </row>
    <row r="6120" spans="3:8" x14ac:dyDescent="0.2">
      <c r="C6120" s="548"/>
      <c r="H6120" s="164"/>
    </row>
    <row r="6121" spans="3:8" x14ac:dyDescent="0.2">
      <c r="C6121" s="548"/>
      <c r="H6121" s="164"/>
    </row>
    <row r="6122" spans="3:8" x14ac:dyDescent="0.2">
      <c r="C6122" s="548"/>
      <c r="H6122" s="164"/>
    </row>
    <row r="6123" spans="3:8" x14ac:dyDescent="0.2">
      <c r="C6123" s="548"/>
      <c r="H6123" s="164"/>
    </row>
    <row r="6124" spans="3:8" x14ac:dyDescent="0.2">
      <c r="C6124" s="548"/>
      <c r="H6124" s="164"/>
    </row>
    <row r="6125" spans="3:8" x14ac:dyDescent="0.2">
      <c r="C6125" s="548"/>
      <c r="H6125" s="164"/>
    </row>
    <row r="6126" spans="3:8" x14ac:dyDescent="0.2">
      <c r="C6126" s="548"/>
      <c r="H6126" s="164"/>
    </row>
    <row r="6127" spans="3:8" x14ac:dyDescent="0.2">
      <c r="C6127" s="548"/>
      <c r="H6127" s="164"/>
    </row>
    <row r="6128" spans="3:8" x14ac:dyDescent="0.2">
      <c r="C6128" s="548"/>
      <c r="H6128" s="164"/>
    </row>
    <row r="6129" spans="3:8" x14ac:dyDescent="0.2">
      <c r="C6129" s="548"/>
      <c r="H6129" s="164"/>
    </row>
    <row r="6130" spans="3:8" x14ac:dyDescent="0.2">
      <c r="C6130" s="548"/>
      <c r="H6130" s="164"/>
    </row>
    <row r="6131" spans="3:8" x14ac:dyDescent="0.2">
      <c r="C6131" s="548"/>
      <c r="H6131" s="164"/>
    </row>
    <row r="6132" spans="3:8" x14ac:dyDescent="0.2">
      <c r="C6132" s="548"/>
      <c r="H6132" s="164"/>
    </row>
    <row r="6133" spans="3:8" x14ac:dyDescent="0.2">
      <c r="C6133" s="548"/>
      <c r="H6133" s="164"/>
    </row>
    <row r="6134" spans="3:8" x14ac:dyDescent="0.2">
      <c r="C6134" s="548"/>
      <c r="H6134" s="164"/>
    </row>
    <row r="6135" spans="3:8" x14ac:dyDescent="0.2">
      <c r="C6135" s="548"/>
      <c r="H6135" s="164"/>
    </row>
    <row r="6136" spans="3:8" x14ac:dyDescent="0.2">
      <c r="C6136" s="548"/>
      <c r="H6136" s="164"/>
    </row>
    <row r="6137" spans="3:8" x14ac:dyDescent="0.2">
      <c r="C6137" s="548"/>
      <c r="H6137" s="164"/>
    </row>
    <row r="6138" spans="3:8" x14ac:dyDescent="0.2">
      <c r="C6138" s="548"/>
      <c r="H6138" s="164"/>
    </row>
    <row r="6139" spans="3:8" x14ac:dyDescent="0.2">
      <c r="C6139" s="548"/>
      <c r="H6139" s="164"/>
    </row>
    <row r="6140" spans="3:8" x14ac:dyDescent="0.2">
      <c r="C6140" s="548"/>
      <c r="H6140" s="164"/>
    </row>
    <row r="6141" spans="3:8" x14ac:dyDescent="0.2">
      <c r="C6141" s="548"/>
      <c r="H6141" s="164"/>
    </row>
    <row r="6142" spans="3:8" x14ac:dyDescent="0.2">
      <c r="C6142" s="548"/>
      <c r="H6142" s="164"/>
    </row>
    <row r="6143" spans="3:8" x14ac:dyDescent="0.2">
      <c r="C6143" s="548"/>
      <c r="H6143" s="164"/>
    </row>
    <row r="6144" spans="3:8" x14ac:dyDescent="0.2">
      <c r="C6144" s="548"/>
      <c r="H6144" s="164"/>
    </row>
    <row r="6145" spans="3:8" x14ac:dyDescent="0.2">
      <c r="C6145" s="548"/>
      <c r="H6145" s="164"/>
    </row>
    <row r="6146" spans="3:8" x14ac:dyDescent="0.2">
      <c r="C6146" s="548"/>
      <c r="H6146" s="164"/>
    </row>
    <row r="6147" spans="3:8" x14ac:dyDescent="0.2">
      <c r="C6147" s="548"/>
      <c r="H6147" s="164"/>
    </row>
    <row r="6148" spans="3:8" x14ac:dyDescent="0.2">
      <c r="C6148" s="548"/>
      <c r="H6148" s="164"/>
    </row>
    <row r="6149" spans="3:8" x14ac:dyDescent="0.2">
      <c r="C6149" s="548"/>
      <c r="H6149" s="164"/>
    </row>
    <row r="6150" spans="3:8" x14ac:dyDescent="0.2">
      <c r="C6150" s="548"/>
      <c r="H6150" s="164"/>
    </row>
    <row r="6151" spans="3:8" x14ac:dyDescent="0.2">
      <c r="C6151" s="548"/>
      <c r="H6151" s="164"/>
    </row>
    <row r="6152" spans="3:8" x14ac:dyDescent="0.2">
      <c r="C6152" s="548"/>
      <c r="H6152" s="164"/>
    </row>
    <row r="6153" spans="3:8" x14ac:dyDescent="0.2">
      <c r="C6153" s="548"/>
      <c r="H6153" s="164"/>
    </row>
    <row r="6154" spans="3:8" x14ac:dyDescent="0.2">
      <c r="C6154" s="548"/>
      <c r="H6154" s="164"/>
    </row>
    <row r="6155" spans="3:8" x14ac:dyDescent="0.2">
      <c r="C6155" s="548"/>
      <c r="H6155" s="164"/>
    </row>
    <row r="6156" spans="3:8" x14ac:dyDescent="0.2">
      <c r="C6156" s="548"/>
      <c r="H6156" s="164"/>
    </row>
    <row r="6157" spans="3:8" x14ac:dyDescent="0.2">
      <c r="C6157" s="548"/>
      <c r="H6157" s="164"/>
    </row>
    <row r="6158" spans="3:8" x14ac:dyDescent="0.2">
      <c r="C6158" s="548"/>
      <c r="H6158" s="164"/>
    </row>
    <row r="6159" spans="3:8" x14ac:dyDescent="0.2">
      <c r="C6159" s="548"/>
      <c r="H6159" s="164"/>
    </row>
    <row r="6160" spans="3:8" x14ac:dyDescent="0.2">
      <c r="C6160" s="548"/>
      <c r="H6160" s="164"/>
    </row>
    <row r="6161" spans="3:8" x14ac:dyDescent="0.2">
      <c r="C6161" s="548"/>
      <c r="H6161" s="164"/>
    </row>
    <row r="6162" spans="3:8" x14ac:dyDescent="0.2">
      <c r="C6162" s="548"/>
      <c r="H6162" s="164"/>
    </row>
    <row r="6163" spans="3:8" x14ac:dyDescent="0.2">
      <c r="C6163" s="548"/>
      <c r="H6163" s="164"/>
    </row>
    <row r="6164" spans="3:8" x14ac:dyDescent="0.2">
      <c r="C6164" s="548"/>
      <c r="H6164" s="164"/>
    </row>
    <row r="6165" spans="3:8" x14ac:dyDescent="0.2">
      <c r="C6165" s="548"/>
      <c r="H6165" s="164"/>
    </row>
    <row r="6166" spans="3:8" x14ac:dyDescent="0.2">
      <c r="C6166" s="548"/>
      <c r="H6166" s="164"/>
    </row>
    <row r="6167" spans="3:8" x14ac:dyDescent="0.2">
      <c r="C6167" s="548"/>
      <c r="H6167" s="164"/>
    </row>
    <row r="6168" spans="3:8" x14ac:dyDescent="0.2">
      <c r="C6168" s="548"/>
      <c r="H6168" s="164"/>
    </row>
    <row r="6169" spans="3:8" x14ac:dyDescent="0.2">
      <c r="C6169" s="548"/>
      <c r="H6169" s="164"/>
    </row>
    <row r="6170" spans="3:8" x14ac:dyDescent="0.2">
      <c r="C6170" s="548"/>
      <c r="H6170" s="164"/>
    </row>
    <row r="6171" spans="3:8" x14ac:dyDescent="0.2">
      <c r="C6171" s="548"/>
      <c r="H6171" s="164"/>
    </row>
    <row r="6172" spans="3:8" x14ac:dyDescent="0.2">
      <c r="C6172" s="548"/>
      <c r="H6172" s="164"/>
    </row>
    <row r="6173" spans="3:8" x14ac:dyDescent="0.2">
      <c r="C6173" s="548"/>
      <c r="H6173" s="164"/>
    </row>
    <row r="6174" spans="3:8" x14ac:dyDescent="0.2">
      <c r="C6174" s="548"/>
      <c r="H6174" s="164"/>
    </row>
    <row r="6175" spans="3:8" x14ac:dyDescent="0.2">
      <c r="C6175" s="548"/>
      <c r="H6175" s="164"/>
    </row>
    <row r="6176" spans="3:8" x14ac:dyDescent="0.2">
      <c r="C6176" s="548"/>
      <c r="H6176" s="164"/>
    </row>
    <row r="6177" spans="3:8" x14ac:dyDescent="0.2">
      <c r="C6177" s="548"/>
      <c r="H6177" s="164"/>
    </row>
    <row r="6178" spans="3:8" x14ac:dyDescent="0.2">
      <c r="C6178" s="548"/>
      <c r="H6178" s="164"/>
    </row>
    <row r="6179" spans="3:8" x14ac:dyDescent="0.2">
      <c r="C6179" s="548"/>
      <c r="H6179" s="164"/>
    </row>
    <row r="6180" spans="3:8" x14ac:dyDescent="0.2">
      <c r="C6180" s="548"/>
      <c r="H6180" s="164"/>
    </row>
    <row r="6181" spans="3:8" x14ac:dyDescent="0.2">
      <c r="C6181" s="548"/>
      <c r="H6181" s="164"/>
    </row>
    <row r="6182" spans="3:8" x14ac:dyDescent="0.2">
      <c r="C6182" s="548"/>
      <c r="H6182" s="164"/>
    </row>
    <row r="6183" spans="3:8" x14ac:dyDescent="0.2">
      <c r="C6183" s="548"/>
      <c r="H6183" s="164"/>
    </row>
    <row r="6184" spans="3:8" x14ac:dyDescent="0.2">
      <c r="C6184" s="548"/>
      <c r="H6184" s="164"/>
    </row>
    <row r="6185" spans="3:8" x14ac:dyDescent="0.2">
      <c r="C6185" s="548"/>
      <c r="H6185" s="164"/>
    </row>
    <row r="6186" spans="3:8" x14ac:dyDescent="0.2">
      <c r="C6186" s="548"/>
      <c r="H6186" s="164"/>
    </row>
    <row r="6187" spans="3:8" x14ac:dyDescent="0.2">
      <c r="C6187" s="548"/>
      <c r="H6187" s="164"/>
    </row>
    <row r="6188" spans="3:8" x14ac:dyDescent="0.2">
      <c r="C6188" s="548"/>
      <c r="H6188" s="164"/>
    </row>
    <row r="6189" spans="3:8" x14ac:dyDescent="0.2">
      <c r="C6189" s="548"/>
      <c r="H6189" s="164"/>
    </row>
    <row r="6190" spans="3:8" x14ac:dyDescent="0.2">
      <c r="C6190" s="548"/>
      <c r="H6190" s="164"/>
    </row>
    <row r="6191" spans="3:8" x14ac:dyDescent="0.2">
      <c r="C6191" s="548"/>
      <c r="H6191" s="164"/>
    </row>
    <row r="6192" spans="3:8" x14ac:dyDescent="0.2">
      <c r="C6192" s="548"/>
      <c r="H6192" s="164"/>
    </row>
    <row r="6193" spans="3:8" x14ac:dyDescent="0.2">
      <c r="C6193" s="548"/>
      <c r="H6193" s="164"/>
    </row>
    <row r="6194" spans="3:8" x14ac:dyDescent="0.2">
      <c r="C6194" s="548"/>
      <c r="H6194" s="164"/>
    </row>
    <row r="6195" spans="3:8" x14ac:dyDescent="0.2">
      <c r="C6195" s="548"/>
      <c r="H6195" s="164"/>
    </row>
    <row r="6196" spans="3:8" x14ac:dyDescent="0.2">
      <c r="C6196" s="548"/>
      <c r="H6196" s="164"/>
    </row>
    <row r="6197" spans="3:8" x14ac:dyDescent="0.2">
      <c r="C6197" s="548"/>
      <c r="H6197" s="164"/>
    </row>
    <row r="6198" spans="3:8" x14ac:dyDescent="0.2">
      <c r="C6198" s="548"/>
      <c r="H6198" s="164"/>
    </row>
    <row r="6199" spans="3:8" x14ac:dyDescent="0.2">
      <c r="C6199" s="548"/>
      <c r="H6199" s="164"/>
    </row>
    <row r="6200" spans="3:8" x14ac:dyDescent="0.2">
      <c r="C6200" s="548"/>
      <c r="H6200" s="164"/>
    </row>
    <row r="6201" spans="3:8" x14ac:dyDescent="0.2">
      <c r="C6201" s="548"/>
      <c r="H6201" s="164"/>
    </row>
    <row r="6202" spans="3:8" x14ac:dyDescent="0.2">
      <c r="C6202" s="548"/>
      <c r="H6202" s="164"/>
    </row>
    <row r="6203" spans="3:8" x14ac:dyDescent="0.2">
      <c r="C6203" s="548"/>
      <c r="H6203" s="164"/>
    </row>
    <row r="6204" spans="3:8" x14ac:dyDescent="0.2">
      <c r="C6204" s="548"/>
      <c r="H6204" s="164"/>
    </row>
    <row r="6205" spans="3:8" x14ac:dyDescent="0.2">
      <c r="C6205" s="548"/>
      <c r="H6205" s="164"/>
    </row>
    <row r="6206" spans="3:8" x14ac:dyDescent="0.2">
      <c r="C6206" s="548"/>
      <c r="H6206" s="164"/>
    </row>
    <row r="6207" spans="3:8" x14ac:dyDescent="0.2">
      <c r="C6207" s="548"/>
      <c r="H6207" s="164"/>
    </row>
    <row r="6208" spans="3:8" x14ac:dyDescent="0.2">
      <c r="C6208" s="548"/>
      <c r="H6208" s="164"/>
    </row>
    <row r="6209" spans="3:8" x14ac:dyDescent="0.2">
      <c r="C6209" s="548"/>
      <c r="H6209" s="164"/>
    </row>
    <row r="6210" spans="3:8" x14ac:dyDescent="0.2">
      <c r="C6210" s="548"/>
      <c r="H6210" s="164"/>
    </row>
    <row r="6211" spans="3:8" x14ac:dyDescent="0.2">
      <c r="C6211" s="548"/>
      <c r="H6211" s="164"/>
    </row>
    <row r="6212" spans="3:8" x14ac:dyDescent="0.2">
      <c r="C6212" s="548"/>
      <c r="H6212" s="164"/>
    </row>
    <row r="6213" spans="3:8" x14ac:dyDescent="0.2">
      <c r="C6213" s="548"/>
      <c r="H6213" s="164"/>
    </row>
    <row r="6214" spans="3:8" x14ac:dyDescent="0.2">
      <c r="C6214" s="548"/>
      <c r="H6214" s="164"/>
    </row>
    <row r="6215" spans="3:8" x14ac:dyDescent="0.2">
      <c r="C6215" s="548"/>
      <c r="H6215" s="164"/>
    </row>
    <row r="6216" spans="3:8" x14ac:dyDescent="0.2">
      <c r="C6216" s="548"/>
      <c r="H6216" s="164"/>
    </row>
    <row r="6217" spans="3:8" x14ac:dyDescent="0.2">
      <c r="C6217" s="548"/>
      <c r="H6217" s="164"/>
    </row>
    <row r="6218" spans="3:8" x14ac:dyDescent="0.2">
      <c r="C6218" s="548"/>
      <c r="H6218" s="164"/>
    </row>
    <row r="6219" spans="3:8" x14ac:dyDescent="0.2">
      <c r="C6219" s="548"/>
      <c r="H6219" s="164"/>
    </row>
    <row r="6220" spans="3:8" x14ac:dyDescent="0.2">
      <c r="C6220" s="548"/>
      <c r="H6220" s="164"/>
    </row>
    <row r="6221" spans="3:8" x14ac:dyDescent="0.2">
      <c r="C6221" s="548"/>
      <c r="H6221" s="164"/>
    </row>
    <row r="6222" spans="3:8" x14ac:dyDescent="0.2">
      <c r="C6222" s="548"/>
      <c r="H6222" s="164"/>
    </row>
    <row r="6223" spans="3:8" x14ac:dyDescent="0.2">
      <c r="C6223" s="548"/>
      <c r="H6223" s="164"/>
    </row>
    <row r="6224" spans="3:8" x14ac:dyDescent="0.2">
      <c r="C6224" s="548"/>
      <c r="H6224" s="164"/>
    </row>
    <row r="6225" spans="3:8" x14ac:dyDescent="0.2">
      <c r="C6225" s="548"/>
      <c r="H6225" s="164"/>
    </row>
    <row r="6226" spans="3:8" x14ac:dyDescent="0.2">
      <c r="C6226" s="548"/>
      <c r="H6226" s="164"/>
    </row>
    <row r="6227" spans="3:8" x14ac:dyDescent="0.2">
      <c r="C6227" s="548"/>
      <c r="H6227" s="164"/>
    </row>
    <row r="6228" spans="3:8" x14ac:dyDescent="0.2">
      <c r="C6228" s="548"/>
      <c r="H6228" s="164"/>
    </row>
    <row r="6229" spans="3:8" x14ac:dyDescent="0.2">
      <c r="C6229" s="548"/>
      <c r="H6229" s="164"/>
    </row>
    <row r="6230" spans="3:8" x14ac:dyDescent="0.2">
      <c r="C6230" s="548"/>
      <c r="H6230" s="164"/>
    </row>
    <row r="6231" spans="3:8" x14ac:dyDescent="0.2">
      <c r="C6231" s="548"/>
      <c r="H6231" s="164"/>
    </row>
    <row r="6232" spans="3:8" x14ac:dyDescent="0.2">
      <c r="C6232" s="548"/>
      <c r="H6232" s="164"/>
    </row>
    <row r="6233" spans="3:8" x14ac:dyDescent="0.2">
      <c r="C6233" s="548"/>
      <c r="H6233" s="164"/>
    </row>
    <row r="6234" spans="3:8" x14ac:dyDescent="0.2">
      <c r="C6234" s="548"/>
      <c r="H6234" s="164"/>
    </row>
    <row r="6235" spans="3:8" x14ac:dyDescent="0.2">
      <c r="C6235" s="548"/>
      <c r="H6235" s="164"/>
    </row>
    <row r="6236" spans="3:8" x14ac:dyDescent="0.2">
      <c r="C6236" s="548"/>
      <c r="H6236" s="164"/>
    </row>
    <row r="6237" spans="3:8" x14ac:dyDescent="0.2">
      <c r="C6237" s="548"/>
      <c r="H6237" s="164"/>
    </row>
    <row r="6238" spans="3:8" x14ac:dyDescent="0.2">
      <c r="C6238" s="548"/>
      <c r="H6238" s="164"/>
    </row>
    <row r="6239" spans="3:8" x14ac:dyDescent="0.2">
      <c r="C6239" s="548"/>
      <c r="H6239" s="164"/>
    </row>
    <row r="6240" spans="3:8" x14ac:dyDescent="0.2">
      <c r="C6240" s="548"/>
      <c r="H6240" s="164"/>
    </row>
    <row r="6241" spans="3:8" x14ac:dyDescent="0.2">
      <c r="C6241" s="548"/>
      <c r="H6241" s="164"/>
    </row>
    <row r="6242" spans="3:8" x14ac:dyDescent="0.2">
      <c r="C6242" s="548"/>
      <c r="H6242" s="164"/>
    </row>
    <row r="6243" spans="3:8" x14ac:dyDescent="0.2">
      <c r="C6243" s="548"/>
      <c r="H6243" s="164"/>
    </row>
    <row r="6244" spans="3:8" x14ac:dyDescent="0.2">
      <c r="C6244" s="548"/>
      <c r="H6244" s="164"/>
    </row>
    <row r="6245" spans="3:8" x14ac:dyDescent="0.2">
      <c r="C6245" s="548"/>
      <c r="H6245" s="164"/>
    </row>
    <row r="6246" spans="3:8" x14ac:dyDescent="0.2">
      <c r="C6246" s="548"/>
      <c r="H6246" s="164"/>
    </row>
    <row r="6247" spans="3:8" x14ac:dyDescent="0.2">
      <c r="C6247" s="548"/>
      <c r="H6247" s="164"/>
    </row>
    <row r="6248" spans="3:8" x14ac:dyDescent="0.2">
      <c r="C6248" s="548"/>
      <c r="H6248" s="164"/>
    </row>
    <row r="6249" spans="3:8" x14ac:dyDescent="0.2">
      <c r="C6249" s="548"/>
      <c r="H6249" s="164"/>
    </row>
    <row r="6250" spans="3:8" x14ac:dyDescent="0.2">
      <c r="C6250" s="548"/>
      <c r="H6250" s="164"/>
    </row>
    <row r="6251" spans="3:8" x14ac:dyDescent="0.2">
      <c r="C6251" s="548"/>
      <c r="H6251" s="164"/>
    </row>
    <row r="6252" spans="3:8" x14ac:dyDescent="0.2">
      <c r="C6252" s="548"/>
      <c r="H6252" s="164"/>
    </row>
    <row r="6253" spans="3:8" x14ac:dyDescent="0.2">
      <c r="C6253" s="548"/>
      <c r="H6253" s="164"/>
    </row>
    <row r="6254" spans="3:8" x14ac:dyDescent="0.2">
      <c r="C6254" s="548"/>
      <c r="H6254" s="164"/>
    </row>
    <row r="6255" spans="3:8" x14ac:dyDescent="0.2">
      <c r="C6255" s="548"/>
      <c r="H6255" s="164"/>
    </row>
    <row r="6256" spans="3:8" x14ac:dyDescent="0.2">
      <c r="C6256" s="548"/>
      <c r="H6256" s="164"/>
    </row>
    <row r="6257" spans="3:8" x14ac:dyDescent="0.2">
      <c r="C6257" s="548"/>
      <c r="H6257" s="164"/>
    </row>
    <row r="6258" spans="3:8" x14ac:dyDescent="0.2">
      <c r="C6258" s="548"/>
      <c r="H6258" s="164"/>
    </row>
    <row r="6259" spans="3:8" x14ac:dyDescent="0.2">
      <c r="C6259" s="548"/>
      <c r="H6259" s="164"/>
    </row>
    <row r="6260" spans="3:8" x14ac:dyDescent="0.2">
      <c r="C6260" s="548"/>
      <c r="H6260" s="164"/>
    </row>
    <row r="6261" spans="3:8" x14ac:dyDescent="0.2">
      <c r="C6261" s="548"/>
      <c r="H6261" s="164"/>
    </row>
    <row r="6262" spans="3:8" x14ac:dyDescent="0.2">
      <c r="C6262" s="548"/>
      <c r="H6262" s="164"/>
    </row>
    <row r="6263" spans="3:8" x14ac:dyDescent="0.2">
      <c r="C6263" s="548"/>
      <c r="H6263" s="164"/>
    </row>
    <row r="6264" spans="3:8" x14ac:dyDescent="0.2">
      <c r="C6264" s="548"/>
      <c r="H6264" s="164"/>
    </row>
    <row r="6265" spans="3:8" x14ac:dyDescent="0.2">
      <c r="C6265" s="548"/>
      <c r="H6265" s="164"/>
    </row>
    <row r="6266" spans="3:8" x14ac:dyDescent="0.2">
      <c r="C6266" s="548"/>
      <c r="H6266" s="164"/>
    </row>
    <row r="6267" spans="3:8" x14ac:dyDescent="0.2">
      <c r="C6267" s="548"/>
      <c r="H6267" s="164"/>
    </row>
    <row r="6268" spans="3:8" x14ac:dyDescent="0.2">
      <c r="C6268" s="548"/>
      <c r="H6268" s="164"/>
    </row>
    <row r="6269" spans="3:8" x14ac:dyDescent="0.2">
      <c r="C6269" s="548"/>
      <c r="H6269" s="164"/>
    </row>
    <row r="6270" spans="3:8" x14ac:dyDescent="0.2">
      <c r="C6270" s="548"/>
      <c r="H6270" s="164"/>
    </row>
    <row r="6271" spans="3:8" x14ac:dyDescent="0.2">
      <c r="C6271" s="548"/>
      <c r="H6271" s="164"/>
    </row>
    <row r="6272" spans="3:8" x14ac:dyDescent="0.2">
      <c r="C6272" s="548"/>
      <c r="H6272" s="164"/>
    </row>
    <row r="6273" spans="3:8" x14ac:dyDescent="0.2">
      <c r="C6273" s="548"/>
      <c r="H6273" s="164"/>
    </row>
    <row r="6274" spans="3:8" x14ac:dyDescent="0.2">
      <c r="C6274" s="548"/>
      <c r="H6274" s="164"/>
    </row>
    <row r="6275" spans="3:8" x14ac:dyDescent="0.2">
      <c r="C6275" s="548"/>
      <c r="H6275" s="164"/>
    </row>
    <row r="6276" spans="3:8" x14ac:dyDescent="0.2">
      <c r="C6276" s="548"/>
      <c r="H6276" s="164"/>
    </row>
    <row r="6277" spans="3:8" x14ac:dyDescent="0.2">
      <c r="C6277" s="548"/>
      <c r="H6277" s="164"/>
    </row>
    <row r="6278" spans="3:8" x14ac:dyDescent="0.2">
      <c r="C6278" s="548"/>
      <c r="H6278" s="164"/>
    </row>
    <row r="6279" spans="3:8" x14ac:dyDescent="0.2">
      <c r="C6279" s="548"/>
      <c r="H6279" s="164"/>
    </row>
    <row r="6280" spans="3:8" x14ac:dyDescent="0.2">
      <c r="C6280" s="548"/>
      <c r="H6280" s="164"/>
    </row>
    <row r="6281" spans="3:8" x14ac:dyDescent="0.2">
      <c r="C6281" s="548"/>
      <c r="H6281" s="164"/>
    </row>
    <row r="6282" spans="3:8" x14ac:dyDescent="0.2">
      <c r="C6282" s="548"/>
      <c r="H6282" s="164"/>
    </row>
    <row r="6283" spans="3:8" x14ac:dyDescent="0.2">
      <c r="C6283" s="548"/>
      <c r="H6283" s="164"/>
    </row>
    <row r="6284" spans="3:8" x14ac:dyDescent="0.2">
      <c r="C6284" s="548"/>
      <c r="H6284" s="164"/>
    </row>
    <row r="6285" spans="3:8" x14ac:dyDescent="0.2">
      <c r="C6285" s="548"/>
      <c r="H6285" s="164"/>
    </row>
    <row r="6286" spans="3:8" x14ac:dyDescent="0.2">
      <c r="C6286" s="548"/>
      <c r="H6286" s="164"/>
    </row>
    <row r="6287" spans="3:8" x14ac:dyDescent="0.2">
      <c r="C6287" s="548"/>
      <c r="H6287" s="164"/>
    </row>
    <row r="6288" spans="3:8" x14ac:dyDescent="0.2">
      <c r="C6288" s="548"/>
      <c r="H6288" s="164"/>
    </row>
    <row r="6289" spans="3:8" x14ac:dyDescent="0.2">
      <c r="C6289" s="548"/>
      <c r="H6289" s="164"/>
    </row>
    <row r="6290" spans="3:8" x14ac:dyDescent="0.2">
      <c r="C6290" s="548"/>
      <c r="H6290" s="164"/>
    </row>
    <row r="6291" spans="3:8" x14ac:dyDescent="0.2">
      <c r="C6291" s="548"/>
      <c r="H6291" s="164"/>
    </row>
    <row r="6292" spans="3:8" x14ac:dyDescent="0.2">
      <c r="C6292" s="548"/>
      <c r="H6292" s="164"/>
    </row>
    <row r="6293" spans="3:8" x14ac:dyDescent="0.2">
      <c r="C6293" s="548"/>
      <c r="H6293" s="164"/>
    </row>
    <row r="6294" spans="3:8" x14ac:dyDescent="0.2">
      <c r="C6294" s="548"/>
      <c r="H6294" s="164"/>
    </row>
    <row r="6295" spans="3:8" x14ac:dyDescent="0.2">
      <c r="C6295" s="548"/>
      <c r="H6295" s="164"/>
    </row>
    <row r="6296" spans="3:8" x14ac:dyDescent="0.2">
      <c r="C6296" s="548"/>
      <c r="H6296" s="164"/>
    </row>
    <row r="6297" spans="3:8" x14ac:dyDescent="0.2">
      <c r="C6297" s="548"/>
      <c r="H6297" s="164"/>
    </row>
    <row r="6298" spans="3:8" x14ac:dyDescent="0.2">
      <c r="C6298" s="548"/>
      <c r="H6298" s="164"/>
    </row>
    <row r="6299" spans="3:8" x14ac:dyDescent="0.2">
      <c r="C6299" s="548"/>
      <c r="H6299" s="164"/>
    </row>
    <row r="6300" spans="3:8" x14ac:dyDescent="0.2">
      <c r="C6300" s="548"/>
      <c r="H6300" s="164"/>
    </row>
    <row r="6301" spans="3:8" x14ac:dyDescent="0.2">
      <c r="C6301" s="548"/>
      <c r="H6301" s="164"/>
    </row>
    <row r="6302" spans="3:8" x14ac:dyDescent="0.2">
      <c r="C6302" s="548"/>
      <c r="H6302" s="164"/>
    </row>
    <row r="6303" spans="3:8" x14ac:dyDescent="0.2">
      <c r="C6303" s="548"/>
      <c r="H6303" s="164"/>
    </row>
    <row r="6304" spans="3:8" x14ac:dyDescent="0.2">
      <c r="C6304" s="548"/>
      <c r="H6304" s="164"/>
    </row>
    <row r="6305" spans="3:8" x14ac:dyDescent="0.2">
      <c r="C6305" s="548"/>
      <c r="H6305" s="164"/>
    </row>
    <row r="6306" spans="3:8" x14ac:dyDescent="0.2">
      <c r="C6306" s="548"/>
      <c r="H6306" s="164"/>
    </row>
    <row r="6307" spans="3:8" x14ac:dyDescent="0.2">
      <c r="C6307" s="548"/>
      <c r="H6307" s="164"/>
    </row>
    <row r="6308" spans="3:8" x14ac:dyDescent="0.2">
      <c r="C6308" s="548"/>
      <c r="H6308" s="164"/>
    </row>
    <row r="6309" spans="3:8" x14ac:dyDescent="0.2">
      <c r="C6309" s="548"/>
      <c r="H6309" s="164"/>
    </row>
    <row r="6310" spans="3:8" x14ac:dyDescent="0.2">
      <c r="C6310" s="548"/>
      <c r="H6310" s="164"/>
    </row>
    <row r="6311" spans="3:8" x14ac:dyDescent="0.2">
      <c r="C6311" s="548"/>
      <c r="H6311" s="164"/>
    </row>
    <row r="6312" spans="3:8" x14ac:dyDescent="0.2">
      <c r="C6312" s="548"/>
      <c r="H6312" s="164"/>
    </row>
    <row r="6313" spans="3:8" x14ac:dyDescent="0.2">
      <c r="C6313" s="548"/>
      <c r="H6313" s="164"/>
    </row>
    <row r="6314" spans="3:8" x14ac:dyDescent="0.2">
      <c r="C6314" s="548"/>
      <c r="H6314" s="164"/>
    </row>
    <row r="6315" spans="3:8" x14ac:dyDescent="0.2">
      <c r="C6315" s="548"/>
      <c r="H6315" s="164"/>
    </row>
    <row r="6316" spans="3:8" x14ac:dyDescent="0.2">
      <c r="C6316" s="548"/>
      <c r="H6316" s="164"/>
    </row>
    <row r="6317" spans="3:8" x14ac:dyDescent="0.2">
      <c r="C6317" s="548"/>
      <c r="H6317" s="164"/>
    </row>
    <row r="6318" spans="3:8" x14ac:dyDescent="0.2">
      <c r="C6318" s="548"/>
      <c r="H6318" s="164"/>
    </row>
    <row r="6319" spans="3:8" x14ac:dyDescent="0.2">
      <c r="C6319" s="548"/>
      <c r="H6319" s="164"/>
    </row>
    <row r="6320" spans="3:8" x14ac:dyDescent="0.2">
      <c r="C6320" s="548"/>
      <c r="H6320" s="164"/>
    </row>
    <row r="6321" spans="3:8" x14ac:dyDescent="0.2">
      <c r="C6321" s="548"/>
      <c r="H6321" s="164"/>
    </row>
    <row r="6322" spans="3:8" x14ac:dyDescent="0.2">
      <c r="C6322" s="548"/>
      <c r="H6322" s="164"/>
    </row>
    <row r="6323" spans="3:8" x14ac:dyDescent="0.2">
      <c r="C6323" s="548"/>
      <c r="H6323" s="164"/>
    </row>
    <row r="6324" spans="3:8" x14ac:dyDescent="0.2">
      <c r="C6324" s="548"/>
      <c r="H6324" s="164"/>
    </row>
    <row r="6325" spans="3:8" x14ac:dyDescent="0.2">
      <c r="C6325" s="548"/>
      <c r="H6325" s="164"/>
    </row>
    <row r="6326" spans="3:8" x14ac:dyDescent="0.2">
      <c r="C6326" s="548"/>
      <c r="H6326" s="164"/>
    </row>
    <row r="6327" spans="3:8" x14ac:dyDescent="0.2">
      <c r="C6327" s="548"/>
      <c r="H6327" s="164"/>
    </row>
    <row r="6328" spans="3:8" x14ac:dyDescent="0.2">
      <c r="C6328" s="548"/>
      <c r="H6328" s="164"/>
    </row>
    <row r="6329" spans="3:8" x14ac:dyDescent="0.2">
      <c r="C6329" s="548"/>
      <c r="H6329" s="164"/>
    </row>
    <row r="6330" spans="3:8" x14ac:dyDescent="0.2">
      <c r="C6330" s="548"/>
      <c r="H6330" s="164"/>
    </row>
    <row r="6331" spans="3:8" x14ac:dyDescent="0.2">
      <c r="C6331" s="548"/>
      <c r="H6331" s="164"/>
    </row>
    <row r="6332" spans="3:8" x14ac:dyDescent="0.2">
      <c r="C6332" s="548"/>
      <c r="H6332" s="164"/>
    </row>
    <row r="6333" spans="3:8" x14ac:dyDescent="0.2">
      <c r="C6333" s="548"/>
      <c r="H6333" s="164"/>
    </row>
    <row r="6334" spans="3:8" x14ac:dyDescent="0.2">
      <c r="C6334" s="548"/>
      <c r="H6334" s="164"/>
    </row>
    <row r="6335" spans="3:8" x14ac:dyDescent="0.2">
      <c r="C6335" s="548"/>
      <c r="H6335" s="164"/>
    </row>
    <row r="6336" spans="3:8" x14ac:dyDescent="0.2">
      <c r="C6336" s="548"/>
      <c r="H6336" s="164"/>
    </row>
    <row r="6337" spans="3:8" x14ac:dyDescent="0.2">
      <c r="C6337" s="548"/>
      <c r="H6337" s="164"/>
    </row>
    <row r="6338" spans="3:8" x14ac:dyDescent="0.2">
      <c r="C6338" s="548"/>
      <c r="H6338" s="164"/>
    </row>
    <row r="6339" spans="3:8" x14ac:dyDescent="0.2">
      <c r="C6339" s="548"/>
      <c r="H6339" s="164"/>
    </row>
    <row r="6340" spans="3:8" x14ac:dyDescent="0.2">
      <c r="C6340" s="548"/>
      <c r="H6340" s="164"/>
    </row>
    <row r="6341" spans="3:8" x14ac:dyDescent="0.2">
      <c r="C6341" s="548"/>
      <c r="H6341" s="164"/>
    </row>
    <row r="6342" spans="3:8" x14ac:dyDescent="0.2">
      <c r="C6342" s="548"/>
      <c r="H6342" s="164"/>
    </row>
    <row r="6343" spans="3:8" x14ac:dyDescent="0.2">
      <c r="C6343" s="548"/>
      <c r="H6343" s="164"/>
    </row>
    <row r="6344" spans="3:8" x14ac:dyDescent="0.2">
      <c r="C6344" s="548"/>
      <c r="H6344" s="164"/>
    </row>
    <row r="6345" spans="3:8" x14ac:dyDescent="0.2">
      <c r="C6345" s="548"/>
      <c r="H6345" s="164"/>
    </row>
    <row r="6346" spans="3:8" x14ac:dyDescent="0.2">
      <c r="C6346" s="548"/>
      <c r="H6346" s="164"/>
    </row>
    <row r="6347" spans="3:8" x14ac:dyDescent="0.2">
      <c r="C6347" s="548"/>
      <c r="H6347" s="164"/>
    </row>
    <row r="6348" spans="3:8" x14ac:dyDescent="0.2">
      <c r="C6348" s="548"/>
      <c r="H6348" s="164"/>
    </row>
    <row r="6349" spans="3:8" x14ac:dyDescent="0.2">
      <c r="C6349" s="548"/>
      <c r="H6349" s="164"/>
    </row>
    <row r="6350" spans="3:8" x14ac:dyDescent="0.2">
      <c r="C6350" s="548"/>
      <c r="H6350" s="164"/>
    </row>
    <row r="6351" spans="3:8" x14ac:dyDescent="0.2">
      <c r="C6351" s="548"/>
      <c r="H6351" s="164"/>
    </row>
    <row r="6352" spans="3:8" x14ac:dyDescent="0.2">
      <c r="C6352" s="548"/>
      <c r="H6352" s="164"/>
    </row>
    <row r="6353" spans="3:8" x14ac:dyDescent="0.2">
      <c r="C6353" s="548"/>
      <c r="H6353" s="164"/>
    </row>
    <row r="6354" spans="3:8" x14ac:dyDescent="0.2">
      <c r="C6354" s="548"/>
      <c r="H6354" s="164"/>
    </row>
    <row r="6355" spans="3:8" x14ac:dyDescent="0.2">
      <c r="C6355" s="548"/>
      <c r="H6355" s="164"/>
    </row>
    <row r="6356" spans="3:8" x14ac:dyDescent="0.2">
      <c r="C6356" s="548"/>
      <c r="H6356" s="164"/>
    </row>
    <row r="6357" spans="3:8" x14ac:dyDescent="0.2">
      <c r="C6357" s="548"/>
      <c r="H6357" s="164"/>
    </row>
    <row r="6358" spans="3:8" x14ac:dyDescent="0.2">
      <c r="C6358" s="548"/>
      <c r="H6358" s="164"/>
    </row>
    <row r="6359" spans="3:8" x14ac:dyDescent="0.2">
      <c r="C6359" s="548"/>
      <c r="H6359" s="164"/>
    </row>
    <row r="6360" spans="3:8" x14ac:dyDescent="0.2">
      <c r="C6360" s="548"/>
      <c r="H6360" s="164"/>
    </row>
    <row r="6361" spans="3:8" x14ac:dyDescent="0.2">
      <c r="C6361" s="548"/>
      <c r="H6361" s="164"/>
    </row>
    <row r="6362" spans="3:8" x14ac:dyDescent="0.2">
      <c r="C6362" s="548"/>
      <c r="H6362" s="164"/>
    </row>
    <row r="6363" spans="3:8" x14ac:dyDescent="0.2">
      <c r="C6363" s="548"/>
      <c r="H6363" s="164"/>
    </row>
    <row r="6364" spans="3:8" x14ac:dyDescent="0.2">
      <c r="C6364" s="548"/>
      <c r="H6364" s="164"/>
    </row>
    <row r="6365" spans="3:8" x14ac:dyDescent="0.2">
      <c r="C6365" s="548"/>
      <c r="H6365" s="164"/>
    </row>
    <row r="6366" spans="3:8" x14ac:dyDescent="0.2">
      <c r="C6366" s="548"/>
      <c r="H6366" s="164"/>
    </row>
    <row r="6367" spans="3:8" x14ac:dyDescent="0.2">
      <c r="C6367" s="548"/>
      <c r="H6367" s="164"/>
    </row>
    <row r="6368" spans="3:8" x14ac:dyDescent="0.2">
      <c r="C6368" s="548"/>
      <c r="H6368" s="164"/>
    </row>
    <row r="6369" spans="3:8" x14ac:dyDescent="0.2">
      <c r="C6369" s="548"/>
      <c r="H6369" s="164"/>
    </row>
    <row r="6370" spans="3:8" x14ac:dyDescent="0.2">
      <c r="C6370" s="548"/>
      <c r="H6370" s="164"/>
    </row>
    <row r="6371" spans="3:8" x14ac:dyDescent="0.2">
      <c r="C6371" s="548"/>
      <c r="H6371" s="164"/>
    </row>
    <row r="6372" spans="3:8" x14ac:dyDescent="0.2">
      <c r="C6372" s="548"/>
      <c r="H6372" s="164"/>
    </row>
    <row r="6373" spans="3:8" x14ac:dyDescent="0.2">
      <c r="C6373" s="548"/>
      <c r="H6373" s="164"/>
    </row>
    <row r="6374" spans="3:8" x14ac:dyDescent="0.2">
      <c r="C6374" s="548"/>
      <c r="H6374" s="164"/>
    </row>
    <row r="6375" spans="3:8" x14ac:dyDescent="0.2">
      <c r="C6375" s="548"/>
      <c r="H6375" s="164"/>
    </row>
    <row r="6376" spans="3:8" x14ac:dyDescent="0.2">
      <c r="C6376" s="548"/>
      <c r="H6376" s="164"/>
    </row>
    <row r="6377" spans="3:8" x14ac:dyDescent="0.2">
      <c r="C6377" s="548"/>
      <c r="H6377" s="164"/>
    </row>
    <row r="6378" spans="3:8" x14ac:dyDescent="0.2">
      <c r="C6378" s="548"/>
      <c r="H6378" s="164"/>
    </row>
    <row r="6379" spans="3:8" x14ac:dyDescent="0.2">
      <c r="C6379" s="548"/>
      <c r="H6379" s="164"/>
    </row>
    <row r="6380" spans="3:8" x14ac:dyDescent="0.2">
      <c r="C6380" s="548"/>
      <c r="H6380" s="164"/>
    </row>
    <row r="6381" spans="3:8" x14ac:dyDescent="0.2">
      <c r="C6381" s="548"/>
      <c r="H6381" s="164"/>
    </row>
    <row r="6382" spans="3:8" x14ac:dyDescent="0.2">
      <c r="C6382" s="548"/>
      <c r="H6382" s="164"/>
    </row>
    <row r="6383" spans="3:8" x14ac:dyDescent="0.2">
      <c r="C6383" s="548"/>
      <c r="H6383" s="164"/>
    </row>
    <row r="6384" spans="3:8" x14ac:dyDescent="0.2">
      <c r="C6384" s="548"/>
      <c r="H6384" s="164"/>
    </row>
    <row r="6385" spans="3:8" x14ac:dyDescent="0.2">
      <c r="C6385" s="548"/>
      <c r="H6385" s="164"/>
    </row>
    <row r="6386" spans="3:8" x14ac:dyDescent="0.2">
      <c r="C6386" s="548"/>
      <c r="H6386" s="164"/>
    </row>
    <row r="6387" spans="3:8" x14ac:dyDescent="0.2">
      <c r="C6387" s="548"/>
      <c r="H6387" s="164"/>
    </row>
    <row r="6388" spans="3:8" x14ac:dyDescent="0.2">
      <c r="C6388" s="548"/>
      <c r="H6388" s="164"/>
    </row>
    <row r="6389" spans="3:8" x14ac:dyDescent="0.2">
      <c r="C6389" s="548"/>
      <c r="H6389" s="164"/>
    </row>
    <row r="6390" spans="3:8" x14ac:dyDescent="0.2">
      <c r="C6390" s="548"/>
      <c r="H6390" s="164"/>
    </row>
    <row r="6391" spans="3:8" x14ac:dyDescent="0.2">
      <c r="C6391" s="548"/>
      <c r="H6391" s="164"/>
    </row>
    <row r="6392" spans="3:8" x14ac:dyDescent="0.2">
      <c r="C6392" s="548"/>
      <c r="H6392" s="164"/>
    </row>
    <row r="6393" spans="3:8" x14ac:dyDescent="0.2">
      <c r="C6393" s="548"/>
      <c r="H6393" s="164"/>
    </row>
    <row r="6394" spans="3:8" x14ac:dyDescent="0.2">
      <c r="C6394" s="548"/>
      <c r="H6394" s="164"/>
    </row>
    <row r="6395" spans="3:8" x14ac:dyDescent="0.2">
      <c r="C6395" s="548"/>
      <c r="H6395" s="164"/>
    </row>
    <row r="6396" spans="3:8" x14ac:dyDescent="0.2">
      <c r="C6396" s="548"/>
      <c r="H6396" s="164"/>
    </row>
    <row r="6397" spans="3:8" x14ac:dyDescent="0.2">
      <c r="C6397" s="548"/>
      <c r="H6397" s="164"/>
    </row>
    <row r="6398" spans="3:8" x14ac:dyDescent="0.2">
      <c r="C6398" s="548"/>
      <c r="H6398" s="164"/>
    </row>
    <row r="6399" spans="3:8" x14ac:dyDescent="0.2">
      <c r="C6399" s="548"/>
      <c r="H6399" s="164"/>
    </row>
    <row r="6400" spans="3:8" x14ac:dyDescent="0.2">
      <c r="C6400" s="548"/>
      <c r="H6400" s="164"/>
    </row>
    <row r="6401" spans="3:8" x14ac:dyDescent="0.2">
      <c r="C6401" s="548"/>
      <c r="H6401" s="164"/>
    </row>
    <row r="6402" spans="3:8" x14ac:dyDescent="0.2">
      <c r="C6402" s="548"/>
      <c r="H6402" s="164"/>
    </row>
    <row r="6403" spans="3:8" x14ac:dyDescent="0.2">
      <c r="C6403" s="548"/>
      <c r="H6403" s="164"/>
    </row>
    <row r="6404" spans="3:8" x14ac:dyDescent="0.2">
      <c r="C6404" s="548"/>
      <c r="H6404" s="164"/>
    </row>
    <row r="6405" spans="3:8" x14ac:dyDescent="0.2">
      <c r="C6405" s="548"/>
      <c r="H6405" s="164"/>
    </row>
    <row r="6406" spans="3:8" x14ac:dyDescent="0.2">
      <c r="C6406" s="548"/>
      <c r="H6406" s="164"/>
    </row>
    <row r="6407" spans="3:8" x14ac:dyDescent="0.2">
      <c r="C6407" s="548"/>
      <c r="H6407" s="164"/>
    </row>
    <row r="6408" spans="3:8" x14ac:dyDescent="0.2">
      <c r="C6408" s="548"/>
      <c r="H6408" s="164"/>
    </row>
    <row r="6409" spans="3:8" x14ac:dyDescent="0.2">
      <c r="C6409" s="548"/>
      <c r="H6409" s="164"/>
    </row>
    <row r="6410" spans="3:8" x14ac:dyDescent="0.2">
      <c r="C6410" s="548"/>
      <c r="H6410" s="164"/>
    </row>
    <row r="6411" spans="3:8" x14ac:dyDescent="0.2">
      <c r="C6411" s="548"/>
      <c r="H6411" s="164"/>
    </row>
    <row r="6412" spans="3:8" x14ac:dyDescent="0.2">
      <c r="C6412" s="548"/>
      <c r="H6412" s="164"/>
    </row>
    <row r="6413" spans="3:8" x14ac:dyDescent="0.2">
      <c r="C6413" s="548"/>
      <c r="H6413" s="164"/>
    </row>
    <row r="6414" spans="3:8" x14ac:dyDescent="0.2">
      <c r="C6414" s="548"/>
      <c r="H6414" s="164"/>
    </row>
    <row r="6415" spans="3:8" x14ac:dyDescent="0.2">
      <c r="C6415" s="548"/>
      <c r="H6415" s="164"/>
    </row>
    <row r="6416" spans="3:8" x14ac:dyDescent="0.2">
      <c r="C6416" s="548"/>
      <c r="H6416" s="164"/>
    </row>
    <row r="6417" spans="3:8" x14ac:dyDescent="0.2">
      <c r="C6417" s="548"/>
      <c r="H6417" s="164"/>
    </row>
    <row r="6418" spans="3:8" x14ac:dyDescent="0.2">
      <c r="C6418" s="548"/>
      <c r="H6418" s="164"/>
    </row>
    <row r="6419" spans="3:8" x14ac:dyDescent="0.2">
      <c r="C6419" s="548"/>
      <c r="H6419" s="164"/>
    </row>
    <row r="6420" spans="3:8" x14ac:dyDescent="0.2">
      <c r="C6420" s="548"/>
      <c r="H6420" s="164"/>
    </row>
    <row r="6421" spans="3:8" x14ac:dyDescent="0.2">
      <c r="C6421" s="548"/>
      <c r="H6421" s="164"/>
    </row>
    <row r="6422" spans="3:8" x14ac:dyDescent="0.2">
      <c r="C6422" s="548"/>
      <c r="H6422" s="164"/>
    </row>
    <row r="6423" spans="3:8" x14ac:dyDescent="0.2">
      <c r="C6423" s="548"/>
      <c r="H6423" s="164"/>
    </row>
    <row r="6424" spans="3:8" x14ac:dyDescent="0.2">
      <c r="C6424" s="548"/>
      <c r="H6424" s="164"/>
    </row>
    <row r="6425" spans="3:8" x14ac:dyDescent="0.2">
      <c r="C6425" s="548"/>
      <c r="H6425" s="164"/>
    </row>
    <row r="6426" spans="3:8" x14ac:dyDescent="0.2">
      <c r="C6426" s="548"/>
      <c r="H6426" s="164"/>
    </row>
    <row r="6427" spans="3:8" x14ac:dyDescent="0.2">
      <c r="C6427" s="548"/>
      <c r="H6427" s="164"/>
    </row>
    <row r="6428" spans="3:8" x14ac:dyDescent="0.2">
      <c r="C6428" s="548"/>
      <c r="H6428" s="164"/>
    </row>
    <row r="6429" spans="3:8" x14ac:dyDescent="0.2">
      <c r="C6429" s="548"/>
      <c r="H6429" s="164"/>
    </row>
    <row r="6430" spans="3:8" x14ac:dyDescent="0.2">
      <c r="C6430" s="548"/>
      <c r="H6430" s="164"/>
    </row>
    <row r="6431" spans="3:8" x14ac:dyDescent="0.2">
      <c r="C6431" s="548"/>
      <c r="H6431" s="164"/>
    </row>
    <row r="6432" spans="3:8" x14ac:dyDescent="0.2">
      <c r="C6432" s="548"/>
      <c r="H6432" s="164"/>
    </row>
    <row r="6433" spans="3:8" x14ac:dyDescent="0.2">
      <c r="C6433" s="548"/>
      <c r="H6433" s="164"/>
    </row>
    <row r="6434" spans="3:8" x14ac:dyDescent="0.2">
      <c r="C6434" s="548"/>
      <c r="H6434" s="164"/>
    </row>
    <row r="6435" spans="3:8" x14ac:dyDescent="0.2">
      <c r="C6435" s="548"/>
      <c r="H6435" s="164"/>
    </row>
    <row r="6436" spans="3:8" x14ac:dyDescent="0.2">
      <c r="C6436" s="548"/>
      <c r="H6436" s="164"/>
    </row>
    <row r="6437" spans="3:8" x14ac:dyDescent="0.2">
      <c r="C6437" s="548"/>
      <c r="H6437" s="164"/>
    </row>
    <row r="6438" spans="3:8" x14ac:dyDescent="0.2">
      <c r="C6438" s="548"/>
      <c r="H6438" s="164"/>
    </row>
    <row r="6439" spans="3:8" x14ac:dyDescent="0.2">
      <c r="C6439" s="548"/>
      <c r="H6439" s="164"/>
    </row>
    <row r="6440" spans="3:8" x14ac:dyDescent="0.2">
      <c r="C6440" s="548"/>
      <c r="H6440" s="164"/>
    </row>
    <row r="6441" spans="3:8" x14ac:dyDescent="0.2">
      <c r="C6441" s="548"/>
      <c r="H6441" s="164"/>
    </row>
    <row r="6442" spans="3:8" x14ac:dyDescent="0.2">
      <c r="C6442" s="548"/>
      <c r="H6442" s="164"/>
    </row>
    <row r="6443" spans="3:8" x14ac:dyDescent="0.2">
      <c r="C6443" s="548"/>
      <c r="H6443" s="164"/>
    </row>
    <row r="6444" spans="3:8" x14ac:dyDescent="0.2">
      <c r="C6444" s="548"/>
      <c r="H6444" s="164"/>
    </row>
    <row r="6445" spans="3:8" x14ac:dyDescent="0.2">
      <c r="C6445" s="548"/>
      <c r="H6445" s="164"/>
    </row>
    <row r="6446" spans="3:8" x14ac:dyDescent="0.2">
      <c r="C6446" s="548"/>
      <c r="H6446" s="164"/>
    </row>
    <row r="6447" spans="3:8" x14ac:dyDescent="0.2">
      <c r="C6447" s="548"/>
      <c r="H6447" s="164"/>
    </row>
    <row r="6448" spans="3:8" x14ac:dyDescent="0.2">
      <c r="C6448" s="548"/>
      <c r="H6448" s="164"/>
    </row>
    <row r="6449" spans="3:8" x14ac:dyDescent="0.2">
      <c r="C6449" s="548"/>
      <c r="H6449" s="164"/>
    </row>
    <row r="6450" spans="3:8" x14ac:dyDescent="0.2">
      <c r="C6450" s="548"/>
      <c r="H6450" s="164"/>
    </row>
    <row r="6451" spans="3:8" x14ac:dyDescent="0.2">
      <c r="C6451" s="548"/>
      <c r="H6451" s="164"/>
    </row>
    <row r="6452" spans="3:8" x14ac:dyDescent="0.2">
      <c r="C6452" s="548"/>
      <c r="H6452" s="164"/>
    </row>
    <row r="6453" spans="3:8" x14ac:dyDescent="0.2">
      <c r="C6453" s="548"/>
      <c r="H6453" s="164"/>
    </row>
    <row r="6454" spans="3:8" x14ac:dyDescent="0.2">
      <c r="C6454" s="548"/>
      <c r="H6454" s="164"/>
    </row>
    <row r="6455" spans="3:8" x14ac:dyDescent="0.2">
      <c r="C6455" s="548"/>
      <c r="H6455" s="164"/>
    </row>
    <row r="6456" spans="3:8" x14ac:dyDescent="0.2">
      <c r="C6456" s="548"/>
      <c r="H6456" s="164"/>
    </row>
    <row r="6457" spans="3:8" x14ac:dyDescent="0.2">
      <c r="C6457" s="548"/>
      <c r="H6457" s="164"/>
    </row>
    <row r="6458" spans="3:8" x14ac:dyDescent="0.2">
      <c r="C6458" s="548"/>
      <c r="H6458" s="164"/>
    </row>
    <row r="6459" spans="3:8" x14ac:dyDescent="0.2">
      <c r="C6459" s="548"/>
      <c r="H6459" s="164"/>
    </row>
    <row r="6460" spans="3:8" x14ac:dyDescent="0.2">
      <c r="C6460" s="548"/>
      <c r="H6460" s="164"/>
    </row>
    <row r="6461" spans="3:8" x14ac:dyDescent="0.2">
      <c r="C6461" s="548"/>
      <c r="H6461" s="164"/>
    </row>
    <row r="6462" spans="3:8" x14ac:dyDescent="0.2">
      <c r="C6462" s="548"/>
      <c r="H6462" s="164"/>
    </row>
    <row r="6463" spans="3:8" x14ac:dyDescent="0.2">
      <c r="C6463" s="548"/>
      <c r="H6463" s="164"/>
    </row>
    <row r="6464" spans="3:8" x14ac:dyDescent="0.2">
      <c r="C6464" s="548"/>
      <c r="H6464" s="164"/>
    </row>
    <row r="6465" spans="3:8" x14ac:dyDescent="0.2">
      <c r="C6465" s="548"/>
      <c r="H6465" s="164"/>
    </row>
    <row r="6466" spans="3:8" x14ac:dyDescent="0.2">
      <c r="C6466" s="548"/>
      <c r="H6466" s="164"/>
    </row>
    <row r="6467" spans="3:8" x14ac:dyDescent="0.2">
      <c r="C6467" s="548"/>
      <c r="H6467" s="164"/>
    </row>
    <row r="6468" spans="3:8" x14ac:dyDescent="0.2">
      <c r="C6468" s="548"/>
      <c r="H6468" s="164"/>
    </row>
    <row r="6469" spans="3:8" x14ac:dyDescent="0.2">
      <c r="C6469" s="548"/>
      <c r="H6469" s="164"/>
    </row>
    <row r="6470" spans="3:8" x14ac:dyDescent="0.2">
      <c r="C6470" s="548"/>
      <c r="H6470" s="164"/>
    </row>
    <row r="6471" spans="3:8" x14ac:dyDescent="0.2">
      <c r="C6471" s="548"/>
      <c r="H6471" s="164"/>
    </row>
    <row r="6472" spans="3:8" x14ac:dyDescent="0.2">
      <c r="C6472" s="548"/>
      <c r="H6472" s="164"/>
    </row>
    <row r="6473" spans="3:8" x14ac:dyDescent="0.2">
      <c r="C6473" s="548"/>
      <c r="H6473" s="164"/>
    </row>
    <row r="6474" spans="3:8" x14ac:dyDescent="0.2">
      <c r="C6474" s="548"/>
      <c r="H6474" s="164"/>
    </row>
    <row r="6475" spans="3:8" x14ac:dyDescent="0.2">
      <c r="C6475" s="548"/>
      <c r="H6475" s="164"/>
    </row>
    <row r="6476" spans="3:8" x14ac:dyDescent="0.2">
      <c r="C6476" s="548"/>
      <c r="H6476" s="164"/>
    </row>
    <row r="6477" spans="3:8" x14ac:dyDescent="0.2">
      <c r="C6477" s="548"/>
      <c r="H6477" s="164"/>
    </row>
    <row r="6478" spans="3:8" x14ac:dyDescent="0.2">
      <c r="C6478" s="548"/>
      <c r="H6478" s="164"/>
    </row>
    <row r="6479" spans="3:8" x14ac:dyDescent="0.2">
      <c r="C6479" s="548"/>
      <c r="H6479" s="164"/>
    </row>
    <row r="6480" spans="3:8" x14ac:dyDescent="0.2">
      <c r="C6480" s="548"/>
      <c r="H6480" s="164"/>
    </row>
    <row r="6481" spans="3:8" x14ac:dyDescent="0.2">
      <c r="C6481" s="548"/>
      <c r="H6481" s="164"/>
    </row>
    <row r="6482" spans="3:8" x14ac:dyDescent="0.2">
      <c r="C6482" s="548"/>
      <c r="H6482" s="164"/>
    </row>
    <row r="6483" spans="3:8" x14ac:dyDescent="0.2">
      <c r="C6483" s="548"/>
      <c r="H6483" s="164"/>
    </row>
    <row r="6484" spans="3:8" x14ac:dyDescent="0.2">
      <c r="C6484" s="548"/>
      <c r="H6484" s="164"/>
    </row>
    <row r="6485" spans="3:8" x14ac:dyDescent="0.2">
      <c r="C6485" s="548"/>
      <c r="H6485" s="164"/>
    </row>
    <row r="6486" spans="3:8" x14ac:dyDescent="0.2">
      <c r="C6486" s="548"/>
      <c r="H6486" s="164"/>
    </row>
    <row r="6487" spans="3:8" x14ac:dyDescent="0.2">
      <c r="C6487" s="548"/>
      <c r="H6487" s="164"/>
    </row>
    <row r="6488" spans="3:8" x14ac:dyDescent="0.2">
      <c r="C6488" s="548"/>
      <c r="H6488" s="164"/>
    </row>
    <row r="6489" spans="3:8" x14ac:dyDescent="0.2">
      <c r="C6489" s="548"/>
      <c r="H6489" s="164"/>
    </row>
    <row r="6490" spans="3:8" x14ac:dyDescent="0.2">
      <c r="C6490" s="548"/>
      <c r="H6490" s="164"/>
    </row>
    <row r="6491" spans="3:8" x14ac:dyDescent="0.2">
      <c r="C6491" s="548"/>
      <c r="H6491" s="164"/>
    </row>
    <row r="6492" spans="3:8" x14ac:dyDescent="0.2">
      <c r="C6492" s="548"/>
      <c r="H6492" s="164"/>
    </row>
    <row r="6493" spans="3:8" x14ac:dyDescent="0.2">
      <c r="C6493" s="548"/>
      <c r="H6493" s="164"/>
    </row>
    <row r="6494" spans="3:8" x14ac:dyDescent="0.2">
      <c r="C6494" s="548"/>
      <c r="H6494" s="164"/>
    </row>
    <row r="6495" spans="3:8" x14ac:dyDescent="0.2">
      <c r="C6495" s="548"/>
      <c r="H6495" s="164"/>
    </row>
    <row r="6496" spans="3:8" x14ac:dyDescent="0.2">
      <c r="C6496" s="548"/>
      <c r="H6496" s="164"/>
    </row>
    <row r="6497" spans="3:8" x14ac:dyDescent="0.2">
      <c r="C6497" s="548"/>
      <c r="H6497" s="164"/>
    </row>
    <row r="6498" spans="3:8" x14ac:dyDescent="0.2">
      <c r="C6498" s="548"/>
      <c r="H6498" s="164"/>
    </row>
    <row r="6499" spans="3:8" x14ac:dyDescent="0.2">
      <c r="C6499" s="548"/>
      <c r="H6499" s="164"/>
    </row>
    <row r="6500" spans="3:8" x14ac:dyDescent="0.2">
      <c r="C6500" s="548"/>
      <c r="H6500" s="164"/>
    </row>
    <row r="6501" spans="3:8" x14ac:dyDescent="0.2">
      <c r="C6501" s="548"/>
      <c r="H6501" s="164"/>
    </row>
    <row r="6502" spans="3:8" x14ac:dyDescent="0.2">
      <c r="C6502" s="548"/>
      <c r="H6502" s="164"/>
    </row>
    <row r="6503" spans="3:8" x14ac:dyDescent="0.2">
      <c r="C6503" s="548"/>
      <c r="H6503" s="164"/>
    </row>
    <row r="6504" spans="3:8" x14ac:dyDescent="0.2">
      <c r="C6504" s="548"/>
      <c r="H6504" s="164"/>
    </row>
    <row r="6505" spans="3:8" x14ac:dyDescent="0.2">
      <c r="C6505" s="548"/>
      <c r="H6505" s="164"/>
    </row>
    <row r="6506" spans="3:8" x14ac:dyDescent="0.2">
      <c r="C6506" s="548"/>
      <c r="H6506" s="164"/>
    </row>
    <row r="6507" spans="3:8" x14ac:dyDescent="0.2">
      <c r="C6507" s="548"/>
      <c r="H6507" s="164"/>
    </row>
    <row r="6508" spans="3:8" x14ac:dyDescent="0.2">
      <c r="C6508" s="548"/>
      <c r="H6508" s="164"/>
    </row>
    <row r="6509" spans="3:8" x14ac:dyDescent="0.2">
      <c r="C6509" s="548"/>
      <c r="H6509" s="164"/>
    </row>
    <row r="6510" spans="3:8" x14ac:dyDescent="0.2">
      <c r="C6510" s="548"/>
      <c r="H6510" s="164"/>
    </row>
    <row r="6511" spans="3:8" x14ac:dyDescent="0.2">
      <c r="C6511" s="548"/>
      <c r="H6511" s="164"/>
    </row>
    <row r="6512" spans="3:8" x14ac:dyDescent="0.2">
      <c r="C6512" s="548"/>
      <c r="H6512" s="164"/>
    </row>
    <row r="6513" spans="3:8" x14ac:dyDescent="0.2">
      <c r="C6513" s="548"/>
      <c r="H6513" s="164"/>
    </row>
    <row r="6514" spans="3:8" x14ac:dyDescent="0.2">
      <c r="C6514" s="548"/>
      <c r="H6514" s="164"/>
    </row>
    <row r="6515" spans="3:8" x14ac:dyDescent="0.2">
      <c r="C6515" s="548"/>
      <c r="H6515" s="164"/>
    </row>
    <row r="6516" spans="3:8" x14ac:dyDescent="0.2">
      <c r="C6516" s="548"/>
      <c r="H6516" s="164"/>
    </row>
    <row r="6517" spans="3:8" x14ac:dyDescent="0.2">
      <c r="C6517" s="548"/>
      <c r="H6517" s="164"/>
    </row>
    <row r="6518" spans="3:8" x14ac:dyDescent="0.2">
      <c r="C6518" s="548"/>
      <c r="H6518" s="164"/>
    </row>
    <row r="6519" spans="3:8" x14ac:dyDescent="0.2">
      <c r="C6519" s="548"/>
      <c r="H6519" s="164"/>
    </row>
    <row r="6520" spans="3:8" x14ac:dyDescent="0.2">
      <c r="C6520" s="548"/>
      <c r="H6520" s="164"/>
    </row>
    <row r="6521" spans="3:8" x14ac:dyDescent="0.2">
      <c r="C6521" s="548"/>
      <c r="H6521" s="164"/>
    </row>
    <row r="6522" spans="3:8" x14ac:dyDescent="0.2">
      <c r="C6522" s="548"/>
      <c r="H6522" s="164"/>
    </row>
    <row r="6523" spans="3:8" x14ac:dyDescent="0.2">
      <c r="C6523" s="548"/>
      <c r="H6523" s="164"/>
    </row>
    <row r="6524" spans="3:8" x14ac:dyDescent="0.2">
      <c r="C6524" s="548"/>
      <c r="H6524" s="164"/>
    </row>
    <row r="6525" spans="3:8" x14ac:dyDescent="0.2">
      <c r="C6525" s="548"/>
      <c r="H6525" s="164"/>
    </row>
    <row r="6526" spans="3:8" x14ac:dyDescent="0.2">
      <c r="C6526" s="548"/>
      <c r="H6526" s="164"/>
    </row>
    <row r="6527" spans="3:8" x14ac:dyDescent="0.2">
      <c r="C6527" s="548"/>
      <c r="H6527" s="164"/>
    </row>
    <row r="6528" spans="3:8" x14ac:dyDescent="0.2">
      <c r="C6528" s="548"/>
      <c r="H6528" s="164"/>
    </row>
    <row r="6529" spans="3:8" x14ac:dyDescent="0.2">
      <c r="C6529" s="548"/>
      <c r="H6529" s="164"/>
    </row>
    <row r="6530" spans="3:8" x14ac:dyDescent="0.2">
      <c r="C6530" s="548"/>
      <c r="H6530" s="164"/>
    </row>
    <row r="6531" spans="3:8" x14ac:dyDescent="0.2">
      <c r="C6531" s="548"/>
      <c r="H6531" s="164"/>
    </row>
    <row r="6532" spans="3:8" x14ac:dyDescent="0.2">
      <c r="C6532" s="548"/>
      <c r="H6532" s="164"/>
    </row>
    <row r="6533" spans="3:8" x14ac:dyDescent="0.2">
      <c r="C6533" s="548"/>
      <c r="H6533" s="164"/>
    </row>
    <row r="6534" spans="3:8" x14ac:dyDescent="0.2">
      <c r="C6534" s="548"/>
      <c r="H6534" s="164"/>
    </row>
    <row r="6535" spans="3:8" x14ac:dyDescent="0.2">
      <c r="C6535" s="548"/>
      <c r="H6535" s="164"/>
    </row>
    <row r="6536" spans="3:8" x14ac:dyDescent="0.2">
      <c r="C6536" s="548"/>
      <c r="H6536" s="164"/>
    </row>
    <row r="6537" spans="3:8" x14ac:dyDescent="0.2">
      <c r="C6537" s="548"/>
      <c r="H6537" s="164"/>
    </row>
    <row r="6538" spans="3:8" x14ac:dyDescent="0.2">
      <c r="C6538" s="548"/>
      <c r="H6538" s="164"/>
    </row>
    <row r="6539" spans="3:8" x14ac:dyDescent="0.2">
      <c r="C6539" s="548"/>
      <c r="H6539" s="164"/>
    </row>
    <row r="6540" spans="3:8" x14ac:dyDescent="0.2">
      <c r="C6540" s="548"/>
      <c r="H6540" s="164"/>
    </row>
    <row r="6541" spans="3:8" x14ac:dyDescent="0.2">
      <c r="C6541" s="548"/>
      <c r="H6541" s="164"/>
    </row>
    <row r="6542" spans="3:8" x14ac:dyDescent="0.2">
      <c r="C6542" s="548"/>
      <c r="H6542" s="164"/>
    </row>
    <row r="6543" spans="3:8" x14ac:dyDescent="0.2">
      <c r="C6543" s="548"/>
      <c r="H6543" s="164"/>
    </row>
    <row r="6544" spans="3:8" x14ac:dyDescent="0.2">
      <c r="C6544" s="548"/>
      <c r="H6544" s="164"/>
    </row>
    <row r="6545" spans="3:8" x14ac:dyDescent="0.2">
      <c r="C6545" s="548"/>
      <c r="H6545" s="164"/>
    </row>
    <row r="6546" spans="3:8" x14ac:dyDescent="0.2">
      <c r="C6546" s="548"/>
      <c r="H6546" s="164"/>
    </row>
    <row r="6547" spans="3:8" x14ac:dyDescent="0.2">
      <c r="C6547" s="548"/>
      <c r="H6547" s="164"/>
    </row>
    <row r="6548" spans="3:8" x14ac:dyDescent="0.2">
      <c r="C6548" s="548"/>
      <c r="H6548" s="164"/>
    </row>
    <row r="6549" spans="3:8" x14ac:dyDescent="0.2">
      <c r="C6549" s="548"/>
      <c r="H6549" s="164"/>
    </row>
    <row r="6550" spans="3:8" x14ac:dyDescent="0.2">
      <c r="C6550" s="548"/>
      <c r="H6550" s="164"/>
    </row>
    <row r="6551" spans="3:8" x14ac:dyDescent="0.2">
      <c r="C6551" s="548"/>
      <c r="H6551" s="164"/>
    </row>
    <row r="6552" spans="3:8" x14ac:dyDescent="0.2">
      <c r="C6552" s="548"/>
      <c r="H6552" s="164"/>
    </row>
    <row r="6553" spans="3:8" x14ac:dyDescent="0.2">
      <c r="C6553" s="548"/>
      <c r="H6553" s="164"/>
    </row>
    <row r="6554" spans="3:8" x14ac:dyDescent="0.2">
      <c r="C6554" s="548"/>
      <c r="H6554" s="164"/>
    </row>
    <row r="6555" spans="3:8" x14ac:dyDescent="0.2">
      <c r="C6555" s="548"/>
      <c r="H6555" s="164"/>
    </row>
    <row r="6556" spans="3:8" x14ac:dyDescent="0.2">
      <c r="C6556" s="548"/>
      <c r="H6556" s="164"/>
    </row>
    <row r="6557" spans="3:8" x14ac:dyDescent="0.2">
      <c r="C6557" s="548"/>
      <c r="H6557" s="164"/>
    </row>
    <row r="6558" spans="3:8" x14ac:dyDescent="0.2">
      <c r="C6558" s="548"/>
      <c r="H6558" s="164"/>
    </row>
    <row r="6559" spans="3:8" x14ac:dyDescent="0.2">
      <c r="C6559" s="548"/>
      <c r="H6559" s="164"/>
    </row>
    <row r="6560" spans="3:8" x14ac:dyDescent="0.2">
      <c r="C6560" s="548"/>
      <c r="H6560" s="164"/>
    </row>
    <row r="6561" spans="3:8" x14ac:dyDescent="0.2">
      <c r="C6561" s="548"/>
      <c r="H6561" s="164"/>
    </row>
    <row r="6562" spans="3:8" x14ac:dyDescent="0.2">
      <c r="C6562" s="548"/>
      <c r="H6562" s="164"/>
    </row>
    <row r="6563" spans="3:8" x14ac:dyDescent="0.2">
      <c r="C6563" s="548"/>
      <c r="H6563" s="164"/>
    </row>
    <row r="6564" spans="3:8" x14ac:dyDescent="0.2">
      <c r="C6564" s="548"/>
      <c r="H6564" s="164"/>
    </row>
    <row r="6565" spans="3:8" x14ac:dyDescent="0.2">
      <c r="C6565" s="548"/>
      <c r="H6565" s="164"/>
    </row>
    <row r="6566" spans="3:8" x14ac:dyDescent="0.2">
      <c r="C6566" s="548"/>
      <c r="H6566" s="164"/>
    </row>
    <row r="6567" spans="3:8" x14ac:dyDescent="0.2">
      <c r="C6567" s="548"/>
      <c r="H6567" s="164"/>
    </row>
    <row r="6568" spans="3:8" x14ac:dyDescent="0.2">
      <c r="C6568" s="548"/>
      <c r="H6568" s="164"/>
    </row>
    <row r="6569" spans="3:8" x14ac:dyDescent="0.2">
      <c r="C6569" s="548"/>
      <c r="H6569" s="164"/>
    </row>
    <row r="6570" spans="3:8" x14ac:dyDescent="0.2">
      <c r="C6570" s="548"/>
      <c r="H6570" s="164"/>
    </row>
    <row r="6571" spans="3:8" x14ac:dyDescent="0.2">
      <c r="C6571" s="548"/>
      <c r="H6571" s="164"/>
    </row>
    <row r="6572" spans="3:8" x14ac:dyDescent="0.2">
      <c r="C6572" s="548"/>
      <c r="H6572" s="164"/>
    </row>
    <row r="6573" spans="3:8" x14ac:dyDescent="0.2">
      <c r="C6573" s="548"/>
      <c r="H6573" s="164"/>
    </row>
    <row r="6574" spans="3:8" x14ac:dyDescent="0.2">
      <c r="C6574" s="548"/>
      <c r="H6574" s="164"/>
    </row>
    <row r="6575" spans="3:8" x14ac:dyDescent="0.2">
      <c r="C6575" s="548"/>
      <c r="H6575" s="164"/>
    </row>
    <row r="6576" spans="3:8" x14ac:dyDescent="0.2">
      <c r="C6576" s="548"/>
      <c r="H6576" s="164"/>
    </row>
    <row r="6577" spans="3:8" x14ac:dyDescent="0.2">
      <c r="C6577" s="548"/>
      <c r="H6577" s="164"/>
    </row>
    <row r="6578" spans="3:8" x14ac:dyDescent="0.2">
      <c r="C6578" s="548"/>
      <c r="H6578" s="164"/>
    </row>
    <row r="6579" spans="3:8" x14ac:dyDescent="0.2">
      <c r="C6579" s="548"/>
      <c r="H6579" s="164"/>
    </row>
    <row r="6580" spans="3:8" x14ac:dyDescent="0.2">
      <c r="C6580" s="548"/>
      <c r="H6580" s="164"/>
    </row>
    <row r="6581" spans="3:8" x14ac:dyDescent="0.2">
      <c r="C6581" s="548"/>
      <c r="H6581" s="164"/>
    </row>
    <row r="6582" spans="3:8" x14ac:dyDescent="0.2">
      <c r="C6582" s="548"/>
      <c r="H6582" s="164"/>
    </row>
    <row r="6583" spans="3:8" x14ac:dyDescent="0.2">
      <c r="C6583" s="548"/>
      <c r="H6583" s="164"/>
    </row>
    <row r="6584" spans="3:8" x14ac:dyDescent="0.2">
      <c r="C6584" s="548"/>
      <c r="H6584" s="164"/>
    </row>
    <row r="6585" spans="3:8" x14ac:dyDescent="0.2">
      <c r="C6585" s="548"/>
      <c r="H6585" s="164"/>
    </row>
    <row r="6586" spans="3:8" x14ac:dyDescent="0.2">
      <c r="C6586" s="548"/>
      <c r="H6586" s="164"/>
    </row>
    <row r="6587" spans="3:8" x14ac:dyDescent="0.2">
      <c r="C6587" s="548"/>
      <c r="H6587" s="164"/>
    </row>
    <row r="6588" spans="3:8" x14ac:dyDescent="0.2">
      <c r="C6588" s="548"/>
      <c r="H6588" s="164"/>
    </row>
    <row r="6589" spans="3:8" x14ac:dyDescent="0.2">
      <c r="C6589" s="548"/>
      <c r="H6589" s="164"/>
    </row>
    <row r="6590" spans="3:8" x14ac:dyDescent="0.2">
      <c r="C6590" s="548"/>
      <c r="H6590" s="164"/>
    </row>
    <row r="6591" spans="3:8" x14ac:dyDescent="0.2">
      <c r="C6591" s="548"/>
      <c r="H6591" s="164"/>
    </row>
    <row r="6592" spans="3:8" x14ac:dyDescent="0.2">
      <c r="C6592" s="548"/>
      <c r="H6592" s="164"/>
    </row>
    <row r="6593" spans="3:8" x14ac:dyDescent="0.2">
      <c r="C6593" s="548"/>
      <c r="H6593" s="164"/>
    </row>
    <row r="6594" spans="3:8" x14ac:dyDescent="0.2">
      <c r="C6594" s="548"/>
      <c r="H6594" s="164"/>
    </row>
    <row r="6595" spans="3:8" x14ac:dyDescent="0.2">
      <c r="C6595" s="548"/>
      <c r="H6595" s="164"/>
    </row>
    <row r="6596" spans="3:8" x14ac:dyDescent="0.2">
      <c r="C6596" s="548"/>
      <c r="H6596" s="164"/>
    </row>
    <row r="6597" spans="3:8" x14ac:dyDescent="0.2">
      <c r="C6597" s="548"/>
      <c r="H6597" s="164"/>
    </row>
    <row r="6598" spans="3:8" x14ac:dyDescent="0.2">
      <c r="C6598" s="548"/>
      <c r="H6598" s="164"/>
    </row>
    <row r="6599" spans="3:8" x14ac:dyDescent="0.2">
      <c r="C6599" s="548"/>
      <c r="H6599" s="164"/>
    </row>
    <row r="6600" spans="3:8" x14ac:dyDescent="0.2">
      <c r="C6600" s="548"/>
      <c r="H6600" s="164"/>
    </row>
    <row r="6601" spans="3:8" x14ac:dyDescent="0.2">
      <c r="C6601" s="548"/>
      <c r="H6601" s="164"/>
    </row>
    <row r="6602" spans="3:8" x14ac:dyDescent="0.2">
      <c r="C6602" s="548"/>
      <c r="H6602" s="164"/>
    </row>
    <row r="6603" spans="3:8" x14ac:dyDescent="0.2">
      <c r="C6603" s="548"/>
      <c r="H6603" s="164"/>
    </row>
    <row r="6604" spans="3:8" x14ac:dyDescent="0.2">
      <c r="C6604" s="548"/>
      <c r="H6604" s="164"/>
    </row>
    <row r="6605" spans="3:8" x14ac:dyDescent="0.2">
      <c r="C6605" s="548"/>
      <c r="H6605" s="164"/>
    </row>
    <row r="6606" spans="3:8" x14ac:dyDescent="0.2">
      <c r="C6606" s="548"/>
      <c r="H6606" s="164"/>
    </row>
    <row r="6607" spans="3:8" x14ac:dyDescent="0.2">
      <c r="C6607" s="548"/>
      <c r="H6607" s="164"/>
    </row>
    <row r="6608" spans="3:8" x14ac:dyDescent="0.2">
      <c r="C6608" s="548"/>
      <c r="H6608" s="164"/>
    </row>
    <row r="6609" spans="3:8" x14ac:dyDescent="0.2">
      <c r="C6609" s="548"/>
      <c r="H6609" s="164"/>
    </row>
    <row r="6610" spans="3:8" x14ac:dyDescent="0.2">
      <c r="C6610" s="548"/>
      <c r="H6610" s="164"/>
    </row>
    <row r="6611" spans="3:8" x14ac:dyDescent="0.2">
      <c r="C6611" s="548"/>
      <c r="H6611" s="164"/>
    </row>
    <row r="6612" spans="3:8" x14ac:dyDescent="0.2">
      <c r="C6612" s="548"/>
      <c r="H6612" s="164"/>
    </row>
    <row r="6613" spans="3:8" x14ac:dyDescent="0.2">
      <c r="C6613" s="548"/>
      <c r="H6613" s="164"/>
    </row>
    <row r="6614" spans="3:8" x14ac:dyDescent="0.2">
      <c r="C6614" s="548"/>
      <c r="H6614" s="164"/>
    </row>
    <row r="6615" spans="3:8" x14ac:dyDescent="0.2">
      <c r="C6615" s="548"/>
      <c r="H6615" s="164"/>
    </row>
    <row r="6616" spans="3:8" x14ac:dyDescent="0.2">
      <c r="C6616" s="548"/>
      <c r="H6616" s="164"/>
    </row>
    <row r="6617" spans="3:8" x14ac:dyDescent="0.2">
      <c r="C6617" s="548"/>
      <c r="H6617" s="164"/>
    </row>
    <row r="6618" spans="3:8" x14ac:dyDescent="0.2">
      <c r="C6618" s="548"/>
      <c r="H6618" s="164"/>
    </row>
    <row r="6619" spans="3:8" x14ac:dyDescent="0.2">
      <c r="C6619" s="548"/>
      <c r="H6619" s="164"/>
    </row>
    <row r="6620" spans="3:8" x14ac:dyDescent="0.2">
      <c r="C6620" s="548"/>
      <c r="H6620" s="164"/>
    </row>
    <row r="6621" spans="3:8" x14ac:dyDescent="0.2">
      <c r="C6621" s="548"/>
      <c r="H6621" s="164"/>
    </row>
    <row r="6622" spans="3:8" x14ac:dyDescent="0.2">
      <c r="C6622" s="548"/>
      <c r="H6622" s="164"/>
    </row>
    <row r="6623" spans="3:8" x14ac:dyDescent="0.2">
      <c r="C6623" s="548"/>
      <c r="H6623" s="164"/>
    </row>
    <row r="6624" spans="3:8" x14ac:dyDescent="0.2">
      <c r="C6624" s="548"/>
      <c r="H6624" s="164"/>
    </row>
    <row r="6625" spans="3:8" x14ac:dyDescent="0.2">
      <c r="C6625" s="548"/>
      <c r="H6625" s="164"/>
    </row>
    <row r="6626" spans="3:8" x14ac:dyDescent="0.2">
      <c r="C6626" s="548"/>
      <c r="H6626" s="164"/>
    </row>
    <row r="6627" spans="3:8" x14ac:dyDescent="0.2">
      <c r="C6627" s="548"/>
      <c r="H6627" s="164"/>
    </row>
    <row r="6628" spans="3:8" x14ac:dyDescent="0.2">
      <c r="C6628" s="548"/>
      <c r="H6628" s="164"/>
    </row>
    <row r="6629" spans="3:8" x14ac:dyDescent="0.2">
      <c r="C6629" s="548"/>
      <c r="H6629" s="164"/>
    </row>
    <row r="6630" spans="3:8" x14ac:dyDescent="0.2">
      <c r="C6630" s="548"/>
      <c r="H6630" s="164"/>
    </row>
    <row r="6631" spans="3:8" x14ac:dyDescent="0.2">
      <c r="C6631" s="548"/>
      <c r="H6631" s="164"/>
    </row>
    <row r="6632" spans="3:8" x14ac:dyDescent="0.2">
      <c r="C6632" s="548"/>
      <c r="H6632" s="164"/>
    </row>
    <row r="6633" spans="3:8" x14ac:dyDescent="0.2">
      <c r="C6633" s="548"/>
      <c r="H6633" s="164"/>
    </row>
    <row r="6634" spans="3:8" x14ac:dyDescent="0.2">
      <c r="C6634" s="548"/>
      <c r="H6634" s="164"/>
    </row>
    <row r="6635" spans="3:8" x14ac:dyDescent="0.2">
      <c r="C6635" s="548"/>
      <c r="H6635" s="164"/>
    </row>
    <row r="6636" spans="3:8" x14ac:dyDescent="0.2">
      <c r="C6636" s="548"/>
      <c r="H6636" s="164"/>
    </row>
    <row r="6637" spans="3:8" x14ac:dyDescent="0.2">
      <c r="C6637" s="548"/>
      <c r="H6637" s="164"/>
    </row>
    <row r="6638" spans="3:8" x14ac:dyDescent="0.2">
      <c r="C6638" s="548"/>
      <c r="H6638" s="164"/>
    </row>
    <row r="6639" spans="3:8" x14ac:dyDescent="0.2">
      <c r="C6639" s="548"/>
      <c r="H6639" s="164"/>
    </row>
    <row r="6640" spans="3:8" x14ac:dyDescent="0.2">
      <c r="C6640" s="548"/>
      <c r="H6640" s="164"/>
    </row>
    <row r="6641" spans="3:8" x14ac:dyDescent="0.2">
      <c r="C6641" s="548"/>
      <c r="H6641" s="164"/>
    </row>
    <row r="6642" spans="3:8" x14ac:dyDescent="0.2">
      <c r="C6642" s="548"/>
      <c r="H6642" s="164"/>
    </row>
    <row r="6643" spans="3:8" x14ac:dyDescent="0.2">
      <c r="C6643" s="548"/>
      <c r="H6643" s="164"/>
    </row>
    <row r="6644" spans="3:8" x14ac:dyDescent="0.2">
      <c r="C6644" s="548"/>
      <c r="H6644" s="164"/>
    </row>
    <row r="6645" spans="3:8" x14ac:dyDescent="0.2">
      <c r="C6645" s="548"/>
      <c r="H6645" s="164"/>
    </row>
    <row r="6646" spans="3:8" x14ac:dyDescent="0.2">
      <c r="C6646" s="548"/>
      <c r="H6646" s="164"/>
    </row>
    <row r="6647" spans="3:8" x14ac:dyDescent="0.2">
      <c r="C6647" s="548"/>
      <c r="H6647" s="164"/>
    </row>
    <row r="6648" spans="3:8" x14ac:dyDescent="0.2">
      <c r="C6648" s="548"/>
      <c r="H6648" s="164"/>
    </row>
    <row r="6649" spans="3:8" x14ac:dyDescent="0.2">
      <c r="C6649" s="548"/>
      <c r="H6649" s="164"/>
    </row>
    <row r="6650" spans="3:8" x14ac:dyDescent="0.2">
      <c r="C6650" s="548"/>
      <c r="H6650" s="164"/>
    </row>
    <row r="6651" spans="3:8" x14ac:dyDescent="0.2">
      <c r="C6651" s="548"/>
      <c r="H6651" s="164"/>
    </row>
    <row r="6652" spans="3:8" x14ac:dyDescent="0.2">
      <c r="C6652" s="548"/>
      <c r="H6652" s="164"/>
    </row>
    <row r="6653" spans="3:8" x14ac:dyDescent="0.2">
      <c r="C6653" s="548"/>
      <c r="H6653" s="164"/>
    </row>
    <row r="6654" spans="3:8" x14ac:dyDescent="0.2">
      <c r="C6654" s="548"/>
      <c r="H6654" s="164"/>
    </row>
    <row r="6655" spans="3:8" x14ac:dyDescent="0.2">
      <c r="C6655" s="548"/>
      <c r="H6655" s="164"/>
    </row>
    <row r="6656" spans="3:8" x14ac:dyDescent="0.2">
      <c r="C6656" s="548"/>
      <c r="H6656" s="164"/>
    </row>
    <row r="6657" spans="3:8" x14ac:dyDescent="0.2">
      <c r="C6657" s="548"/>
      <c r="H6657" s="164"/>
    </row>
    <row r="6658" spans="3:8" x14ac:dyDescent="0.2">
      <c r="C6658" s="548"/>
      <c r="H6658" s="164"/>
    </row>
    <row r="6659" spans="3:8" x14ac:dyDescent="0.2">
      <c r="C6659" s="548"/>
      <c r="H6659" s="164"/>
    </row>
    <row r="6660" spans="3:8" x14ac:dyDescent="0.2">
      <c r="C6660" s="548"/>
      <c r="H6660" s="164"/>
    </row>
    <row r="6661" spans="3:8" x14ac:dyDescent="0.2">
      <c r="C6661" s="548"/>
      <c r="H6661" s="164"/>
    </row>
    <row r="6662" spans="3:8" x14ac:dyDescent="0.2">
      <c r="C6662" s="548"/>
      <c r="H6662" s="164"/>
    </row>
    <row r="6663" spans="3:8" x14ac:dyDescent="0.2">
      <c r="C6663" s="548"/>
      <c r="H6663" s="164"/>
    </row>
    <row r="6664" spans="3:8" x14ac:dyDescent="0.2">
      <c r="C6664" s="548"/>
      <c r="H6664" s="164"/>
    </row>
    <row r="6665" spans="3:8" x14ac:dyDescent="0.2">
      <c r="C6665" s="548"/>
      <c r="H6665" s="164"/>
    </row>
    <row r="6666" spans="3:8" x14ac:dyDescent="0.2">
      <c r="C6666" s="548"/>
      <c r="H6666" s="164"/>
    </row>
    <row r="6667" spans="3:8" x14ac:dyDescent="0.2">
      <c r="C6667" s="548"/>
      <c r="H6667" s="164"/>
    </row>
    <row r="6668" spans="3:8" x14ac:dyDescent="0.2">
      <c r="C6668" s="548"/>
      <c r="H6668" s="164"/>
    </row>
    <row r="6669" spans="3:8" x14ac:dyDescent="0.2">
      <c r="C6669" s="548"/>
      <c r="H6669" s="164"/>
    </row>
    <row r="6670" spans="3:8" x14ac:dyDescent="0.2">
      <c r="C6670" s="548"/>
      <c r="H6670" s="164"/>
    </row>
    <row r="6671" spans="3:8" x14ac:dyDescent="0.2">
      <c r="C6671" s="548"/>
      <c r="H6671" s="164"/>
    </row>
    <row r="6672" spans="3:8" x14ac:dyDescent="0.2">
      <c r="C6672" s="548"/>
      <c r="H6672" s="164"/>
    </row>
    <row r="6673" spans="3:8" x14ac:dyDescent="0.2">
      <c r="C6673" s="548"/>
      <c r="H6673" s="164"/>
    </row>
    <row r="6674" spans="3:8" x14ac:dyDescent="0.2">
      <c r="C6674" s="548"/>
      <c r="H6674" s="164"/>
    </row>
    <row r="6675" spans="3:8" x14ac:dyDescent="0.2">
      <c r="C6675" s="548"/>
      <c r="H6675" s="164"/>
    </row>
    <row r="6676" spans="3:8" x14ac:dyDescent="0.2">
      <c r="C6676" s="548"/>
      <c r="H6676" s="164"/>
    </row>
    <row r="6677" spans="3:8" x14ac:dyDescent="0.2">
      <c r="C6677" s="548"/>
      <c r="H6677" s="164"/>
    </row>
    <row r="6678" spans="3:8" x14ac:dyDescent="0.2">
      <c r="C6678" s="548"/>
      <c r="H6678" s="164"/>
    </row>
    <row r="6679" spans="3:8" x14ac:dyDescent="0.2">
      <c r="C6679" s="548"/>
      <c r="H6679" s="164"/>
    </row>
    <row r="6680" spans="3:8" x14ac:dyDescent="0.2">
      <c r="C6680" s="548"/>
      <c r="H6680" s="164"/>
    </row>
    <row r="6681" spans="3:8" x14ac:dyDescent="0.2">
      <c r="C6681" s="548"/>
      <c r="H6681" s="164"/>
    </row>
    <row r="6682" spans="3:8" x14ac:dyDescent="0.2">
      <c r="C6682" s="548"/>
      <c r="H6682" s="164"/>
    </row>
    <row r="6683" spans="3:8" x14ac:dyDescent="0.2">
      <c r="C6683" s="548"/>
      <c r="H6683" s="164"/>
    </row>
    <row r="6684" spans="3:8" x14ac:dyDescent="0.2">
      <c r="C6684" s="548"/>
      <c r="H6684" s="164"/>
    </row>
    <row r="6685" spans="3:8" x14ac:dyDescent="0.2">
      <c r="C6685" s="548"/>
      <c r="H6685" s="164"/>
    </row>
    <row r="6686" spans="3:8" x14ac:dyDescent="0.2">
      <c r="C6686" s="548"/>
      <c r="H6686" s="164"/>
    </row>
    <row r="6687" spans="3:8" x14ac:dyDescent="0.2">
      <c r="C6687" s="548"/>
      <c r="H6687" s="164"/>
    </row>
    <row r="6688" spans="3:8" x14ac:dyDescent="0.2">
      <c r="C6688" s="548"/>
      <c r="H6688" s="164"/>
    </row>
    <row r="6689" spans="3:8" x14ac:dyDescent="0.2">
      <c r="C6689" s="548"/>
      <c r="H6689" s="164"/>
    </row>
    <row r="6690" spans="3:8" x14ac:dyDescent="0.2">
      <c r="C6690" s="548"/>
      <c r="H6690" s="164"/>
    </row>
    <row r="6691" spans="3:8" x14ac:dyDescent="0.2">
      <c r="C6691" s="548"/>
      <c r="H6691" s="164"/>
    </row>
    <row r="6692" spans="3:8" x14ac:dyDescent="0.2">
      <c r="C6692" s="548"/>
      <c r="H6692" s="164"/>
    </row>
    <row r="6693" spans="3:8" x14ac:dyDescent="0.2">
      <c r="C6693" s="548"/>
      <c r="H6693" s="164"/>
    </row>
    <row r="6694" spans="3:8" x14ac:dyDescent="0.2">
      <c r="C6694" s="548"/>
      <c r="H6694" s="164"/>
    </row>
    <row r="6695" spans="3:8" x14ac:dyDescent="0.2">
      <c r="C6695" s="548"/>
      <c r="H6695" s="164"/>
    </row>
    <row r="6696" spans="3:8" x14ac:dyDescent="0.2">
      <c r="C6696" s="548"/>
      <c r="H6696" s="164"/>
    </row>
    <row r="6697" spans="3:8" x14ac:dyDescent="0.2">
      <c r="C6697" s="548"/>
      <c r="H6697" s="164"/>
    </row>
    <row r="6698" spans="3:8" x14ac:dyDescent="0.2">
      <c r="C6698" s="548"/>
      <c r="H6698" s="164"/>
    </row>
    <row r="6699" spans="3:8" x14ac:dyDescent="0.2">
      <c r="C6699" s="548"/>
      <c r="H6699" s="164"/>
    </row>
    <row r="6700" spans="3:8" x14ac:dyDescent="0.2">
      <c r="C6700" s="548"/>
      <c r="H6700" s="164"/>
    </row>
    <row r="6701" spans="3:8" x14ac:dyDescent="0.2">
      <c r="C6701" s="548"/>
      <c r="H6701" s="164"/>
    </row>
    <row r="6702" spans="3:8" x14ac:dyDescent="0.2">
      <c r="C6702" s="548"/>
      <c r="H6702" s="164"/>
    </row>
    <row r="6703" spans="3:8" x14ac:dyDescent="0.2">
      <c r="C6703" s="548"/>
      <c r="H6703" s="164"/>
    </row>
    <row r="6704" spans="3:8" x14ac:dyDescent="0.2">
      <c r="C6704" s="548"/>
      <c r="H6704" s="164"/>
    </row>
    <row r="6705" spans="3:8" x14ac:dyDescent="0.2">
      <c r="C6705" s="548"/>
      <c r="H6705" s="164"/>
    </row>
    <row r="6706" spans="3:8" x14ac:dyDescent="0.2">
      <c r="C6706" s="548"/>
      <c r="H6706" s="164"/>
    </row>
    <row r="6707" spans="3:8" x14ac:dyDescent="0.2">
      <c r="C6707" s="548"/>
      <c r="H6707" s="164"/>
    </row>
    <row r="6708" spans="3:8" x14ac:dyDescent="0.2">
      <c r="C6708" s="548"/>
      <c r="H6708" s="164"/>
    </row>
    <row r="6709" spans="3:8" x14ac:dyDescent="0.2">
      <c r="C6709" s="548"/>
      <c r="H6709" s="164"/>
    </row>
    <row r="6710" spans="3:8" x14ac:dyDescent="0.2">
      <c r="C6710" s="548"/>
      <c r="H6710" s="164"/>
    </row>
    <row r="6711" spans="3:8" x14ac:dyDescent="0.2">
      <c r="C6711" s="548"/>
      <c r="H6711" s="164"/>
    </row>
    <row r="6712" spans="3:8" x14ac:dyDescent="0.2">
      <c r="C6712" s="548"/>
      <c r="H6712" s="164"/>
    </row>
    <row r="6713" spans="3:8" x14ac:dyDescent="0.2">
      <c r="C6713" s="548"/>
      <c r="H6713" s="164"/>
    </row>
    <row r="6714" spans="3:8" x14ac:dyDescent="0.2">
      <c r="C6714" s="548"/>
      <c r="H6714" s="164"/>
    </row>
    <row r="6715" spans="3:8" x14ac:dyDescent="0.2">
      <c r="C6715" s="548"/>
      <c r="H6715" s="164"/>
    </row>
    <row r="6716" spans="3:8" x14ac:dyDescent="0.2">
      <c r="C6716" s="548"/>
      <c r="H6716" s="164"/>
    </row>
    <row r="6717" spans="3:8" x14ac:dyDescent="0.2">
      <c r="C6717" s="548"/>
      <c r="H6717" s="164"/>
    </row>
    <row r="6718" spans="3:8" x14ac:dyDescent="0.2">
      <c r="C6718" s="548"/>
      <c r="H6718" s="164"/>
    </row>
    <row r="6719" spans="3:8" x14ac:dyDescent="0.2">
      <c r="C6719" s="548"/>
      <c r="H6719" s="164"/>
    </row>
    <row r="6720" spans="3:8" x14ac:dyDescent="0.2">
      <c r="C6720" s="548"/>
      <c r="H6720" s="164"/>
    </row>
    <row r="6721" spans="3:8" x14ac:dyDescent="0.2">
      <c r="C6721" s="548"/>
      <c r="H6721" s="164"/>
    </row>
    <row r="6722" spans="3:8" x14ac:dyDescent="0.2">
      <c r="C6722" s="548"/>
      <c r="H6722" s="164"/>
    </row>
    <row r="6723" spans="3:8" x14ac:dyDescent="0.2">
      <c r="C6723" s="548"/>
      <c r="H6723" s="164"/>
    </row>
    <row r="6724" spans="3:8" x14ac:dyDescent="0.2">
      <c r="C6724" s="548"/>
      <c r="H6724" s="164"/>
    </row>
    <row r="6725" spans="3:8" x14ac:dyDescent="0.2">
      <c r="C6725" s="548"/>
      <c r="H6725" s="164"/>
    </row>
    <row r="6726" spans="3:8" x14ac:dyDescent="0.2">
      <c r="C6726" s="548"/>
      <c r="H6726" s="164"/>
    </row>
    <row r="6727" spans="3:8" x14ac:dyDescent="0.2">
      <c r="C6727" s="548"/>
      <c r="H6727" s="164"/>
    </row>
    <row r="6728" spans="3:8" x14ac:dyDescent="0.2">
      <c r="C6728" s="548"/>
      <c r="H6728" s="164"/>
    </row>
    <row r="6729" spans="3:8" x14ac:dyDescent="0.2">
      <c r="C6729" s="548"/>
      <c r="H6729" s="164"/>
    </row>
    <row r="6730" spans="3:8" x14ac:dyDescent="0.2">
      <c r="C6730" s="548"/>
      <c r="H6730" s="164"/>
    </row>
    <row r="6731" spans="3:8" x14ac:dyDescent="0.2">
      <c r="C6731" s="548"/>
      <c r="H6731" s="164"/>
    </row>
    <row r="6732" spans="3:8" x14ac:dyDescent="0.2">
      <c r="C6732" s="548"/>
      <c r="H6732" s="164"/>
    </row>
    <row r="6733" spans="3:8" x14ac:dyDescent="0.2">
      <c r="C6733" s="548"/>
      <c r="H6733" s="164"/>
    </row>
    <row r="6734" spans="3:8" x14ac:dyDescent="0.2">
      <c r="C6734" s="548"/>
      <c r="H6734" s="164"/>
    </row>
    <row r="6735" spans="3:8" x14ac:dyDescent="0.2">
      <c r="C6735" s="548"/>
      <c r="H6735" s="164"/>
    </row>
    <row r="6736" spans="3:8" x14ac:dyDescent="0.2">
      <c r="C6736" s="548"/>
      <c r="H6736" s="164"/>
    </row>
    <row r="6737" spans="3:8" x14ac:dyDescent="0.2">
      <c r="C6737" s="548"/>
      <c r="H6737" s="164"/>
    </row>
    <row r="6738" spans="3:8" x14ac:dyDescent="0.2">
      <c r="C6738" s="548"/>
      <c r="H6738" s="164"/>
    </row>
    <row r="6739" spans="3:8" x14ac:dyDescent="0.2">
      <c r="C6739" s="548"/>
      <c r="H6739" s="164"/>
    </row>
    <row r="6740" spans="3:8" x14ac:dyDescent="0.2">
      <c r="C6740" s="548"/>
      <c r="H6740" s="164"/>
    </row>
    <row r="6741" spans="3:8" x14ac:dyDescent="0.2">
      <c r="C6741" s="548"/>
      <c r="H6741" s="164"/>
    </row>
    <row r="6742" spans="3:8" x14ac:dyDescent="0.2">
      <c r="C6742" s="548"/>
      <c r="H6742" s="164"/>
    </row>
    <row r="6743" spans="3:8" x14ac:dyDescent="0.2">
      <c r="C6743" s="548"/>
      <c r="H6743" s="164"/>
    </row>
    <row r="6744" spans="3:8" x14ac:dyDescent="0.2">
      <c r="C6744" s="548"/>
      <c r="H6744" s="164"/>
    </row>
    <row r="6745" spans="3:8" x14ac:dyDescent="0.2">
      <c r="C6745" s="548"/>
      <c r="H6745" s="164"/>
    </row>
    <row r="6746" spans="3:8" x14ac:dyDescent="0.2">
      <c r="C6746" s="548"/>
      <c r="H6746" s="164"/>
    </row>
    <row r="6747" spans="3:8" x14ac:dyDescent="0.2">
      <c r="C6747" s="548"/>
      <c r="H6747" s="164"/>
    </row>
    <row r="6748" spans="3:8" x14ac:dyDescent="0.2">
      <c r="C6748" s="548"/>
      <c r="H6748" s="164"/>
    </row>
    <row r="6749" spans="3:8" x14ac:dyDescent="0.2">
      <c r="C6749" s="548"/>
      <c r="H6749" s="164"/>
    </row>
    <row r="6750" spans="3:8" x14ac:dyDescent="0.2">
      <c r="C6750" s="548"/>
      <c r="H6750" s="164"/>
    </row>
    <row r="6751" spans="3:8" x14ac:dyDescent="0.2">
      <c r="C6751" s="548"/>
      <c r="H6751" s="164"/>
    </row>
    <row r="6752" spans="3:8" x14ac:dyDescent="0.2">
      <c r="C6752" s="548"/>
      <c r="H6752" s="164"/>
    </row>
    <row r="6753" spans="3:8" x14ac:dyDescent="0.2">
      <c r="C6753" s="548"/>
      <c r="H6753" s="164"/>
    </row>
    <row r="6754" spans="3:8" x14ac:dyDescent="0.2">
      <c r="C6754" s="548"/>
      <c r="H6754" s="164"/>
    </row>
    <row r="6755" spans="3:8" x14ac:dyDescent="0.2">
      <c r="C6755" s="548"/>
      <c r="H6755" s="164"/>
    </row>
    <row r="6756" spans="3:8" x14ac:dyDescent="0.2">
      <c r="C6756" s="548"/>
      <c r="H6756" s="164"/>
    </row>
    <row r="6757" spans="3:8" x14ac:dyDescent="0.2">
      <c r="C6757" s="548"/>
      <c r="H6757" s="164"/>
    </row>
    <row r="6758" spans="3:8" x14ac:dyDescent="0.2">
      <c r="C6758" s="548"/>
      <c r="H6758" s="164"/>
    </row>
    <row r="6759" spans="3:8" x14ac:dyDescent="0.2">
      <c r="C6759" s="548"/>
      <c r="H6759" s="164"/>
    </row>
    <row r="6760" spans="3:8" x14ac:dyDescent="0.2">
      <c r="C6760" s="548"/>
      <c r="H6760" s="164"/>
    </row>
    <row r="6761" spans="3:8" x14ac:dyDescent="0.2">
      <c r="C6761" s="548"/>
      <c r="H6761" s="164"/>
    </row>
    <row r="6762" spans="3:8" x14ac:dyDescent="0.2">
      <c r="C6762" s="548"/>
      <c r="H6762" s="164"/>
    </row>
    <row r="6763" spans="3:8" x14ac:dyDescent="0.2">
      <c r="C6763" s="548"/>
      <c r="H6763" s="164"/>
    </row>
    <row r="6764" spans="3:8" x14ac:dyDescent="0.2">
      <c r="C6764" s="548"/>
      <c r="H6764" s="164"/>
    </row>
    <row r="6765" spans="3:8" x14ac:dyDescent="0.2">
      <c r="C6765" s="548"/>
      <c r="H6765" s="164"/>
    </row>
    <row r="6766" spans="3:8" x14ac:dyDescent="0.2">
      <c r="C6766" s="548"/>
      <c r="H6766" s="164"/>
    </row>
    <row r="6767" spans="3:8" x14ac:dyDescent="0.2">
      <c r="C6767" s="548"/>
      <c r="H6767" s="164"/>
    </row>
    <row r="6768" spans="3:8" x14ac:dyDescent="0.2">
      <c r="C6768" s="548"/>
      <c r="H6768" s="164"/>
    </row>
    <row r="6769" spans="3:8" x14ac:dyDescent="0.2">
      <c r="C6769" s="548"/>
      <c r="H6769" s="164"/>
    </row>
    <row r="6770" spans="3:8" x14ac:dyDescent="0.2">
      <c r="C6770" s="548"/>
      <c r="H6770" s="164"/>
    </row>
    <row r="6771" spans="3:8" x14ac:dyDescent="0.2">
      <c r="C6771" s="548"/>
      <c r="H6771" s="164"/>
    </row>
    <row r="6772" spans="3:8" x14ac:dyDescent="0.2">
      <c r="C6772" s="548"/>
      <c r="H6772" s="164"/>
    </row>
    <row r="6773" spans="3:8" x14ac:dyDescent="0.2">
      <c r="C6773" s="548"/>
      <c r="H6773" s="164"/>
    </row>
    <row r="6774" spans="3:8" x14ac:dyDescent="0.2">
      <c r="C6774" s="548"/>
      <c r="H6774" s="164"/>
    </row>
    <row r="6775" spans="3:8" x14ac:dyDescent="0.2">
      <c r="C6775" s="548"/>
      <c r="H6775" s="164"/>
    </row>
    <row r="6776" spans="3:8" x14ac:dyDescent="0.2">
      <c r="C6776" s="548"/>
      <c r="H6776" s="164"/>
    </row>
    <row r="6777" spans="3:8" x14ac:dyDescent="0.2">
      <c r="C6777" s="548"/>
      <c r="H6777" s="164"/>
    </row>
    <row r="6778" spans="3:8" x14ac:dyDescent="0.2">
      <c r="C6778" s="548"/>
      <c r="H6778" s="164"/>
    </row>
    <row r="6779" spans="3:8" x14ac:dyDescent="0.2">
      <c r="C6779" s="548"/>
      <c r="H6779" s="164"/>
    </row>
    <row r="6780" spans="3:8" x14ac:dyDescent="0.2">
      <c r="C6780" s="548"/>
      <c r="H6780" s="164"/>
    </row>
    <row r="6781" spans="3:8" x14ac:dyDescent="0.2">
      <c r="C6781" s="548"/>
      <c r="H6781" s="164"/>
    </row>
    <row r="6782" spans="3:8" x14ac:dyDescent="0.2">
      <c r="C6782" s="548"/>
      <c r="H6782" s="164"/>
    </row>
    <row r="6783" spans="3:8" x14ac:dyDescent="0.2">
      <c r="C6783" s="548"/>
      <c r="H6783" s="164"/>
    </row>
    <row r="6784" spans="3:8" x14ac:dyDescent="0.2">
      <c r="C6784" s="548"/>
      <c r="H6784" s="164"/>
    </row>
    <row r="6785" spans="3:8" x14ac:dyDescent="0.2">
      <c r="C6785" s="548"/>
      <c r="H6785" s="164"/>
    </row>
    <row r="6786" spans="3:8" x14ac:dyDescent="0.2">
      <c r="C6786" s="548"/>
      <c r="H6786" s="164"/>
    </row>
    <row r="6787" spans="3:8" x14ac:dyDescent="0.2">
      <c r="C6787" s="548"/>
      <c r="H6787" s="164"/>
    </row>
    <row r="6788" spans="3:8" x14ac:dyDescent="0.2">
      <c r="C6788" s="548"/>
      <c r="H6788" s="164"/>
    </row>
    <row r="6789" spans="3:8" x14ac:dyDescent="0.2">
      <c r="C6789" s="548"/>
      <c r="H6789" s="164"/>
    </row>
    <row r="6790" spans="3:8" x14ac:dyDescent="0.2">
      <c r="C6790" s="548"/>
      <c r="H6790" s="164"/>
    </row>
    <row r="6791" spans="3:8" x14ac:dyDescent="0.2">
      <c r="C6791" s="548"/>
      <c r="H6791" s="164"/>
    </row>
    <row r="6792" spans="3:8" x14ac:dyDescent="0.2">
      <c r="C6792" s="548"/>
      <c r="H6792" s="164"/>
    </row>
    <row r="6793" spans="3:8" x14ac:dyDescent="0.2">
      <c r="C6793" s="548"/>
      <c r="H6793" s="164"/>
    </row>
    <row r="6794" spans="3:8" x14ac:dyDescent="0.2">
      <c r="C6794" s="548"/>
      <c r="H6794" s="164"/>
    </row>
    <row r="6795" spans="3:8" x14ac:dyDescent="0.2">
      <c r="C6795" s="548"/>
      <c r="H6795" s="164"/>
    </row>
    <row r="6796" spans="3:8" x14ac:dyDescent="0.2">
      <c r="C6796" s="548"/>
      <c r="H6796" s="164"/>
    </row>
    <row r="6797" spans="3:8" x14ac:dyDescent="0.2">
      <c r="C6797" s="548"/>
      <c r="H6797" s="164"/>
    </row>
    <row r="6798" spans="3:8" x14ac:dyDescent="0.2">
      <c r="C6798" s="548"/>
      <c r="H6798" s="164"/>
    </row>
    <row r="6799" spans="3:8" x14ac:dyDescent="0.2">
      <c r="C6799" s="548"/>
      <c r="H6799" s="164"/>
    </row>
    <row r="6800" spans="3:8" x14ac:dyDescent="0.2">
      <c r="C6800" s="548"/>
      <c r="H6800" s="164"/>
    </row>
    <row r="6801" spans="3:8" x14ac:dyDescent="0.2">
      <c r="C6801" s="548"/>
      <c r="H6801" s="164"/>
    </row>
    <row r="6802" spans="3:8" x14ac:dyDescent="0.2">
      <c r="C6802" s="548"/>
      <c r="H6802" s="164"/>
    </row>
    <row r="6803" spans="3:8" x14ac:dyDescent="0.2">
      <c r="C6803" s="548"/>
      <c r="H6803" s="164"/>
    </row>
    <row r="6804" spans="3:8" x14ac:dyDescent="0.2">
      <c r="C6804" s="548"/>
      <c r="H6804" s="164"/>
    </row>
    <row r="6805" spans="3:8" x14ac:dyDescent="0.2">
      <c r="C6805" s="548"/>
      <c r="H6805" s="164"/>
    </row>
    <row r="6806" spans="3:8" x14ac:dyDescent="0.2">
      <c r="C6806" s="548"/>
      <c r="H6806" s="164"/>
    </row>
    <row r="6807" spans="3:8" x14ac:dyDescent="0.2">
      <c r="C6807" s="548"/>
      <c r="H6807" s="164"/>
    </row>
    <row r="6808" spans="3:8" x14ac:dyDescent="0.2">
      <c r="C6808" s="548"/>
      <c r="H6808" s="164"/>
    </row>
    <row r="6809" spans="3:8" x14ac:dyDescent="0.2">
      <c r="C6809" s="548"/>
      <c r="H6809" s="164"/>
    </row>
    <row r="6810" spans="3:8" x14ac:dyDescent="0.2">
      <c r="C6810" s="548"/>
      <c r="H6810" s="164"/>
    </row>
    <row r="6811" spans="3:8" x14ac:dyDescent="0.2">
      <c r="C6811" s="548"/>
      <c r="H6811" s="164"/>
    </row>
    <row r="6812" spans="3:8" x14ac:dyDescent="0.2">
      <c r="C6812" s="548"/>
      <c r="H6812" s="164"/>
    </row>
    <row r="6813" spans="3:8" x14ac:dyDescent="0.2">
      <c r="C6813" s="548"/>
      <c r="H6813" s="164"/>
    </row>
    <row r="6814" spans="3:8" x14ac:dyDescent="0.2">
      <c r="C6814" s="548"/>
      <c r="H6814" s="164"/>
    </row>
    <row r="6815" spans="3:8" x14ac:dyDescent="0.2">
      <c r="C6815" s="548"/>
      <c r="H6815" s="164"/>
    </row>
    <row r="6816" spans="3:8" x14ac:dyDescent="0.2">
      <c r="C6816" s="548"/>
      <c r="H6816" s="164"/>
    </row>
    <row r="6817" spans="3:8" x14ac:dyDescent="0.2">
      <c r="C6817" s="548"/>
      <c r="H6817" s="164"/>
    </row>
    <row r="6818" spans="3:8" x14ac:dyDescent="0.2">
      <c r="C6818" s="548"/>
      <c r="H6818" s="164"/>
    </row>
    <row r="6819" spans="3:8" x14ac:dyDescent="0.2">
      <c r="C6819" s="548"/>
      <c r="H6819" s="164"/>
    </row>
    <row r="6820" spans="3:8" x14ac:dyDescent="0.2">
      <c r="C6820" s="548"/>
      <c r="H6820" s="164"/>
    </row>
    <row r="6821" spans="3:8" x14ac:dyDescent="0.2">
      <c r="C6821" s="548"/>
      <c r="H6821" s="164"/>
    </row>
    <row r="6822" spans="3:8" x14ac:dyDescent="0.2">
      <c r="C6822" s="548"/>
      <c r="H6822" s="164"/>
    </row>
    <row r="6823" spans="3:8" x14ac:dyDescent="0.2">
      <c r="C6823" s="548"/>
      <c r="H6823" s="164"/>
    </row>
    <row r="6824" spans="3:8" x14ac:dyDescent="0.2">
      <c r="C6824" s="548"/>
      <c r="H6824" s="164"/>
    </row>
    <row r="6825" spans="3:8" x14ac:dyDescent="0.2">
      <c r="C6825" s="548"/>
      <c r="H6825" s="164"/>
    </row>
    <row r="6826" spans="3:8" x14ac:dyDescent="0.2">
      <c r="C6826" s="548"/>
      <c r="H6826" s="164"/>
    </row>
    <row r="6827" spans="3:8" x14ac:dyDescent="0.2">
      <c r="C6827" s="548"/>
      <c r="H6827" s="164"/>
    </row>
    <row r="6828" spans="3:8" x14ac:dyDescent="0.2">
      <c r="C6828" s="548"/>
      <c r="H6828" s="164"/>
    </row>
    <row r="6829" spans="3:8" x14ac:dyDescent="0.2">
      <c r="C6829" s="548"/>
      <c r="H6829" s="164"/>
    </row>
    <row r="6830" spans="3:8" x14ac:dyDescent="0.2">
      <c r="C6830" s="548"/>
      <c r="H6830" s="164"/>
    </row>
    <row r="6831" spans="3:8" x14ac:dyDescent="0.2">
      <c r="C6831" s="548"/>
      <c r="H6831" s="164"/>
    </row>
    <row r="6832" spans="3:8" x14ac:dyDescent="0.2">
      <c r="C6832" s="548"/>
      <c r="H6832" s="164"/>
    </row>
    <row r="6833" spans="3:8" x14ac:dyDescent="0.2">
      <c r="C6833" s="548"/>
      <c r="H6833" s="164"/>
    </row>
    <row r="6834" spans="3:8" x14ac:dyDescent="0.2">
      <c r="C6834" s="548"/>
      <c r="H6834" s="164"/>
    </row>
    <row r="6835" spans="3:8" x14ac:dyDescent="0.2">
      <c r="C6835" s="548"/>
      <c r="H6835" s="164"/>
    </row>
    <row r="6836" spans="3:8" x14ac:dyDescent="0.2">
      <c r="C6836" s="548"/>
      <c r="H6836" s="164"/>
    </row>
    <row r="6837" spans="3:8" x14ac:dyDescent="0.2">
      <c r="C6837" s="548"/>
      <c r="H6837" s="164"/>
    </row>
    <row r="6838" spans="3:8" x14ac:dyDescent="0.2">
      <c r="C6838" s="548"/>
      <c r="H6838" s="164"/>
    </row>
    <row r="6839" spans="3:8" x14ac:dyDescent="0.2">
      <c r="C6839" s="548"/>
      <c r="H6839" s="164"/>
    </row>
    <row r="6840" spans="3:8" x14ac:dyDescent="0.2">
      <c r="C6840" s="548"/>
      <c r="H6840" s="164"/>
    </row>
    <row r="6841" spans="3:8" x14ac:dyDescent="0.2">
      <c r="C6841" s="548"/>
      <c r="H6841" s="164"/>
    </row>
    <row r="6842" spans="3:8" x14ac:dyDescent="0.2">
      <c r="C6842" s="548"/>
      <c r="H6842" s="164"/>
    </row>
    <row r="6843" spans="3:8" x14ac:dyDescent="0.2">
      <c r="C6843" s="548"/>
      <c r="H6843" s="164"/>
    </row>
    <row r="6844" spans="3:8" x14ac:dyDescent="0.2">
      <c r="C6844" s="548"/>
      <c r="H6844" s="164"/>
    </row>
    <row r="6845" spans="3:8" x14ac:dyDescent="0.2">
      <c r="C6845" s="548"/>
      <c r="H6845" s="164"/>
    </row>
    <row r="6846" spans="3:8" x14ac:dyDescent="0.2">
      <c r="C6846" s="548"/>
      <c r="H6846" s="164"/>
    </row>
    <row r="6847" spans="3:8" x14ac:dyDescent="0.2">
      <c r="C6847" s="548"/>
      <c r="H6847" s="164"/>
    </row>
    <row r="6848" spans="3:8" x14ac:dyDescent="0.2">
      <c r="C6848" s="548"/>
      <c r="H6848" s="164"/>
    </row>
    <row r="6849" spans="3:8" x14ac:dyDescent="0.2">
      <c r="C6849" s="548"/>
      <c r="H6849" s="164"/>
    </row>
    <row r="6850" spans="3:8" x14ac:dyDescent="0.2">
      <c r="C6850" s="548"/>
      <c r="H6850" s="164"/>
    </row>
    <row r="6851" spans="3:8" x14ac:dyDescent="0.2">
      <c r="C6851" s="548"/>
      <c r="H6851" s="164"/>
    </row>
    <row r="6852" spans="3:8" x14ac:dyDescent="0.2">
      <c r="C6852" s="548"/>
      <c r="H6852" s="164"/>
    </row>
    <row r="6853" spans="3:8" x14ac:dyDescent="0.2">
      <c r="C6853" s="548"/>
      <c r="H6853" s="164"/>
    </row>
    <row r="6854" spans="3:8" x14ac:dyDescent="0.2">
      <c r="C6854" s="548"/>
      <c r="H6854" s="164"/>
    </row>
    <row r="6855" spans="3:8" x14ac:dyDescent="0.2">
      <c r="C6855" s="548"/>
      <c r="H6855" s="164"/>
    </row>
    <row r="6856" spans="3:8" x14ac:dyDescent="0.2">
      <c r="C6856" s="548"/>
      <c r="H6856" s="164"/>
    </row>
    <row r="6857" spans="3:8" x14ac:dyDescent="0.2">
      <c r="C6857" s="548"/>
      <c r="H6857" s="164"/>
    </row>
    <row r="6858" spans="3:8" x14ac:dyDescent="0.2">
      <c r="C6858" s="548"/>
      <c r="H6858" s="164"/>
    </row>
    <row r="6859" spans="3:8" x14ac:dyDescent="0.2">
      <c r="C6859" s="548"/>
      <c r="H6859" s="164"/>
    </row>
    <row r="6860" spans="3:8" x14ac:dyDescent="0.2">
      <c r="C6860" s="548"/>
      <c r="H6860" s="164"/>
    </row>
    <row r="6861" spans="3:8" x14ac:dyDescent="0.2">
      <c r="C6861" s="548"/>
      <c r="H6861" s="164"/>
    </row>
    <row r="6862" spans="3:8" x14ac:dyDescent="0.2">
      <c r="C6862" s="548"/>
      <c r="H6862" s="164"/>
    </row>
    <row r="6863" spans="3:8" x14ac:dyDescent="0.2">
      <c r="C6863" s="548"/>
      <c r="H6863" s="164"/>
    </row>
    <row r="6864" spans="3:8" x14ac:dyDescent="0.2">
      <c r="C6864" s="548"/>
      <c r="H6864" s="164"/>
    </row>
    <row r="6865" spans="3:8" x14ac:dyDescent="0.2">
      <c r="C6865" s="548"/>
      <c r="H6865" s="164"/>
    </row>
    <row r="6866" spans="3:8" x14ac:dyDescent="0.2">
      <c r="C6866" s="548"/>
      <c r="H6866" s="164"/>
    </row>
    <row r="6867" spans="3:8" x14ac:dyDescent="0.2">
      <c r="C6867" s="548"/>
      <c r="H6867" s="164"/>
    </row>
    <row r="6868" spans="3:8" x14ac:dyDescent="0.2">
      <c r="C6868" s="548"/>
      <c r="H6868" s="164"/>
    </row>
    <row r="6869" spans="3:8" x14ac:dyDescent="0.2">
      <c r="C6869" s="548"/>
      <c r="H6869" s="164"/>
    </row>
    <row r="6870" spans="3:8" x14ac:dyDescent="0.2">
      <c r="C6870" s="548"/>
      <c r="H6870" s="164"/>
    </row>
    <row r="6871" spans="3:8" x14ac:dyDescent="0.2">
      <c r="C6871" s="548"/>
      <c r="H6871" s="164"/>
    </row>
    <row r="6872" spans="3:8" x14ac:dyDescent="0.2">
      <c r="C6872" s="548"/>
      <c r="H6872" s="164"/>
    </row>
    <row r="6873" spans="3:8" x14ac:dyDescent="0.2">
      <c r="C6873" s="548"/>
      <c r="H6873" s="164"/>
    </row>
    <row r="6874" spans="3:8" x14ac:dyDescent="0.2">
      <c r="C6874" s="548"/>
      <c r="H6874" s="164"/>
    </row>
    <row r="6875" spans="3:8" x14ac:dyDescent="0.2">
      <c r="C6875" s="548"/>
      <c r="H6875" s="164"/>
    </row>
    <row r="6876" spans="3:8" x14ac:dyDescent="0.2">
      <c r="C6876" s="548"/>
      <c r="H6876" s="164"/>
    </row>
    <row r="6877" spans="3:8" x14ac:dyDescent="0.2">
      <c r="C6877" s="548"/>
      <c r="H6877" s="164"/>
    </row>
    <row r="6878" spans="3:8" x14ac:dyDescent="0.2">
      <c r="C6878" s="548"/>
      <c r="H6878" s="164"/>
    </row>
    <row r="6879" spans="3:8" x14ac:dyDescent="0.2">
      <c r="C6879" s="548"/>
      <c r="H6879" s="164"/>
    </row>
    <row r="6880" spans="3:8" x14ac:dyDescent="0.2">
      <c r="C6880" s="548"/>
      <c r="H6880" s="164"/>
    </row>
    <row r="6881" spans="3:8" x14ac:dyDescent="0.2">
      <c r="C6881" s="548"/>
      <c r="H6881" s="164"/>
    </row>
    <row r="6882" spans="3:8" x14ac:dyDescent="0.2">
      <c r="C6882" s="548"/>
      <c r="H6882" s="164"/>
    </row>
    <row r="6883" spans="3:8" x14ac:dyDescent="0.2">
      <c r="C6883" s="548"/>
      <c r="H6883" s="164"/>
    </row>
    <row r="6884" spans="3:8" x14ac:dyDescent="0.2">
      <c r="C6884" s="548"/>
      <c r="H6884" s="164"/>
    </row>
    <row r="6885" spans="3:8" x14ac:dyDescent="0.2">
      <c r="C6885" s="548"/>
      <c r="H6885" s="164"/>
    </row>
    <row r="6886" spans="3:8" x14ac:dyDescent="0.2">
      <c r="C6886" s="548"/>
      <c r="H6886" s="164"/>
    </row>
    <row r="6887" spans="3:8" x14ac:dyDescent="0.2">
      <c r="C6887" s="548"/>
      <c r="H6887" s="164"/>
    </row>
    <row r="6888" spans="3:8" x14ac:dyDescent="0.2">
      <c r="C6888" s="548"/>
      <c r="H6888" s="164"/>
    </row>
    <row r="6889" spans="3:8" x14ac:dyDescent="0.2">
      <c r="C6889" s="548"/>
      <c r="H6889" s="164"/>
    </row>
    <row r="6890" spans="3:8" x14ac:dyDescent="0.2">
      <c r="C6890" s="548"/>
      <c r="H6890" s="164"/>
    </row>
    <row r="6891" spans="3:8" x14ac:dyDescent="0.2">
      <c r="C6891" s="548"/>
      <c r="H6891" s="164"/>
    </row>
    <row r="6892" spans="3:8" x14ac:dyDescent="0.2">
      <c r="C6892" s="548"/>
      <c r="H6892" s="164"/>
    </row>
    <row r="6893" spans="3:8" x14ac:dyDescent="0.2">
      <c r="C6893" s="548"/>
      <c r="H6893" s="164"/>
    </row>
    <row r="6894" spans="3:8" x14ac:dyDescent="0.2">
      <c r="C6894" s="548"/>
      <c r="H6894" s="164"/>
    </row>
    <row r="6895" spans="3:8" x14ac:dyDescent="0.2">
      <c r="C6895" s="548"/>
      <c r="H6895" s="164"/>
    </row>
    <row r="6896" spans="3:8" x14ac:dyDescent="0.2">
      <c r="C6896" s="548"/>
      <c r="H6896" s="164"/>
    </row>
    <row r="6897" spans="3:8" x14ac:dyDescent="0.2">
      <c r="C6897" s="548"/>
      <c r="H6897" s="164"/>
    </row>
    <row r="6898" spans="3:8" x14ac:dyDescent="0.2">
      <c r="C6898" s="548"/>
      <c r="H6898" s="164"/>
    </row>
    <row r="6899" spans="3:8" x14ac:dyDescent="0.2">
      <c r="C6899" s="548"/>
      <c r="H6899" s="164"/>
    </row>
    <row r="6900" spans="3:8" x14ac:dyDescent="0.2">
      <c r="C6900" s="548"/>
      <c r="H6900" s="164"/>
    </row>
    <row r="6901" spans="3:8" x14ac:dyDescent="0.2">
      <c r="C6901" s="548"/>
      <c r="H6901" s="164"/>
    </row>
    <row r="6902" spans="3:8" x14ac:dyDescent="0.2">
      <c r="C6902" s="548"/>
      <c r="H6902" s="164"/>
    </row>
    <row r="6903" spans="3:8" x14ac:dyDescent="0.2">
      <c r="C6903" s="548"/>
      <c r="H6903" s="164"/>
    </row>
    <row r="6904" spans="3:8" x14ac:dyDescent="0.2">
      <c r="C6904" s="548"/>
      <c r="H6904" s="164"/>
    </row>
    <row r="6905" spans="3:8" x14ac:dyDescent="0.2">
      <c r="C6905" s="548"/>
      <c r="H6905" s="164"/>
    </row>
    <row r="6906" spans="3:8" x14ac:dyDescent="0.2">
      <c r="C6906" s="548"/>
      <c r="H6906" s="164"/>
    </row>
    <row r="6907" spans="3:8" x14ac:dyDescent="0.2">
      <c r="C6907" s="548"/>
      <c r="H6907" s="164"/>
    </row>
    <row r="6908" spans="3:8" x14ac:dyDescent="0.2">
      <c r="C6908" s="548"/>
      <c r="H6908" s="164"/>
    </row>
    <row r="6909" spans="3:8" x14ac:dyDescent="0.2">
      <c r="C6909" s="548"/>
      <c r="H6909" s="164"/>
    </row>
    <row r="6910" spans="3:8" x14ac:dyDescent="0.2">
      <c r="C6910" s="548"/>
      <c r="H6910" s="164"/>
    </row>
    <row r="6911" spans="3:8" x14ac:dyDescent="0.2">
      <c r="C6911" s="548"/>
      <c r="H6911" s="164"/>
    </row>
    <row r="6912" spans="3:8" x14ac:dyDescent="0.2">
      <c r="C6912" s="548"/>
      <c r="H6912" s="164"/>
    </row>
    <row r="6913" spans="3:8" x14ac:dyDescent="0.2">
      <c r="C6913" s="548"/>
      <c r="H6913" s="164"/>
    </row>
    <row r="6914" spans="3:8" x14ac:dyDescent="0.2">
      <c r="C6914" s="548"/>
      <c r="H6914" s="164"/>
    </row>
    <row r="6915" spans="3:8" x14ac:dyDescent="0.2">
      <c r="C6915" s="548"/>
      <c r="H6915" s="164"/>
    </row>
    <row r="6916" spans="3:8" x14ac:dyDescent="0.2">
      <c r="C6916" s="548"/>
      <c r="H6916" s="164"/>
    </row>
    <row r="6917" spans="3:8" x14ac:dyDescent="0.2">
      <c r="C6917" s="548"/>
      <c r="H6917" s="164"/>
    </row>
    <row r="6918" spans="3:8" x14ac:dyDescent="0.2">
      <c r="C6918" s="548"/>
      <c r="H6918" s="164"/>
    </row>
    <row r="6919" spans="3:8" x14ac:dyDescent="0.2">
      <c r="C6919" s="548"/>
      <c r="H6919" s="164"/>
    </row>
    <row r="6920" spans="3:8" x14ac:dyDescent="0.2">
      <c r="C6920" s="548"/>
      <c r="H6920" s="164"/>
    </row>
    <row r="6921" spans="3:8" x14ac:dyDescent="0.2">
      <c r="C6921" s="548"/>
      <c r="H6921" s="164"/>
    </row>
    <row r="6922" spans="3:8" x14ac:dyDescent="0.2">
      <c r="C6922" s="548"/>
      <c r="H6922" s="164"/>
    </row>
    <row r="6923" spans="3:8" x14ac:dyDescent="0.2">
      <c r="C6923" s="548"/>
      <c r="H6923" s="164"/>
    </row>
    <row r="6924" spans="3:8" x14ac:dyDescent="0.2">
      <c r="C6924" s="548"/>
      <c r="H6924" s="164"/>
    </row>
    <row r="6925" spans="3:8" x14ac:dyDescent="0.2">
      <c r="C6925" s="548"/>
      <c r="H6925" s="164"/>
    </row>
    <row r="6926" spans="3:8" x14ac:dyDescent="0.2">
      <c r="C6926" s="548"/>
      <c r="H6926" s="164"/>
    </row>
    <row r="6927" spans="3:8" x14ac:dyDescent="0.2">
      <c r="C6927" s="548"/>
      <c r="H6927" s="164"/>
    </row>
    <row r="6928" spans="3:8" x14ac:dyDescent="0.2">
      <c r="C6928" s="548"/>
      <c r="H6928" s="164"/>
    </row>
    <row r="6929" spans="3:8" x14ac:dyDescent="0.2">
      <c r="C6929" s="548"/>
      <c r="H6929" s="164"/>
    </row>
    <row r="6930" spans="3:8" x14ac:dyDescent="0.2">
      <c r="C6930" s="548"/>
      <c r="H6930" s="164"/>
    </row>
    <row r="6931" spans="3:8" x14ac:dyDescent="0.2">
      <c r="C6931" s="548"/>
      <c r="H6931" s="164"/>
    </row>
    <row r="6932" spans="3:8" x14ac:dyDescent="0.2">
      <c r="C6932" s="548"/>
      <c r="H6932" s="164"/>
    </row>
    <row r="6933" spans="3:8" x14ac:dyDescent="0.2">
      <c r="C6933" s="548"/>
      <c r="H6933" s="164"/>
    </row>
    <row r="6934" spans="3:8" x14ac:dyDescent="0.2">
      <c r="C6934" s="548"/>
      <c r="H6934" s="164"/>
    </row>
    <row r="6935" spans="3:8" x14ac:dyDescent="0.2">
      <c r="C6935" s="548"/>
      <c r="H6935" s="164"/>
    </row>
    <row r="6936" spans="3:8" x14ac:dyDescent="0.2">
      <c r="C6936" s="548"/>
      <c r="H6936" s="164"/>
    </row>
    <row r="6937" spans="3:8" x14ac:dyDescent="0.2">
      <c r="C6937" s="548"/>
      <c r="H6937" s="164"/>
    </row>
    <row r="6938" spans="3:8" x14ac:dyDescent="0.2">
      <c r="C6938" s="548"/>
      <c r="H6938" s="164"/>
    </row>
    <row r="6939" spans="3:8" x14ac:dyDescent="0.2">
      <c r="C6939" s="548"/>
      <c r="H6939" s="164"/>
    </row>
    <row r="6940" spans="3:8" x14ac:dyDescent="0.2">
      <c r="C6940" s="548"/>
      <c r="H6940" s="164"/>
    </row>
    <row r="6941" spans="3:8" x14ac:dyDescent="0.2">
      <c r="C6941" s="548"/>
      <c r="H6941" s="164"/>
    </row>
    <row r="6942" spans="3:8" x14ac:dyDescent="0.2">
      <c r="C6942" s="548"/>
      <c r="H6942" s="164"/>
    </row>
    <row r="6943" spans="3:8" x14ac:dyDescent="0.2">
      <c r="C6943" s="548"/>
      <c r="H6943" s="164"/>
    </row>
    <row r="6944" spans="3:8" x14ac:dyDescent="0.2">
      <c r="C6944" s="548"/>
      <c r="H6944" s="164"/>
    </row>
    <row r="6945" spans="3:8" x14ac:dyDescent="0.2">
      <c r="C6945" s="548"/>
      <c r="H6945" s="164"/>
    </row>
    <row r="6946" spans="3:8" x14ac:dyDescent="0.2">
      <c r="C6946" s="548"/>
      <c r="H6946" s="164"/>
    </row>
    <row r="6947" spans="3:8" x14ac:dyDescent="0.2">
      <c r="C6947" s="548"/>
      <c r="H6947" s="164"/>
    </row>
    <row r="6948" spans="3:8" x14ac:dyDescent="0.2">
      <c r="C6948" s="548"/>
      <c r="H6948" s="164"/>
    </row>
    <row r="6949" spans="3:8" x14ac:dyDescent="0.2">
      <c r="C6949" s="548"/>
      <c r="H6949" s="164"/>
    </row>
    <row r="6950" spans="3:8" x14ac:dyDescent="0.2">
      <c r="C6950" s="548"/>
      <c r="H6950" s="164"/>
    </row>
    <row r="6951" spans="3:8" x14ac:dyDescent="0.2">
      <c r="C6951" s="548"/>
      <c r="H6951" s="164"/>
    </row>
    <row r="6952" spans="3:8" x14ac:dyDescent="0.2">
      <c r="C6952" s="548"/>
      <c r="H6952" s="164"/>
    </row>
    <row r="6953" spans="3:8" x14ac:dyDescent="0.2">
      <c r="C6953" s="548"/>
      <c r="H6953" s="164"/>
    </row>
    <row r="6954" spans="3:8" x14ac:dyDescent="0.2">
      <c r="C6954" s="548"/>
      <c r="H6954" s="164"/>
    </row>
    <row r="6955" spans="3:8" x14ac:dyDescent="0.2">
      <c r="C6955" s="548"/>
      <c r="H6955" s="164"/>
    </row>
    <row r="6956" spans="3:8" x14ac:dyDescent="0.2">
      <c r="C6956" s="548"/>
      <c r="H6956" s="164"/>
    </row>
    <row r="6957" spans="3:8" x14ac:dyDescent="0.2">
      <c r="C6957" s="548"/>
      <c r="H6957" s="164"/>
    </row>
    <row r="6958" spans="3:8" x14ac:dyDescent="0.2">
      <c r="C6958" s="548"/>
      <c r="H6958" s="164"/>
    </row>
    <row r="6959" spans="3:8" x14ac:dyDescent="0.2">
      <c r="C6959" s="548"/>
      <c r="H6959" s="164"/>
    </row>
    <row r="6960" spans="3:8" x14ac:dyDescent="0.2">
      <c r="C6960" s="548"/>
      <c r="H6960" s="164"/>
    </row>
    <row r="6961" spans="3:8" x14ac:dyDescent="0.2">
      <c r="C6961" s="548"/>
      <c r="H6961" s="164"/>
    </row>
    <row r="6962" spans="3:8" x14ac:dyDescent="0.2">
      <c r="C6962" s="548"/>
      <c r="H6962" s="164"/>
    </row>
    <row r="6963" spans="3:8" x14ac:dyDescent="0.2">
      <c r="C6963" s="548"/>
      <c r="H6963" s="164"/>
    </row>
    <row r="6964" spans="3:8" x14ac:dyDescent="0.2">
      <c r="C6964" s="548"/>
      <c r="H6964" s="164"/>
    </row>
    <row r="6965" spans="3:8" x14ac:dyDescent="0.2">
      <c r="C6965" s="548"/>
      <c r="H6965" s="164"/>
    </row>
    <row r="6966" spans="3:8" x14ac:dyDescent="0.2">
      <c r="C6966" s="548"/>
      <c r="H6966" s="164"/>
    </row>
    <row r="6967" spans="3:8" x14ac:dyDescent="0.2">
      <c r="C6967" s="548"/>
      <c r="H6967" s="164"/>
    </row>
    <row r="6968" spans="3:8" x14ac:dyDescent="0.2">
      <c r="C6968" s="548"/>
      <c r="H6968" s="164"/>
    </row>
    <row r="6969" spans="3:8" x14ac:dyDescent="0.2">
      <c r="C6969" s="548"/>
      <c r="H6969" s="164"/>
    </row>
    <row r="6970" spans="3:8" x14ac:dyDescent="0.2">
      <c r="C6970" s="548"/>
      <c r="H6970" s="164"/>
    </row>
    <row r="6971" spans="3:8" x14ac:dyDescent="0.2">
      <c r="C6971" s="548"/>
      <c r="H6971" s="164"/>
    </row>
    <row r="6972" spans="3:8" x14ac:dyDescent="0.2">
      <c r="C6972" s="548"/>
      <c r="H6972" s="164"/>
    </row>
    <row r="6973" spans="3:8" x14ac:dyDescent="0.2">
      <c r="C6973" s="548"/>
      <c r="H6973" s="164"/>
    </row>
    <row r="6974" spans="3:8" x14ac:dyDescent="0.2">
      <c r="C6974" s="548"/>
      <c r="H6974" s="164"/>
    </row>
    <row r="6975" spans="3:8" x14ac:dyDescent="0.2">
      <c r="C6975" s="548"/>
      <c r="H6975" s="164"/>
    </row>
    <row r="6976" spans="3:8" x14ac:dyDescent="0.2">
      <c r="C6976" s="548"/>
      <c r="H6976" s="164"/>
    </row>
    <row r="6977" spans="3:8" x14ac:dyDescent="0.2">
      <c r="C6977" s="548"/>
      <c r="H6977" s="164"/>
    </row>
    <row r="6978" spans="3:8" x14ac:dyDescent="0.2">
      <c r="C6978" s="548"/>
      <c r="H6978" s="164"/>
    </row>
    <row r="6979" spans="3:8" x14ac:dyDescent="0.2">
      <c r="C6979" s="548"/>
      <c r="H6979" s="164"/>
    </row>
    <row r="6980" spans="3:8" x14ac:dyDescent="0.2">
      <c r="C6980" s="548"/>
      <c r="H6980" s="164"/>
    </row>
    <row r="6981" spans="3:8" x14ac:dyDescent="0.2">
      <c r="C6981" s="548"/>
      <c r="H6981" s="164"/>
    </row>
    <row r="6982" spans="3:8" x14ac:dyDescent="0.2">
      <c r="C6982" s="548"/>
      <c r="H6982" s="164"/>
    </row>
    <row r="6983" spans="3:8" x14ac:dyDescent="0.2">
      <c r="C6983" s="548"/>
      <c r="H6983" s="164"/>
    </row>
    <row r="6984" spans="3:8" x14ac:dyDescent="0.2">
      <c r="C6984" s="548"/>
      <c r="H6984" s="164"/>
    </row>
    <row r="6985" spans="3:8" x14ac:dyDescent="0.2">
      <c r="C6985" s="548"/>
      <c r="H6985" s="164"/>
    </row>
    <row r="6986" spans="3:8" x14ac:dyDescent="0.2">
      <c r="C6986" s="548"/>
      <c r="H6986" s="164"/>
    </row>
    <row r="6987" spans="3:8" x14ac:dyDescent="0.2">
      <c r="C6987" s="548"/>
      <c r="H6987" s="164"/>
    </row>
    <row r="6988" spans="3:8" x14ac:dyDescent="0.2">
      <c r="C6988" s="548"/>
      <c r="H6988" s="164"/>
    </row>
    <row r="6989" spans="3:8" x14ac:dyDescent="0.2">
      <c r="C6989" s="548"/>
      <c r="H6989" s="164"/>
    </row>
    <row r="6990" spans="3:8" x14ac:dyDescent="0.2">
      <c r="C6990" s="548"/>
      <c r="H6990" s="164"/>
    </row>
    <row r="6991" spans="3:8" x14ac:dyDescent="0.2">
      <c r="C6991" s="548"/>
      <c r="H6991" s="164"/>
    </row>
    <row r="6992" spans="3:8" x14ac:dyDescent="0.2">
      <c r="C6992" s="548"/>
      <c r="H6992" s="164"/>
    </row>
    <row r="6993" spans="3:8" x14ac:dyDescent="0.2">
      <c r="C6993" s="548"/>
      <c r="H6993" s="164"/>
    </row>
    <row r="6994" spans="3:8" x14ac:dyDescent="0.2">
      <c r="C6994" s="548"/>
      <c r="H6994" s="164"/>
    </row>
    <row r="6995" spans="3:8" x14ac:dyDescent="0.2">
      <c r="C6995" s="548"/>
      <c r="H6995" s="164"/>
    </row>
    <row r="6996" spans="3:8" x14ac:dyDescent="0.2">
      <c r="C6996" s="548"/>
      <c r="H6996" s="164"/>
    </row>
    <row r="6997" spans="3:8" x14ac:dyDescent="0.2">
      <c r="C6997" s="548"/>
      <c r="H6997" s="164"/>
    </row>
    <row r="6998" spans="3:8" x14ac:dyDescent="0.2">
      <c r="C6998" s="548"/>
      <c r="H6998" s="164"/>
    </row>
    <row r="6999" spans="3:8" x14ac:dyDescent="0.2">
      <c r="C6999" s="548"/>
      <c r="H6999" s="164"/>
    </row>
    <row r="7000" spans="3:8" x14ac:dyDescent="0.2">
      <c r="C7000" s="548"/>
      <c r="H7000" s="164"/>
    </row>
    <row r="7001" spans="3:8" x14ac:dyDescent="0.2">
      <c r="C7001" s="548"/>
      <c r="H7001" s="164"/>
    </row>
    <row r="7002" spans="3:8" x14ac:dyDescent="0.2">
      <c r="C7002" s="548"/>
      <c r="H7002" s="164"/>
    </row>
    <row r="7003" spans="3:8" x14ac:dyDescent="0.2">
      <c r="C7003" s="548"/>
      <c r="H7003" s="164"/>
    </row>
    <row r="7004" spans="3:8" x14ac:dyDescent="0.2">
      <c r="C7004" s="548"/>
      <c r="H7004" s="164"/>
    </row>
    <row r="7005" spans="3:8" x14ac:dyDescent="0.2">
      <c r="C7005" s="548"/>
      <c r="H7005" s="164"/>
    </row>
    <row r="7006" spans="3:8" x14ac:dyDescent="0.2">
      <c r="C7006" s="548"/>
      <c r="H7006" s="164"/>
    </row>
    <row r="7007" spans="3:8" x14ac:dyDescent="0.2">
      <c r="C7007" s="548"/>
      <c r="H7007" s="164"/>
    </row>
    <row r="7008" spans="3:8" x14ac:dyDescent="0.2">
      <c r="C7008" s="548"/>
      <c r="H7008" s="164"/>
    </row>
    <row r="7009" spans="3:8" x14ac:dyDescent="0.2">
      <c r="C7009" s="548"/>
      <c r="H7009" s="164"/>
    </row>
    <row r="7010" spans="3:8" x14ac:dyDescent="0.2">
      <c r="C7010" s="548"/>
      <c r="H7010" s="164"/>
    </row>
    <row r="7011" spans="3:8" x14ac:dyDescent="0.2">
      <c r="C7011" s="548"/>
      <c r="H7011" s="164"/>
    </row>
    <row r="7012" spans="3:8" x14ac:dyDescent="0.2">
      <c r="C7012" s="548"/>
      <c r="H7012" s="164"/>
    </row>
    <row r="7013" spans="3:8" x14ac:dyDescent="0.2">
      <c r="C7013" s="548"/>
      <c r="H7013" s="164"/>
    </row>
    <row r="7014" spans="3:8" x14ac:dyDescent="0.2">
      <c r="C7014" s="548"/>
      <c r="H7014" s="164"/>
    </row>
    <row r="7015" spans="3:8" x14ac:dyDescent="0.2">
      <c r="C7015" s="548"/>
      <c r="H7015" s="164"/>
    </row>
    <row r="7016" spans="3:8" x14ac:dyDescent="0.2">
      <c r="C7016" s="548"/>
      <c r="H7016" s="164"/>
    </row>
    <row r="7017" spans="3:8" x14ac:dyDescent="0.2">
      <c r="C7017" s="548"/>
      <c r="H7017" s="164"/>
    </row>
    <row r="7018" spans="3:8" x14ac:dyDescent="0.2">
      <c r="C7018" s="548"/>
      <c r="H7018" s="164"/>
    </row>
    <row r="7019" spans="3:8" x14ac:dyDescent="0.2">
      <c r="C7019" s="548"/>
      <c r="H7019" s="164"/>
    </row>
    <row r="7020" spans="3:8" x14ac:dyDescent="0.2">
      <c r="C7020" s="548"/>
      <c r="H7020" s="164"/>
    </row>
    <row r="7021" spans="3:8" x14ac:dyDescent="0.2">
      <c r="C7021" s="548"/>
      <c r="H7021" s="164"/>
    </row>
    <row r="7022" spans="3:8" x14ac:dyDescent="0.2">
      <c r="C7022" s="548"/>
      <c r="H7022" s="164"/>
    </row>
    <row r="7023" spans="3:8" x14ac:dyDescent="0.2">
      <c r="C7023" s="548"/>
      <c r="H7023" s="164"/>
    </row>
    <row r="7024" spans="3:8" x14ac:dyDescent="0.2">
      <c r="C7024" s="548"/>
      <c r="H7024" s="164"/>
    </row>
    <row r="7025" spans="3:8" x14ac:dyDescent="0.2">
      <c r="C7025" s="548"/>
      <c r="H7025" s="164"/>
    </row>
    <row r="7026" spans="3:8" x14ac:dyDescent="0.2">
      <c r="C7026" s="548"/>
      <c r="H7026" s="164"/>
    </row>
    <row r="7027" spans="3:8" x14ac:dyDescent="0.2">
      <c r="C7027" s="548"/>
      <c r="H7027" s="164"/>
    </row>
    <row r="7028" spans="3:8" x14ac:dyDescent="0.2">
      <c r="C7028" s="548"/>
      <c r="H7028" s="164"/>
    </row>
    <row r="7029" spans="3:8" x14ac:dyDescent="0.2">
      <c r="C7029" s="548"/>
      <c r="H7029" s="164"/>
    </row>
    <row r="7030" spans="3:8" x14ac:dyDescent="0.2">
      <c r="C7030" s="548"/>
      <c r="H7030" s="164"/>
    </row>
    <row r="7031" spans="3:8" x14ac:dyDescent="0.2">
      <c r="C7031" s="548"/>
      <c r="H7031" s="164"/>
    </row>
    <row r="7032" spans="3:8" x14ac:dyDescent="0.2">
      <c r="C7032" s="548"/>
      <c r="H7032" s="164"/>
    </row>
    <row r="7033" spans="3:8" x14ac:dyDescent="0.2">
      <c r="C7033" s="548"/>
      <c r="H7033" s="164"/>
    </row>
    <row r="7034" spans="3:8" x14ac:dyDescent="0.2">
      <c r="C7034" s="548"/>
      <c r="H7034" s="164"/>
    </row>
    <row r="7035" spans="3:8" x14ac:dyDescent="0.2">
      <c r="C7035" s="548"/>
      <c r="H7035" s="164"/>
    </row>
    <row r="7036" spans="3:8" x14ac:dyDescent="0.2">
      <c r="C7036" s="548"/>
      <c r="H7036" s="164"/>
    </row>
    <row r="7037" spans="3:8" x14ac:dyDescent="0.2">
      <c r="C7037" s="548"/>
      <c r="H7037" s="164"/>
    </row>
    <row r="7038" spans="3:8" x14ac:dyDescent="0.2">
      <c r="C7038" s="548"/>
      <c r="H7038" s="164"/>
    </row>
    <row r="7039" spans="3:8" x14ac:dyDescent="0.2">
      <c r="C7039" s="548"/>
      <c r="H7039" s="164"/>
    </row>
    <row r="7040" spans="3:8" x14ac:dyDescent="0.2">
      <c r="C7040" s="548"/>
      <c r="H7040" s="164"/>
    </row>
    <row r="7041" spans="3:8" x14ac:dyDescent="0.2">
      <c r="C7041" s="548"/>
      <c r="H7041" s="164"/>
    </row>
    <row r="7042" spans="3:8" x14ac:dyDescent="0.2">
      <c r="C7042" s="548"/>
      <c r="H7042" s="164"/>
    </row>
    <row r="7043" spans="3:8" x14ac:dyDescent="0.2">
      <c r="C7043" s="548"/>
      <c r="H7043" s="164"/>
    </row>
    <row r="7044" spans="3:8" x14ac:dyDescent="0.2">
      <c r="C7044" s="548"/>
      <c r="H7044" s="164"/>
    </row>
    <row r="7045" spans="3:8" x14ac:dyDescent="0.2">
      <c r="C7045" s="548"/>
      <c r="H7045" s="164"/>
    </row>
    <row r="7046" spans="3:8" x14ac:dyDescent="0.2">
      <c r="C7046" s="548"/>
      <c r="H7046" s="164"/>
    </row>
    <row r="7047" spans="3:8" x14ac:dyDescent="0.2">
      <c r="C7047" s="548"/>
      <c r="H7047" s="164"/>
    </row>
    <row r="7048" spans="3:8" x14ac:dyDescent="0.2">
      <c r="C7048" s="548"/>
      <c r="H7048" s="164"/>
    </row>
    <row r="7049" spans="3:8" x14ac:dyDescent="0.2">
      <c r="C7049" s="548"/>
      <c r="H7049" s="164"/>
    </row>
    <row r="7050" spans="3:8" x14ac:dyDescent="0.2">
      <c r="C7050" s="548"/>
      <c r="H7050" s="164"/>
    </row>
    <row r="7051" spans="3:8" x14ac:dyDescent="0.2">
      <c r="C7051" s="548"/>
      <c r="H7051" s="164"/>
    </row>
    <row r="7052" spans="3:8" x14ac:dyDescent="0.2">
      <c r="C7052" s="548"/>
      <c r="H7052" s="164"/>
    </row>
    <row r="7053" spans="3:8" x14ac:dyDescent="0.2">
      <c r="C7053" s="548"/>
      <c r="H7053" s="164"/>
    </row>
    <row r="7054" spans="3:8" x14ac:dyDescent="0.2">
      <c r="C7054" s="548"/>
      <c r="H7054" s="164"/>
    </row>
    <row r="7055" spans="3:8" x14ac:dyDescent="0.2">
      <c r="C7055" s="548"/>
      <c r="H7055" s="164"/>
    </row>
    <row r="7056" spans="3:8" x14ac:dyDescent="0.2">
      <c r="C7056" s="548"/>
      <c r="H7056" s="164"/>
    </row>
    <row r="7057" spans="3:8" x14ac:dyDescent="0.2">
      <c r="C7057" s="548"/>
      <c r="H7057" s="164"/>
    </row>
    <row r="7058" spans="3:8" x14ac:dyDescent="0.2">
      <c r="C7058" s="548"/>
      <c r="H7058" s="164"/>
    </row>
    <row r="7059" spans="3:8" x14ac:dyDescent="0.2">
      <c r="C7059" s="548"/>
      <c r="H7059" s="164"/>
    </row>
    <row r="7060" spans="3:8" x14ac:dyDescent="0.2">
      <c r="C7060" s="548"/>
      <c r="H7060" s="164"/>
    </row>
    <row r="7061" spans="3:8" x14ac:dyDescent="0.2">
      <c r="C7061" s="548"/>
      <c r="H7061" s="164"/>
    </row>
    <row r="7062" spans="3:8" x14ac:dyDescent="0.2">
      <c r="C7062" s="548"/>
      <c r="H7062" s="164"/>
    </row>
    <row r="7063" spans="3:8" x14ac:dyDescent="0.2">
      <c r="C7063" s="548"/>
      <c r="H7063" s="164"/>
    </row>
    <row r="7064" spans="3:8" x14ac:dyDescent="0.2">
      <c r="C7064" s="548"/>
      <c r="H7064" s="164"/>
    </row>
    <row r="7065" spans="3:8" x14ac:dyDescent="0.2">
      <c r="C7065" s="548"/>
      <c r="H7065" s="164"/>
    </row>
    <row r="7066" spans="3:8" x14ac:dyDescent="0.2">
      <c r="C7066" s="548"/>
      <c r="H7066" s="164"/>
    </row>
    <row r="7067" spans="3:8" x14ac:dyDescent="0.2">
      <c r="C7067" s="548"/>
      <c r="H7067" s="164"/>
    </row>
    <row r="7068" spans="3:8" x14ac:dyDescent="0.2">
      <c r="C7068" s="548"/>
      <c r="H7068" s="164"/>
    </row>
    <row r="7069" spans="3:8" x14ac:dyDescent="0.2">
      <c r="C7069" s="548"/>
      <c r="H7069" s="164"/>
    </row>
    <row r="7070" spans="3:8" x14ac:dyDescent="0.2">
      <c r="C7070" s="548"/>
      <c r="H7070" s="164"/>
    </row>
    <row r="7071" spans="3:8" x14ac:dyDescent="0.2">
      <c r="C7071" s="548"/>
      <c r="H7071" s="164"/>
    </row>
    <row r="7072" spans="3:8" x14ac:dyDescent="0.2">
      <c r="C7072" s="548"/>
      <c r="H7072" s="164"/>
    </row>
    <row r="7073" spans="3:8" x14ac:dyDescent="0.2">
      <c r="C7073" s="548"/>
      <c r="H7073" s="164"/>
    </row>
    <row r="7074" spans="3:8" x14ac:dyDescent="0.2">
      <c r="C7074" s="548"/>
      <c r="H7074" s="164"/>
    </row>
    <row r="7075" spans="3:8" x14ac:dyDescent="0.2">
      <c r="C7075" s="548"/>
      <c r="H7075" s="164"/>
    </row>
    <row r="7076" spans="3:8" x14ac:dyDescent="0.2">
      <c r="C7076" s="548"/>
      <c r="H7076" s="164"/>
    </row>
    <row r="7077" spans="3:8" x14ac:dyDescent="0.2">
      <c r="C7077" s="548"/>
      <c r="H7077" s="164"/>
    </row>
    <row r="7078" spans="3:8" x14ac:dyDescent="0.2">
      <c r="C7078" s="548"/>
      <c r="H7078" s="164"/>
    </row>
    <row r="7079" spans="3:8" x14ac:dyDescent="0.2">
      <c r="C7079" s="548"/>
      <c r="H7079" s="164"/>
    </row>
    <row r="7080" spans="3:8" x14ac:dyDescent="0.2">
      <c r="C7080" s="548"/>
      <c r="H7080" s="164"/>
    </row>
    <row r="7081" spans="3:8" x14ac:dyDescent="0.2">
      <c r="C7081" s="548"/>
      <c r="H7081" s="164"/>
    </row>
    <row r="7082" spans="3:8" x14ac:dyDescent="0.2">
      <c r="C7082" s="548"/>
      <c r="H7082" s="164"/>
    </row>
    <row r="7083" spans="3:8" x14ac:dyDescent="0.2">
      <c r="C7083" s="548"/>
      <c r="H7083" s="164"/>
    </row>
    <row r="7084" spans="3:8" x14ac:dyDescent="0.2">
      <c r="C7084" s="548"/>
      <c r="H7084" s="164"/>
    </row>
    <row r="7085" spans="3:8" x14ac:dyDescent="0.2">
      <c r="C7085" s="548"/>
      <c r="H7085" s="164"/>
    </row>
    <row r="7086" spans="3:8" x14ac:dyDescent="0.2">
      <c r="C7086" s="548"/>
      <c r="H7086" s="164"/>
    </row>
    <row r="7087" spans="3:8" x14ac:dyDescent="0.2">
      <c r="C7087" s="548"/>
      <c r="H7087" s="164"/>
    </row>
    <row r="7088" spans="3:8" x14ac:dyDescent="0.2">
      <c r="C7088" s="548"/>
      <c r="H7088" s="164"/>
    </row>
    <row r="7089" spans="3:8" x14ac:dyDescent="0.2">
      <c r="C7089" s="548"/>
      <c r="H7089" s="164"/>
    </row>
    <row r="7090" spans="3:8" x14ac:dyDescent="0.2">
      <c r="C7090" s="548"/>
      <c r="H7090" s="164"/>
    </row>
    <row r="7091" spans="3:8" x14ac:dyDescent="0.2">
      <c r="C7091" s="548"/>
      <c r="H7091" s="164"/>
    </row>
    <row r="7092" spans="3:8" x14ac:dyDescent="0.2">
      <c r="C7092" s="548"/>
      <c r="H7092" s="164"/>
    </row>
    <row r="7093" spans="3:8" x14ac:dyDescent="0.2">
      <c r="C7093" s="548"/>
      <c r="H7093" s="164"/>
    </row>
    <row r="7094" spans="3:8" x14ac:dyDescent="0.2">
      <c r="C7094" s="548"/>
      <c r="H7094" s="164"/>
    </row>
    <row r="7095" spans="3:8" x14ac:dyDescent="0.2">
      <c r="C7095" s="548"/>
      <c r="H7095" s="164"/>
    </row>
    <row r="7096" spans="3:8" x14ac:dyDescent="0.2">
      <c r="C7096" s="548"/>
      <c r="H7096" s="164"/>
    </row>
    <row r="7097" spans="3:8" x14ac:dyDescent="0.2">
      <c r="C7097" s="548"/>
      <c r="H7097" s="164"/>
    </row>
    <row r="7098" spans="3:8" x14ac:dyDescent="0.2">
      <c r="C7098" s="548"/>
      <c r="H7098" s="164"/>
    </row>
    <row r="7099" spans="3:8" x14ac:dyDescent="0.2">
      <c r="C7099" s="548"/>
      <c r="H7099" s="164"/>
    </row>
    <row r="7100" spans="3:8" x14ac:dyDescent="0.2">
      <c r="C7100" s="548"/>
      <c r="H7100" s="164"/>
    </row>
    <row r="7101" spans="3:8" x14ac:dyDescent="0.2">
      <c r="C7101" s="548"/>
      <c r="H7101" s="164"/>
    </row>
    <row r="7102" spans="3:8" x14ac:dyDescent="0.2">
      <c r="C7102" s="548"/>
      <c r="H7102" s="164"/>
    </row>
    <row r="7103" spans="3:8" x14ac:dyDescent="0.2">
      <c r="C7103" s="548"/>
      <c r="H7103" s="164"/>
    </row>
    <row r="7104" spans="3:8" x14ac:dyDescent="0.2">
      <c r="C7104" s="548"/>
      <c r="H7104" s="164"/>
    </row>
    <row r="7105" spans="3:8" x14ac:dyDescent="0.2">
      <c r="C7105" s="548"/>
      <c r="H7105" s="164"/>
    </row>
    <row r="7106" spans="3:8" x14ac:dyDescent="0.2">
      <c r="C7106" s="548"/>
      <c r="H7106" s="164"/>
    </row>
    <row r="7107" spans="3:8" x14ac:dyDescent="0.2">
      <c r="C7107" s="548"/>
      <c r="H7107" s="164"/>
    </row>
    <row r="7108" spans="3:8" x14ac:dyDescent="0.2">
      <c r="C7108" s="548"/>
      <c r="H7108" s="164"/>
    </row>
    <row r="7109" spans="3:8" x14ac:dyDescent="0.2">
      <c r="C7109" s="548"/>
      <c r="H7109" s="164"/>
    </row>
    <row r="7110" spans="3:8" x14ac:dyDescent="0.2">
      <c r="C7110" s="548"/>
      <c r="H7110" s="164"/>
    </row>
    <row r="7111" spans="3:8" x14ac:dyDescent="0.2">
      <c r="C7111" s="548"/>
      <c r="H7111" s="164"/>
    </row>
    <row r="7112" spans="3:8" x14ac:dyDescent="0.2">
      <c r="C7112" s="548"/>
      <c r="H7112" s="164"/>
    </row>
    <row r="7113" spans="3:8" x14ac:dyDescent="0.2">
      <c r="C7113" s="548"/>
      <c r="H7113" s="164"/>
    </row>
    <row r="7114" spans="3:8" x14ac:dyDescent="0.2">
      <c r="C7114" s="548"/>
      <c r="H7114" s="164"/>
    </row>
    <row r="7115" spans="3:8" x14ac:dyDescent="0.2">
      <c r="C7115" s="548"/>
      <c r="H7115" s="164"/>
    </row>
    <row r="7116" spans="3:8" x14ac:dyDescent="0.2">
      <c r="C7116" s="548"/>
      <c r="H7116" s="164"/>
    </row>
    <row r="7117" spans="3:8" x14ac:dyDescent="0.2">
      <c r="C7117" s="548"/>
      <c r="H7117" s="164"/>
    </row>
    <row r="7118" spans="3:8" x14ac:dyDescent="0.2">
      <c r="C7118" s="548"/>
      <c r="H7118" s="164"/>
    </row>
    <row r="7119" spans="3:8" x14ac:dyDescent="0.2">
      <c r="C7119" s="548"/>
      <c r="H7119" s="164"/>
    </row>
    <row r="7120" spans="3:8" x14ac:dyDescent="0.2">
      <c r="C7120" s="548"/>
      <c r="H7120" s="164"/>
    </row>
    <row r="7121" spans="3:8" x14ac:dyDescent="0.2">
      <c r="C7121" s="548"/>
      <c r="H7121" s="164"/>
    </row>
    <row r="7122" spans="3:8" x14ac:dyDescent="0.2">
      <c r="C7122" s="548"/>
      <c r="H7122" s="164"/>
    </row>
    <row r="7123" spans="3:8" x14ac:dyDescent="0.2">
      <c r="C7123" s="548"/>
      <c r="H7123" s="164"/>
    </row>
    <row r="7124" spans="3:8" x14ac:dyDescent="0.2">
      <c r="C7124" s="548"/>
      <c r="H7124" s="164"/>
    </row>
    <row r="7125" spans="3:8" x14ac:dyDescent="0.2">
      <c r="C7125" s="548"/>
      <c r="H7125" s="164"/>
    </row>
    <row r="7126" spans="3:8" x14ac:dyDescent="0.2">
      <c r="C7126" s="548"/>
      <c r="H7126" s="164"/>
    </row>
    <row r="7127" spans="3:8" x14ac:dyDescent="0.2">
      <c r="C7127" s="548"/>
      <c r="H7127" s="164"/>
    </row>
    <row r="7128" spans="3:8" x14ac:dyDescent="0.2">
      <c r="C7128" s="548"/>
      <c r="H7128" s="164"/>
    </row>
    <row r="7129" spans="3:8" x14ac:dyDescent="0.2">
      <c r="C7129" s="548"/>
      <c r="H7129" s="164"/>
    </row>
    <row r="7130" spans="3:8" x14ac:dyDescent="0.2">
      <c r="C7130" s="548"/>
      <c r="H7130" s="164"/>
    </row>
    <row r="7131" spans="3:8" x14ac:dyDescent="0.2">
      <c r="C7131" s="548"/>
      <c r="H7131" s="164"/>
    </row>
    <row r="7132" spans="3:8" x14ac:dyDescent="0.2">
      <c r="C7132" s="548"/>
      <c r="H7132" s="164"/>
    </row>
    <row r="7133" spans="3:8" x14ac:dyDescent="0.2">
      <c r="C7133" s="548"/>
      <c r="H7133" s="164"/>
    </row>
    <row r="7134" spans="3:8" x14ac:dyDescent="0.2">
      <c r="C7134" s="548"/>
      <c r="H7134" s="164"/>
    </row>
    <row r="7135" spans="3:8" x14ac:dyDescent="0.2">
      <c r="C7135" s="548"/>
      <c r="H7135" s="164"/>
    </row>
    <row r="7136" spans="3:8" x14ac:dyDescent="0.2">
      <c r="C7136" s="548"/>
      <c r="H7136" s="164"/>
    </row>
    <row r="7137" spans="3:8" x14ac:dyDescent="0.2">
      <c r="C7137" s="548"/>
      <c r="H7137" s="164"/>
    </row>
    <row r="7138" spans="3:8" x14ac:dyDescent="0.2">
      <c r="C7138" s="548"/>
      <c r="H7138" s="164"/>
    </row>
    <row r="7139" spans="3:8" x14ac:dyDescent="0.2">
      <c r="C7139" s="548"/>
      <c r="H7139" s="164"/>
    </row>
    <row r="7140" spans="3:8" x14ac:dyDescent="0.2">
      <c r="C7140" s="548"/>
      <c r="H7140" s="164"/>
    </row>
    <row r="7141" spans="3:8" x14ac:dyDescent="0.2">
      <c r="C7141" s="548"/>
      <c r="H7141" s="164"/>
    </row>
    <row r="7142" spans="3:8" x14ac:dyDescent="0.2">
      <c r="C7142" s="548"/>
      <c r="H7142" s="164"/>
    </row>
    <row r="7143" spans="3:8" x14ac:dyDescent="0.2">
      <c r="C7143" s="548"/>
      <c r="H7143" s="164"/>
    </row>
    <row r="7144" spans="3:8" x14ac:dyDescent="0.2">
      <c r="C7144" s="548"/>
      <c r="H7144" s="164"/>
    </row>
    <row r="7145" spans="3:8" x14ac:dyDescent="0.2">
      <c r="C7145" s="548"/>
      <c r="H7145" s="164"/>
    </row>
    <row r="7146" spans="3:8" x14ac:dyDescent="0.2">
      <c r="C7146" s="548"/>
      <c r="H7146" s="164"/>
    </row>
    <row r="7147" spans="3:8" x14ac:dyDescent="0.2">
      <c r="C7147" s="548"/>
      <c r="H7147" s="164"/>
    </row>
    <row r="7148" spans="3:8" x14ac:dyDescent="0.2">
      <c r="C7148" s="548"/>
      <c r="H7148" s="164"/>
    </row>
    <row r="7149" spans="3:8" x14ac:dyDescent="0.2">
      <c r="C7149" s="548"/>
      <c r="H7149" s="164"/>
    </row>
    <row r="7150" spans="3:8" x14ac:dyDescent="0.2">
      <c r="C7150" s="548"/>
      <c r="H7150" s="164"/>
    </row>
    <row r="7151" spans="3:8" x14ac:dyDescent="0.2">
      <c r="C7151" s="548"/>
      <c r="H7151" s="164"/>
    </row>
    <row r="7152" spans="3:8" x14ac:dyDescent="0.2">
      <c r="C7152" s="548"/>
      <c r="H7152" s="164"/>
    </row>
    <row r="7153" spans="3:8" x14ac:dyDescent="0.2">
      <c r="C7153" s="548"/>
      <c r="H7153" s="164"/>
    </row>
    <row r="7154" spans="3:8" x14ac:dyDescent="0.2">
      <c r="C7154" s="548"/>
      <c r="H7154" s="164"/>
    </row>
    <row r="7155" spans="3:8" x14ac:dyDescent="0.2">
      <c r="C7155" s="548"/>
      <c r="H7155" s="164"/>
    </row>
    <row r="7156" spans="3:8" x14ac:dyDescent="0.2">
      <c r="C7156" s="548"/>
      <c r="H7156" s="164"/>
    </row>
    <row r="7157" spans="3:8" x14ac:dyDescent="0.2">
      <c r="C7157" s="548"/>
      <c r="H7157" s="164"/>
    </row>
    <row r="7158" spans="3:8" x14ac:dyDescent="0.2">
      <c r="C7158" s="548"/>
      <c r="H7158" s="164"/>
    </row>
    <row r="7159" spans="3:8" x14ac:dyDescent="0.2">
      <c r="C7159" s="548"/>
      <c r="H7159" s="164"/>
    </row>
    <row r="7160" spans="3:8" x14ac:dyDescent="0.2">
      <c r="C7160" s="548"/>
      <c r="H7160" s="164"/>
    </row>
    <row r="7161" spans="3:8" x14ac:dyDescent="0.2">
      <c r="C7161" s="548"/>
      <c r="H7161" s="164"/>
    </row>
    <row r="7162" spans="3:8" x14ac:dyDescent="0.2">
      <c r="C7162" s="548"/>
      <c r="H7162" s="164"/>
    </row>
    <row r="7163" spans="3:8" x14ac:dyDescent="0.2">
      <c r="C7163" s="548"/>
      <c r="H7163" s="164"/>
    </row>
    <row r="7164" spans="3:8" x14ac:dyDescent="0.2">
      <c r="C7164" s="548"/>
      <c r="H7164" s="164"/>
    </row>
    <row r="7165" spans="3:8" x14ac:dyDescent="0.2">
      <c r="C7165" s="548"/>
      <c r="H7165" s="164"/>
    </row>
    <row r="7166" spans="3:8" x14ac:dyDescent="0.2">
      <c r="C7166" s="548"/>
      <c r="H7166" s="164"/>
    </row>
    <row r="7167" spans="3:8" x14ac:dyDescent="0.2">
      <c r="C7167" s="548"/>
      <c r="H7167" s="164"/>
    </row>
    <row r="7168" spans="3:8" x14ac:dyDescent="0.2">
      <c r="C7168" s="548"/>
      <c r="H7168" s="164"/>
    </row>
    <row r="7169" spans="3:8" x14ac:dyDescent="0.2">
      <c r="C7169" s="548"/>
      <c r="H7169" s="164"/>
    </row>
    <row r="7170" spans="3:8" x14ac:dyDescent="0.2">
      <c r="C7170" s="548"/>
      <c r="H7170" s="164"/>
    </row>
    <row r="7171" spans="3:8" x14ac:dyDescent="0.2">
      <c r="C7171" s="548"/>
      <c r="H7171" s="164"/>
    </row>
    <row r="7172" spans="3:8" x14ac:dyDescent="0.2">
      <c r="C7172" s="548"/>
      <c r="H7172" s="164"/>
    </row>
    <row r="7173" spans="3:8" x14ac:dyDescent="0.2">
      <c r="C7173" s="548"/>
      <c r="H7173" s="164"/>
    </row>
    <row r="7174" spans="3:8" x14ac:dyDescent="0.2">
      <c r="C7174" s="548"/>
      <c r="H7174" s="164"/>
    </row>
    <row r="7175" spans="3:8" x14ac:dyDescent="0.2">
      <c r="C7175" s="548"/>
      <c r="H7175" s="164"/>
    </row>
    <row r="7176" spans="3:8" x14ac:dyDescent="0.2">
      <c r="C7176" s="548"/>
      <c r="H7176" s="164"/>
    </row>
    <row r="7177" spans="3:8" x14ac:dyDescent="0.2">
      <c r="C7177" s="548"/>
      <c r="H7177" s="164"/>
    </row>
    <row r="7178" spans="3:8" x14ac:dyDescent="0.2">
      <c r="C7178" s="548"/>
      <c r="H7178" s="164"/>
    </row>
    <row r="7179" spans="3:8" x14ac:dyDescent="0.2">
      <c r="C7179" s="548"/>
      <c r="H7179" s="164"/>
    </row>
    <row r="7180" spans="3:8" x14ac:dyDescent="0.2">
      <c r="C7180" s="548"/>
      <c r="H7180" s="164"/>
    </row>
    <row r="7181" spans="3:8" x14ac:dyDescent="0.2">
      <c r="C7181" s="548"/>
      <c r="H7181" s="164"/>
    </row>
    <row r="7182" spans="3:8" x14ac:dyDescent="0.2">
      <c r="C7182" s="548"/>
      <c r="H7182" s="164"/>
    </row>
    <row r="7183" spans="3:8" x14ac:dyDescent="0.2">
      <c r="C7183" s="548"/>
      <c r="H7183" s="164"/>
    </row>
    <row r="7184" spans="3:8" x14ac:dyDescent="0.2">
      <c r="C7184" s="548"/>
      <c r="H7184" s="164"/>
    </row>
    <row r="7185" spans="3:8" x14ac:dyDescent="0.2">
      <c r="C7185" s="548"/>
      <c r="H7185" s="164"/>
    </row>
    <row r="7186" spans="3:8" x14ac:dyDescent="0.2">
      <c r="C7186" s="548"/>
      <c r="H7186" s="164"/>
    </row>
    <row r="7187" spans="3:8" x14ac:dyDescent="0.2">
      <c r="C7187" s="548"/>
      <c r="H7187" s="164"/>
    </row>
    <row r="7188" spans="3:8" x14ac:dyDescent="0.2">
      <c r="C7188" s="548"/>
      <c r="H7188" s="164"/>
    </row>
    <row r="7189" spans="3:8" x14ac:dyDescent="0.2">
      <c r="C7189" s="548"/>
      <c r="H7189" s="164"/>
    </row>
    <row r="7190" spans="3:8" x14ac:dyDescent="0.2">
      <c r="C7190" s="548"/>
      <c r="H7190" s="164"/>
    </row>
    <row r="7191" spans="3:8" x14ac:dyDescent="0.2">
      <c r="C7191" s="548"/>
      <c r="H7191" s="164"/>
    </row>
    <row r="7192" spans="3:8" x14ac:dyDescent="0.2">
      <c r="C7192" s="548"/>
      <c r="H7192" s="164"/>
    </row>
    <row r="7193" spans="3:8" x14ac:dyDescent="0.2">
      <c r="C7193" s="548"/>
      <c r="H7193" s="164"/>
    </row>
    <row r="7194" spans="3:8" x14ac:dyDescent="0.2">
      <c r="C7194" s="548"/>
      <c r="H7194" s="164"/>
    </row>
    <row r="7195" spans="3:8" x14ac:dyDescent="0.2">
      <c r="C7195" s="548"/>
      <c r="H7195" s="164"/>
    </row>
    <row r="7196" spans="3:8" x14ac:dyDescent="0.2">
      <c r="C7196" s="548"/>
      <c r="H7196" s="164"/>
    </row>
    <row r="7197" spans="3:8" x14ac:dyDescent="0.2">
      <c r="C7197" s="548"/>
      <c r="H7197" s="164"/>
    </row>
    <row r="7198" spans="3:8" x14ac:dyDescent="0.2">
      <c r="C7198" s="548"/>
      <c r="H7198" s="164"/>
    </row>
    <row r="7199" spans="3:8" x14ac:dyDescent="0.2">
      <c r="C7199" s="548"/>
      <c r="H7199" s="164"/>
    </row>
    <row r="7200" spans="3:8" x14ac:dyDescent="0.2">
      <c r="C7200" s="548"/>
      <c r="H7200" s="164"/>
    </row>
    <row r="7201" spans="3:8" x14ac:dyDescent="0.2">
      <c r="C7201" s="548"/>
      <c r="H7201" s="164"/>
    </row>
    <row r="7202" spans="3:8" x14ac:dyDescent="0.2">
      <c r="C7202" s="548"/>
      <c r="H7202" s="164"/>
    </row>
    <row r="7203" spans="3:8" x14ac:dyDescent="0.2">
      <c r="C7203" s="548"/>
      <c r="H7203" s="164"/>
    </row>
    <row r="7204" spans="3:8" x14ac:dyDescent="0.2">
      <c r="C7204" s="548"/>
      <c r="H7204" s="164"/>
    </row>
    <row r="7205" spans="3:8" x14ac:dyDescent="0.2">
      <c r="C7205" s="548"/>
      <c r="H7205" s="164"/>
    </row>
    <row r="7206" spans="3:8" x14ac:dyDescent="0.2">
      <c r="C7206" s="548"/>
      <c r="H7206" s="164"/>
    </row>
    <row r="7207" spans="3:8" x14ac:dyDescent="0.2">
      <c r="C7207" s="548"/>
      <c r="H7207" s="164"/>
    </row>
    <row r="7208" spans="3:8" x14ac:dyDescent="0.2">
      <c r="C7208" s="548"/>
      <c r="H7208" s="164"/>
    </row>
    <row r="7209" spans="3:8" x14ac:dyDescent="0.2">
      <c r="C7209" s="548"/>
      <c r="H7209" s="164"/>
    </row>
    <row r="7210" spans="3:8" x14ac:dyDescent="0.2">
      <c r="C7210" s="548"/>
      <c r="H7210" s="164"/>
    </row>
    <row r="7211" spans="3:8" x14ac:dyDescent="0.2">
      <c r="C7211" s="548"/>
      <c r="H7211" s="164"/>
    </row>
    <row r="7212" spans="3:8" x14ac:dyDescent="0.2">
      <c r="C7212" s="548"/>
      <c r="H7212" s="164"/>
    </row>
    <row r="7213" spans="3:8" x14ac:dyDescent="0.2">
      <c r="C7213" s="548"/>
      <c r="H7213" s="164"/>
    </row>
    <row r="7214" spans="3:8" x14ac:dyDescent="0.2">
      <c r="C7214" s="548"/>
      <c r="H7214" s="164"/>
    </row>
    <row r="7215" spans="3:8" x14ac:dyDescent="0.2">
      <c r="C7215" s="548"/>
      <c r="H7215" s="164"/>
    </row>
    <row r="7216" spans="3:8" x14ac:dyDescent="0.2">
      <c r="C7216" s="548"/>
      <c r="H7216" s="164"/>
    </row>
    <row r="7217" spans="3:8" x14ac:dyDescent="0.2">
      <c r="C7217" s="548"/>
      <c r="H7217" s="164"/>
    </row>
    <row r="7218" spans="3:8" x14ac:dyDescent="0.2">
      <c r="C7218" s="548"/>
      <c r="H7218" s="164"/>
    </row>
    <row r="7219" spans="3:8" x14ac:dyDescent="0.2">
      <c r="C7219" s="548"/>
      <c r="H7219" s="164"/>
    </row>
    <row r="7220" spans="3:8" x14ac:dyDescent="0.2">
      <c r="C7220" s="548"/>
      <c r="H7220" s="164"/>
    </row>
    <row r="7221" spans="3:8" x14ac:dyDescent="0.2">
      <c r="C7221" s="548"/>
      <c r="H7221" s="164"/>
    </row>
    <row r="7222" spans="3:8" x14ac:dyDescent="0.2">
      <c r="C7222" s="548"/>
      <c r="H7222" s="164"/>
    </row>
    <row r="7223" spans="3:8" x14ac:dyDescent="0.2">
      <c r="C7223" s="548"/>
      <c r="H7223" s="164"/>
    </row>
    <row r="7224" spans="3:8" x14ac:dyDescent="0.2">
      <c r="C7224" s="548"/>
      <c r="H7224" s="164"/>
    </row>
    <row r="7225" spans="3:8" x14ac:dyDescent="0.2">
      <c r="C7225" s="548"/>
      <c r="H7225" s="164"/>
    </row>
    <row r="7226" spans="3:8" x14ac:dyDescent="0.2">
      <c r="C7226" s="548"/>
      <c r="H7226" s="164"/>
    </row>
    <row r="7227" spans="3:8" x14ac:dyDescent="0.2">
      <c r="C7227" s="548"/>
      <c r="H7227" s="164"/>
    </row>
    <row r="7228" spans="3:8" x14ac:dyDescent="0.2">
      <c r="C7228" s="548"/>
      <c r="H7228" s="164"/>
    </row>
    <row r="7229" spans="3:8" x14ac:dyDescent="0.2">
      <c r="C7229" s="548"/>
      <c r="H7229" s="164"/>
    </row>
    <row r="7230" spans="3:8" x14ac:dyDescent="0.2">
      <c r="C7230" s="548"/>
      <c r="H7230" s="164"/>
    </row>
    <row r="7231" spans="3:8" x14ac:dyDescent="0.2">
      <c r="C7231" s="548"/>
      <c r="H7231" s="164"/>
    </row>
    <row r="7232" spans="3:8" x14ac:dyDescent="0.2">
      <c r="C7232" s="548"/>
      <c r="H7232" s="164"/>
    </row>
    <row r="7233" spans="3:8" x14ac:dyDescent="0.2">
      <c r="C7233" s="548"/>
      <c r="H7233" s="164"/>
    </row>
    <row r="7234" spans="3:8" x14ac:dyDescent="0.2">
      <c r="C7234" s="548"/>
      <c r="H7234" s="164"/>
    </row>
    <row r="7235" spans="3:8" x14ac:dyDescent="0.2">
      <c r="C7235" s="548"/>
      <c r="H7235" s="164"/>
    </row>
    <row r="7236" spans="3:8" x14ac:dyDescent="0.2">
      <c r="C7236" s="548"/>
      <c r="H7236" s="164"/>
    </row>
    <row r="7237" spans="3:8" x14ac:dyDescent="0.2">
      <c r="C7237" s="548"/>
      <c r="H7237" s="164"/>
    </row>
    <row r="7238" spans="3:8" x14ac:dyDescent="0.2">
      <c r="C7238" s="548"/>
      <c r="H7238" s="164"/>
    </row>
    <row r="7239" spans="3:8" x14ac:dyDescent="0.2">
      <c r="C7239" s="548"/>
      <c r="H7239" s="164"/>
    </row>
    <row r="7240" spans="3:8" x14ac:dyDescent="0.2">
      <c r="C7240" s="548"/>
      <c r="H7240" s="164"/>
    </row>
    <row r="7241" spans="3:8" x14ac:dyDescent="0.2">
      <c r="C7241" s="548"/>
      <c r="H7241" s="164"/>
    </row>
    <row r="7242" spans="3:8" x14ac:dyDescent="0.2">
      <c r="C7242" s="548"/>
      <c r="H7242" s="164"/>
    </row>
    <row r="7243" spans="3:8" x14ac:dyDescent="0.2">
      <c r="C7243" s="548"/>
      <c r="H7243" s="164"/>
    </row>
    <row r="7244" spans="3:8" x14ac:dyDescent="0.2">
      <c r="C7244" s="548"/>
      <c r="H7244" s="164"/>
    </row>
    <row r="7245" spans="3:8" x14ac:dyDescent="0.2">
      <c r="C7245" s="548"/>
      <c r="H7245" s="164"/>
    </row>
    <row r="7246" spans="3:8" x14ac:dyDescent="0.2">
      <c r="C7246" s="548"/>
      <c r="H7246" s="164"/>
    </row>
    <row r="7247" spans="3:8" x14ac:dyDescent="0.2">
      <c r="C7247" s="548"/>
      <c r="H7247" s="164"/>
    </row>
    <row r="7248" spans="3:8" x14ac:dyDescent="0.2">
      <c r="C7248" s="548"/>
      <c r="H7248" s="164"/>
    </row>
    <row r="7249" spans="3:8" x14ac:dyDescent="0.2">
      <c r="C7249" s="548"/>
      <c r="H7249" s="164"/>
    </row>
    <row r="7250" spans="3:8" x14ac:dyDescent="0.2">
      <c r="C7250" s="548"/>
      <c r="H7250" s="164"/>
    </row>
    <row r="7251" spans="3:8" x14ac:dyDescent="0.2">
      <c r="C7251" s="548"/>
      <c r="H7251" s="164"/>
    </row>
    <row r="7252" spans="3:8" x14ac:dyDescent="0.2">
      <c r="C7252" s="548"/>
      <c r="H7252" s="164"/>
    </row>
    <row r="7253" spans="3:8" x14ac:dyDescent="0.2">
      <c r="C7253" s="548"/>
      <c r="H7253" s="164"/>
    </row>
    <row r="7254" spans="3:8" x14ac:dyDescent="0.2">
      <c r="C7254" s="548"/>
      <c r="H7254" s="164"/>
    </row>
    <row r="7255" spans="3:8" x14ac:dyDescent="0.2">
      <c r="C7255" s="548"/>
      <c r="H7255" s="164"/>
    </row>
    <row r="7256" spans="3:8" x14ac:dyDescent="0.2">
      <c r="C7256" s="548"/>
      <c r="H7256" s="164"/>
    </row>
    <row r="7257" spans="3:8" x14ac:dyDescent="0.2">
      <c r="C7257" s="548"/>
      <c r="H7257" s="164"/>
    </row>
    <row r="7258" spans="3:8" x14ac:dyDescent="0.2">
      <c r="C7258" s="548"/>
      <c r="H7258" s="164"/>
    </row>
    <row r="7259" spans="3:8" x14ac:dyDescent="0.2">
      <c r="C7259" s="548"/>
      <c r="H7259" s="164"/>
    </row>
    <row r="7260" spans="3:8" x14ac:dyDescent="0.2">
      <c r="C7260" s="548"/>
      <c r="H7260" s="164"/>
    </row>
    <row r="7261" spans="3:8" x14ac:dyDescent="0.2">
      <c r="C7261" s="548"/>
      <c r="H7261" s="164"/>
    </row>
    <row r="7262" spans="3:8" x14ac:dyDescent="0.2">
      <c r="C7262" s="548"/>
      <c r="H7262" s="164"/>
    </row>
    <row r="7263" spans="3:8" x14ac:dyDescent="0.2">
      <c r="C7263" s="548"/>
      <c r="H7263" s="164"/>
    </row>
    <row r="7264" spans="3:8" x14ac:dyDescent="0.2">
      <c r="C7264" s="548"/>
      <c r="H7264" s="164"/>
    </row>
    <row r="7265" spans="3:8" x14ac:dyDescent="0.2">
      <c r="C7265" s="548"/>
      <c r="H7265" s="164"/>
    </row>
    <row r="7266" spans="3:8" x14ac:dyDescent="0.2">
      <c r="C7266" s="548"/>
      <c r="H7266" s="164"/>
    </row>
    <row r="7267" spans="3:8" x14ac:dyDescent="0.2">
      <c r="C7267" s="548"/>
      <c r="H7267" s="164"/>
    </row>
    <row r="7268" spans="3:8" x14ac:dyDescent="0.2">
      <c r="C7268" s="548"/>
      <c r="H7268" s="164"/>
    </row>
    <row r="7269" spans="3:8" x14ac:dyDescent="0.2">
      <c r="C7269" s="548"/>
      <c r="H7269" s="164"/>
    </row>
    <row r="7270" spans="3:8" x14ac:dyDescent="0.2">
      <c r="C7270" s="548"/>
      <c r="H7270" s="164"/>
    </row>
    <row r="7271" spans="3:8" x14ac:dyDescent="0.2">
      <c r="C7271" s="548"/>
      <c r="H7271" s="164"/>
    </row>
    <row r="7272" spans="3:8" x14ac:dyDescent="0.2">
      <c r="C7272" s="548"/>
      <c r="H7272" s="164"/>
    </row>
    <row r="7273" spans="3:8" x14ac:dyDescent="0.2">
      <c r="C7273" s="548"/>
      <c r="H7273" s="164"/>
    </row>
    <row r="7274" spans="3:8" x14ac:dyDescent="0.2">
      <c r="C7274" s="548"/>
      <c r="H7274" s="164"/>
    </row>
    <row r="7275" spans="3:8" x14ac:dyDescent="0.2">
      <c r="C7275" s="548"/>
      <c r="H7275" s="164"/>
    </row>
    <row r="7276" spans="3:8" x14ac:dyDescent="0.2">
      <c r="C7276" s="548"/>
      <c r="H7276" s="164"/>
    </row>
    <row r="7277" spans="3:8" x14ac:dyDescent="0.2">
      <c r="C7277" s="548"/>
      <c r="H7277" s="164"/>
    </row>
    <row r="7278" spans="3:8" x14ac:dyDescent="0.2">
      <c r="C7278" s="548"/>
      <c r="H7278" s="164"/>
    </row>
    <row r="7279" spans="3:8" x14ac:dyDescent="0.2">
      <c r="C7279" s="548"/>
      <c r="H7279" s="164"/>
    </row>
    <row r="7280" spans="3:8" x14ac:dyDescent="0.2">
      <c r="C7280" s="548"/>
      <c r="H7280" s="164"/>
    </row>
    <row r="7281" spans="3:8" x14ac:dyDescent="0.2">
      <c r="C7281" s="548"/>
      <c r="H7281" s="164"/>
    </row>
    <row r="7282" spans="3:8" x14ac:dyDescent="0.2">
      <c r="C7282" s="548"/>
      <c r="H7282" s="164"/>
    </row>
    <row r="7283" spans="3:8" x14ac:dyDescent="0.2">
      <c r="C7283" s="548"/>
      <c r="H7283" s="164"/>
    </row>
    <row r="7284" spans="3:8" x14ac:dyDescent="0.2">
      <c r="C7284" s="548"/>
      <c r="H7284" s="164"/>
    </row>
    <row r="7285" spans="3:8" x14ac:dyDescent="0.2">
      <c r="C7285" s="548"/>
      <c r="H7285" s="164"/>
    </row>
    <row r="7286" spans="3:8" x14ac:dyDescent="0.2">
      <c r="C7286" s="548"/>
      <c r="H7286" s="164"/>
    </row>
    <row r="7287" spans="3:8" x14ac:dyDescent="0.2">
      <c r="C7287" s="548"/>
      <c r="H7287" s="164"/>
    </row>
    <row r="7288" spans="3:8" x14ac:dyDescent="0.2">
      <c r="C7288" s="548"/>
      <c r="H7288" s="164"/>
    </row>
    <row r="7289" spans="3:8" x14ac:dyDescent="0.2">
      <c r="C7289" s="548"/>
      <c r="H7289" s="164"/>
    </row>
    <row r="7290" spans="3:8" x14ac:dyDescent="0.2">
      <c r="C7290" s="548"/>
      <c r="H7290" s="164"/>
    </row>
    <row r="7291" spans="3:8" x14ac:dyDescent="0.2">
      <c r="C7291" s="548"/>
      <c r="H7291" s="164"/>
    </row>
    <row r="7292" spans="3:8" x14ac:dyDescent="0.2">
      <c r="C7292" s="548"/>
      <c r="H7292" s="164"/>
    </row>
    <row r="7293" spans="3:8" x14ac:dyDescent="0.2">
      <c r="C7293" s="548"/>
      <c r="H7293" s="164"/>
    </row>
    <row r="7294" spans="3:8" x14ac:dyDescent="0.2">
      <c r="C7294" s="548"/>
      <c r="H7294" s="164"/>
    </row>
    <row r="7295" spans="3:8" x14ac:dyDescent="0.2">
      <c r="C7295" s="548"/>
      <c r="H7295" s="164"/>
    </row>
    <row r="7296" spans="3:8" x14ac:dyDescent="0.2">
      <c r="C7296" s="548"/>
      <c r="H7296" s="164"/>
    </row>
    <row r="7297" spans="3:8" x14ac:dyDescent="0.2">
      <c r="C7297" s="548"/>
      <c r="H7297" s="164"/>
    </row>
    <row r="7298" spans="3:8" x14ac:dyDescent="0.2">
      <c r="C7298" s="548"/>
      <c r="H7298" s="164"/>
    </row>
    <row r="7299" spans="3:8" x14ac:dyDescent="0.2">
      <c r="C7299" s="548"/>
      <c r="H7299" s="164"/>
    </row>
    <row r="7300" spans="3:8" x14ac:dyDescent="0.2">
      <c r="C7300" s="548"/>
      <c r="H7300" s="164"/>
    </row>
    <row r="7301" spans="3:8" x14ac:dyDescent="0.2">
      <c r="C7301" s="548"/>
      <c r="H7301" s="164"/>
    </row>
    <row r="7302" spans="3:8" x14ac:dyDescent="0.2">
      <c r="C7302" s="548"/>
      <c r="H7302" s="164"/>
    </row>
    <row r="7303" spans="3:8" x14ac:dyDescent="0.2">
      <c r="C7303" s="548"/>
      <c r="H7303" s="164"/>
    </row>
    <row r="7304" spans="3:8" x14ac:dyDescent="0.2">
      <c r="C7304" s="548"/>
      <c r="H7304" s="164"/>
    </row>
    <row r="7305" spans="3:8" x14ac:dyDescent="0.2">
      <c r="C7305" s="548"/>
      <c r="H7305" s="164"/>
    </row>
    <row r="7306" spans="3:8" x14ac:dyDescent="0.2">
      <c r="C7306" s="548"/>
      <c r="H7306" s="164"/>
    </row>
    <row r="7307" spans="3:8" x14ac:dyDescent="0.2">
      <c r="C7307" s="548"/>
      <c r="H7307" s="164"/>
    </row>
    <row r="7308" spans="3:8" x14ac:dyDescent="0.2">
      <c r="C7308" s="548"/>
      <c r="H7308" s="164"/>
    </row>
    <row r="7309" spans="3:8" x14ac:dyDescent="0.2">
      <c r="C7309" s="548"/>
      <c r="H7309" s="164"/>
    </row>
    <row r="7310" spans="3:8" x14ac:dyDescent="0.2">
      <c r="C7310" s="548"/>
      <c r="H7310" s="164"/>
    </row>
    <row r="7311" spans="3:8" x14ac:dyDescent="0.2">
      <c r="C7311" s="548"/>
      <c r="H7311" s="164"/>
    </row>
    <row r="7312" spans="3:8" x14ac:dyDescent="0.2">
      <c r="C7312" s="548"/>
      <c r="H7312" s="164"/>
    </row>
    <row r="7313" spans="3:8" x14ac:dyDescent="0.2">
      <c r="C7313" s="548"/>
      <c r="H7313" s="164"/>
    </row>
    <row r="7314" spans="3:8" x14ac:dyDescent="0.2">
      <c r="C7314" s="548"/>
      <c r="H7314" s="164"/>
    </row>
    <row r="7315" spans="3:8" x14ac:dyDescent="0.2">
      <c r="C7315" s="548"/>
      <c r="H7315" s="164"/>
    </row>
    <row r="7316" spans="3:8" x14ac:dyDescent="0.2">
      <c r="C7316" s="548"/>
      <c r="H7316" s="164"/>
    </row>
    <row r="7317" spans="3:8" x14ac:dyDescent="0.2">
      <c r="C7317" s="548"/>
      <c r="H7317" s="164"/>
    </row>
    <row r="7318" spans="3:8" x14ac:dyDescent="0.2">
      <c r="C7318" s="548"/>
      <c r="H7318" s="164"/>
    </row>
    <row r="7319" spans="3:8" x14ac:dyDescent="0.2">
      <c r="C7319" s="548"/>
      <c r="H7319" s="164"/>
    </row>
    <row r="7320" spans="3:8" x14ac:dyDescent="0.2">
      <c r="C7320" s="548"/>
      <c r="H7320" s="164"/>
    </row>
    <row r="7321" spans="3:8" x14ac:dyDescent="0.2">
      <c r="C7321" s="548"/>
      <c r="H7321" s="164"/>
    </row>
    <row r="7322" spans="3:8" x14ac:dyDescent="0.2">
      <c r="C7322" s="548"/>
      <c r="H7322" s="164"/>
    </row>
    <row r="7323" spans="3:8" x14ac:dyDescent="0.2">
      <c r="C7323" s="548"/>
      <c r="H7323" s="164"/>
    </row>
    <row r="7324" spans="3:8" x14ac:dyDescent="0.2">
      <c r="C7324" s="548"/>
      <c r="H7324" s="164"/>
    </row>
    <row r="7325" spans="3:8" x14ac:dyDescent="0.2">
      <c r="C7325" s="548"/>
      <c r="H7325" s="164"/>
    </row>
    <row r="7326" spans="3:8" x14ac:dyDescent="0.2">
      <c r="C7326" s="548"/>
      <c r="H7326" s="164"/>
    </row>
    <row r="7327" spans="3:8" x14ac:dyDescent="0.2">
      <c r="C7327" s="548"/>
      <c r="H7327" s="164"/>
    </row>
    <row r="7328" spans="3:8" x14ac:dyDescent="0.2">
      <c r="C7328" s="548"/>
      <c r="H7328" s="164"/>
    </row>
    <row r="7329" spans="3:8" x14ac:dyDescent="0.2">
      <c r="C7329" s="548"/>
      <c r="H7329" s="164"/>
    </row>
    <row r="7330" spans="3:8" x14ac:dyDescent="0.2">
      <c r="C7330" s="548"/>
      <c r="H7330" s="164"/>
    </row>
    <row r="7331" spans="3:8" x14ac:dyDescent="0.2">
      <c r="C7331" s="548"/>
      <c r="H7331" s="164"/>
    </row>
    <row r="7332" spans="3:8" x14ac:dyDescent="0.2">
      <c r="C7332" s="548"/>
      <c r="H7332" s="164"/>
    </row>
    <row r="7333" spans="3:8" x14ac:dyDescent="0.2">
      <c r="C7333" s="548"/>
      <c r="H7333" s="164"/>
    </row>
    <row r="7334" spans="3:8" x14ac:dyDescent="0.2">
      <c r="C7334" s="548"/>
      <c r="H7334" s="164"/>
    </row>
    <row r="7335" spans="3:8" x14ac:dyDescent="0.2">
      <c r="C7335" s="548"/>
      <c r="H7335" s="164"/>
    </row>
    <row r="7336" spans="3:8" x14ac:dyDescent="0.2">
      <c r="C7336" s="548"/>
      <c r="H7336" s="164"/>
    </row>
    <row r="7337" spans="3:8" x14ac:dyDescent="0.2">
      <c r="C7337" s="548"/>
      <c r="H7337" s="164"/>
    </row>
    <row r="7338" spans="3:8" x14ac:dyDescent="0.2">
      <c r="C7338" s="548"/>
      <c r="H7338" s="164"/>
    </row>
    <row r="7339" spans="3:8" x14ac:dyDescent="0.2">
      <c r="C7339" s="548"/>
      <c r="H7339" s="164"/>
    </row>
    <row r="7340" spans="3:8" x14ac:dyDescent="0.2">
      <c r="C7340" s="548"/>
      <c r="H7340" s="164"/>
    </row>
    <row r="7341" spans="3:8" x14ac:dyDescent="0.2">
      <c r="C7341" s="548"/>
      <c r="H7341" s="164"/>
    </row>
    <row r="7342" spans="3:8" x14ac:dyDescent="0.2">
      <c r="C7342" s="548"/>
      <c r="H7342" s="164"/>
    </row>
    <row r="7343" spans="3:8" x14ac:dyDescent="0.2">
      <c r="C7343" s="548"/>
      <c r="H7343" s="164"/>
    </row>
    <row r="7344" spans="3:8" x14ac:dyDescent="0.2">
      <c r="C7344" s="548"/>
      <c r="H7344" s="164"/>
    </row>
    <row r="7345" spans="3:8" x14ac:dyDescent="0.2">
      <c r="C7345" s="548"/>
      <c r="H7345" s="164"/>
    </row>
    <row r="7346" spans="3:8" x14ac:dyDescent="0.2">
      <c r="C7346" s="548"/>
      <c r="H7346" s="164"/>
    </row>
    <row r="7347" spans="3:8" x14ac:dyDescent="0.2">
      <c r="C7347" s="548"/>
      <c r="H7347" s="164"/>
    </row>
    <row r="7348" spans="3:8" x14ac:dyDescent="0.2">
      <c r="C7348" s="548"/>
      <c r="H7348" s="164"/>
    </row>
    <row r="7349" spans="3:8" x14ac:dyDescent="0.2">
      <c r="C7349" s="548"/>
      <c r="H7349" s="164"/>
    </row>
    <row r="7350" spans="3:8" x14ac:dyDescent="0.2">
      <c r="C7350" s="548"/>
      <c r="H7350" s="164"/>
    </row>
    <row r="7351" spans="3:8" x14ac:dyDescent="0.2">
      <c r="C7351" s="548"/>
      <c r="H7351" s="164"/>
    </row>
    <row r="7352" spans="3:8" x14ac:dyDescent="0.2">
      <c r="C7352" s="548"/>
      <c r="H7352" s="164"/>
    </row>
    <row r="7353" spans="3:8" x14ac:dyDescent="0.2">
      <c r="C7353" s="548"/>
      <c r="H7353" s="164"/>
    </row>
    <row r="7354" spans="3:8" x14ac:dyDescent="0.2">
      <c r="C7354" s="548"/>
      <c r="H7354" s="164"/>
    </row>
    <row r="7355" spans="3:8" x14ac:dyDescent="0.2">
      <c r="C7355" s="548"/>
      <c r="H7355" s="164"/>
    </row>
    <row r="7356" spans="3:8" x14ac:dyDescent="0.2">
      <c r="C7356" s="548"/>
      <c r="H7356" s="164"/>
    </row>
    <row r="7357" spans="3:8" x14ac:dyDescent="0.2">
      <c r="C7357" s="548"/>
      <c r="H7357" s="164"/>
    </row>
    <row r="7358" spans="3:8" x14ac:dyDescent="0.2">
      <c r="C7358" s="548"/>
      <c r="H7358" s="164"/>
    </row>
    <row r="7359" spans="3:8" x14ac:dyDescent="0.2">
      <c r="C7359" s="548"/>
      <c r="H7359" s="164"/>
    </row>
    <row r="7360" spans="3:8" x14ac:dyDescent="0.2">
      <c r="C7360" s="548"/>
      <c r="H7360" s="164"/>
    </row>
    <row r="7361" spans="3:8" x14ac:dyDescent="0.2">
      <c r="C7361" s="548"/>
      <c r="H7361" s="164"/>
    </row>
    <row r="7362" spans="3:8" x14ac:dyDescent="0.2">
      <c r="C7362" s="548"/>
      <c r="H7362" s="164"/>
    </row>
    <row r="7363" spans="3:8" x14ac:dyDescent="0.2">
      <c r="C7363" s="548"/>
      <c r="H7363" s="164"/>
    </row>
    <row r="7364" spans="3:8" x14ac:dyDescent="0.2">
      <c r="C7364" s="548"/>
      <c r="H7364" s="164"/>
    </row>
    <row r="7365" spans="3:8" x14ac:dyDescent="0.2">
      <c r="C7365" s="548"/>
      <c r="H7365" s="164"/>
    </row>
    <row r="7366" spans="3:8" x14ac:dyDescent="0.2">
      <c r="C7366" s="548"/>
      <c r="H7366" s="164"/>
    </row>
    <row r="7367" spans="3:8" x14ac:dyDescent="0.2">
      <c r="C7367" s="548"/>
      <c r="H7367" s="164"/>
    </row>
    <row r="7368" spans="3:8" x14ac:dyDescent="0.2">
      <c r="C7368" s="548"/>
      <c r="H7368" s="164"/>
    </row>
    <row r="7369" spans="3:8" x14ac:dyDescent="0.2">
      <c r="C7369" s="548"/>
      <c r="H7369" s="164"/>
    </row>
    <row r="7370" spans="3:8" x14ac:dyDescent="0.2">
      <c r="C7370" s="548"/>
      <c r="H7370" s="164"/>
    </row>
    <row r="7371" spans="3:8" x14ac:dyDescent="0.2">
      <c r="C7371" s="548"/>
      <c r="H7371" s="164"/>
    </row>
    <row r="7372" spans="3:8" x14ac:dyDescent="0.2">
      <c r="C7372" s="548"/>
      <c r="H7372" s="164"/>
    </row>
    <row r="7373" spans="3:8" x14ac:dyDescent="0.2">
      <c r="C7373" s="548"/>
      <c r="H7373" s="164"/>
    </row>
    <row r="7374" spans="3:8" x14ac:dyDescent="0.2">
      <c r="C7374" s="548"/>
      <c r="H7374" s="164"/>
    </row>
    <row r="7375" spans="3:8" x14ac:dyDescent="0.2">
      <c r="C7375" s="548"/>
      <c r="H7375" s="164"/>
    </row>
    <row r="7376" spans="3:8" x14ac:dyDescent="0.2">
      <c r="C7376" s="548"/>
      <c r="H7376" s="164"/>
    </row>
    <row r="7377" spans="3:8" x14ac:dyDescent="0.2">
      <c r="C7377" s="548"/>
      <c r="H7377" s="164"/>
    </row>
    <row r="7378" spans="3:8" x14ac:dyDescent="0.2">
      <c r="C7378" s="548"/>
      <c r="H7378" s="164"/>
    </row>
    <row r="7379" spans="3:8" x14ac:dyDescent="0.2">
      <c r="C7379" s="548"/>
      <c r="H7379" s="164"/>
    </row>
    <row r="7380" spans="3:8" x14ac:dyDescent="0.2">
      <c r="C7380" s="548"/>
      <c r="H7380" s="164"/>
    </row>
    <row r="7381" spans="3:8" x14ac:dyDescent="0.2">
      <c r="C7381" s="548"/>
      <c r="H7381" s="164"/>
    </row>
    <row r="7382" spans="3:8" x14ac:dyDescent="0.2">
      <c r="C7382" s="548"/>
      <c r="H7382" s="164"/>
    </row>
    <row r="7383" spans="3:8" x14ac:dyDescent="0.2">
      <c r="C7383" s="548"/>
      <c r="H7383" s="164"/>
    </row>
    <row r="7384" spans="3:8" x14ac:dyDescent="0.2">
      <c r="C7384" s="548"/>
      <c r="H7384" s="164"/>
    </row>
    <row r="7385" spans="3:8" x14ac:dyDescent="0.2">
      <c r="C7385" s="548"/>
      <c r="H7385" s="164"/>
    </row>
    <row r="7386" spans="3:8" x14ac:dyDescent="0.2">
      <c r="C7386" s="548"/>
      <c r="H7386" s="164"/>
    </row>
    <row r="7387" spans="3:8" x14ac:dyDescent="0.2">
      <c r="C7387" s="548"/>
      <c r="H7387" s="164"/>
    </row>
    <row r="7388" spans="3:8" x14ac:dyDescent="0.2">
      <c r="C7388" s="548"/>
      <c r="H7388" s="164"/>
    </row>
    <row r="7389" spans="3:8" x14ac:dyDescent="0.2">
      <c r="C7389" s="548"/>
      <c r="H7389" s="164"/>
    </row>
    <row r="7390" spans="3:8" x14ac:dyDescent="0.2">
      <c r="C7390" s="548"/>
      <c r="H7390" s="164"/>
    </row>
    <row r="7391" spans="3:8" x14ac:dyDescent="0.2">
      <c r="C7391" s="548"/>
      <c r="H7391" s="164"/>
    </row>
    <row r="7392" spans="3:8" x14ac:dyDescent="0.2">
      <c r="C7392" s="548"/>
      <c r="H7392" s="164"/>
    </row>
    <row r="7393" spans="3:8" x14ac:dyDescent="0.2">
      <c r="C7393" s="548"/>
      <c r="H7393" s="164"/>
    </row>
    <row r="7394" spans="3:8" x14ac:dyDescent="0.2">
      <c r="C7394" s="548"/>
      <c r="H7394" s="164"/>
    </row>
    <row r="7395" spans="3:8" x14ac:dyDescent="0.2">
      <c r="C7395" s="548"/>
      <c r="H7395" s="164"/>
    </row>
    <row r="7396" spans="3:8" x14ac:dyDescent="0.2">
      <c r="C7396" s="548"/>
      <c r="H7396" s="164"/>
    </row>
    <row r="7397" spans="3:8" x14ac:dyDescent="0.2">
      <c r="C7397" s="548"/>
      <c r="H7397" s="164"/>
    </row>
    <row r="7398" spans="3:8" x14ac:dyDescent="0.2">
      <c r="C7398" s="548"/>
      <c r="H7398" s="164"/>
    </row>
    <row r="7399" spans="3:8" x14ac:dyDescent="0.2">
      <c r="C7399" s="548"/>
      <c r="H7399" s="164"/>
    </row>
    <row r="7400" spans="3:8" x14ac:dyDescent="0.2">
      <c r="C7400" s="548"/>
      <c r="H7400" s="164"/>
    </row>
    <row r="7401" spans="3:8" x14ac:dyDescent="0.2">
      <c r="C7401" s="548"/>
      <c r="H7401" s="164"/>
    </row>
    <row r="7402" spans="3:8" x14ac:dyDescent="0.2">
      <c r="C7402" s="548"/>
      <c r="H7402" s="164"/>
    </row>
    <row r="7403" spans="3:8" x14ac:dyDescent="0.2">
      <c r="C7403" s="548"/>
      <c r="H7403" s="164"/>
    </row>
    <row r="7404" spans="3:8" x14ac:dyDescent="0.2">
      <c r="C7404" s="548"/>
      <c r="H7404" s="164"/>
    </row>
    <row r="7405" spans="3:8" x14ac:dyDescent="0.2">
      <c r="C7405" s="548"/>
      <c r="H7405" s="164"/>
    </row>
    <row r="7406" spans="3:8" x14ac:dyDescent="0.2">
      <c r="C7406" s="548"/>
      <c r="H7406" s="164"/>
    </row>
    <row r="7407" spans="3:8" x14ac:dyDescent="0.2">
      <c r="C7407" s="548"/>
      <c r="H7407" s="164"/>
    </row>
    <row r="7408" spans="3:8" x14ac:dyDescent="0.2">
      <c r="C7408" s="548"/>
      <c r="H7408" s="164"/>
    </row>
    <row r="7409" spans="3:8" x14ac:dyDescent="0.2">
      <c r="C7409" s="548"/>
      <c r="H7409" s="164"/>
    </row>
    <row r="7410" spans="3:8" x14ac:dyDescent="0.2">
      <c r="C7410" s="548"/>
      <c r="H7410" s="164"/>
    </row>
    <row r="7411" spans="3:8" x14ac:dyDescent="0.2">
      <c r="C7411" s="548"/>
      <c r="H7411" s="164"/>
    </row>
    <row r="7412" spans="3:8" x14ac:dyDescent="0.2">
      <c r="C7412" s="548"/>
      <c r="H7412" s="164"/>
    </row>
    <row r="7413" spans="3:8" x14ac:dyDescent="0.2">
      <c r="C7413" s="548"/>
      <c r="H7413" s="164"/>
    </row>
    <row r="7414" spans="3:8" x14ac:dyDescent="0.2">
      <c r="C7414" s="548"/>
      <c r="H7414" s="164"/>
    </row>
    <row r="7415" spans="3:8" x14ac:dyDescent="0.2">
      <c r="C7415" s="548"/>
      <c r="H7415" s="164"/>
    </row>
    <row r="7416" spans="3:8" x14ac:dyDescent="0.2">
      <c r="C7416" s="548"/>
      <c r="H7416" s="164"/>
    </row>
    <row r="7417" spans="3:8" x14ac:dyDescent="0.2">
      <c r="C7417" s="548"/>
      <c r="H7417" s="164"/>
    </row>
    <row r="7418" spans="3:8" x14ac:dyDescent="0.2">
      <c r="C7418" s="548"/>
      <c r="H7418" s="164"/>
    </row>
    <row r="7419" spans="3:8" x14ac:dyDescent="0.2">
      <c r="C7419" s="548"/>
      <c r="H7419" s="164"/>
    </row>
    <row r="7420" spans="3:8" x14ac:dyDescent="0.2">
      <c r="C7420" s="548"/>
      <c r="H7420" s="164"/>
    </row>
    <row r="7421" spans="3:8" x14ac:dyDescent="0.2">
      <c r="C7421" s="548"/>
      <c r="H7421" s="164"/>
    </row>
    <row r="7422" spans="3:8" x14ac:dyDescent="0.2">
      <c r="C7422" s="548"/>
      <c r="H7422" s="164"/>
    </row>
    <row r="7423" spans="3:8" x14ac:dyDescent="0.2">
      <c r="C7423" s="548"/>
      <c r="H7423" s="164"/>
    </row>
    <row r="7424" spans="3:8" x14ac:dyDescent="0.2">
      <c r="C7424" s="548"/>
      <c r="H7424" s="164"/>
    </row>
    <row r="7425" spans="3:8" x14ac:dyDescent="0.2">
      <c r="C7425" s="548"/>
      <c r="H7425" s="164"/>
    </row>
    <row r="7426" spans="3:8" x14ac:dyDescent="0.2">
      <c r="C7426" s="548"/>
      <c r="H7426" s="164"/>
    </row>
    <row r="7427" spans="3:8" x14ac:dyDescent="0.2">
      <c r="C7427" s="548"/>
      <c r="H7427" s="164"/>
    </row>
    <row r="7428" spans="3:8" x14ac:dyDescent="0.2">
      <c r="C7428" s="548"/>
      <c r="H7428" s="164"/>
    </row>
    <row r="7429" spans="3:8" x14ac:dyDescent="0.2">
      <c r="C7429" s="548"/>
      <c r="H7429" s="164"/>
    </row>
    <row r="7430" spans="3:8" x14ac:dyDescent="0.2">
      <c r="C7430" s="548"/>
      <c r="H7430" s="164"/>
    </row>
    <row r="7431" spans="3:8" x14ac:dyDescent="0.2">
      <c r="C7431" s="548"/>
      <c r="H7431" s="164"/>
    </row>
    <row r="7432" spans="3:8" x14ac:dyDescent="0.2">
      <c r="C7432" s="548"/>
      <c r="H7432" s="164"/>
    </row>
    <row r="7433" spans="3:8" x14ac:dyDescent="0.2">
      <c r="C7433" s="548"/>
      <c r="H7433" s="164"/>
    </row>
    <row r="7434" spans="3:8" x14ac:dyDescent="0.2">
      <c r="C7434" s="548"/>
      <c r="H7434" s="164"/>
    </row>
    <row r="7435" spans="3:8" x14ac:dyDescent="0.2">
      <c r="C7435" s="548"/>
      <c r="H7435" s="164"/>
    </row>
    <row r="7436" spans="3:8" x14ac:dyDescent="0.2">
      <c r="C7436" s="548"/>
      <c r="H7436" s="164"/>
    </row>
    <row r="7437" spans="3:8" x14ac:dyDescent="0.2">
      <c r="C7437" s="548"/>
      <c r="H7437" s="164"/>
    </row>
    <row r="7438" spans="3:8" x14ac:dyDescent="0.2">
      <c r="C7438" s="548"/>
      <c r="H7438" s="164"/>
    </row>
    <row r="7439" spans="3:8" x14ac:dyDescent="0.2">
      <c r="C7439" s="548"/>
      <c r="H7439" s="164"/>
    </row>
    <row r="7440" spans="3:8" x14ac:dyDescent="0.2">
      <c r="C7440" s="548"/>
      <c r="H7440" s="164"/>
    </row>
    <row r="7441" spans="3:8" x14ac:dyDescent="0.2">
      <c r="C7441" s="548"/>
      <c r="H7441" s="164"/>
    </row>
    <row r="7442" spans="3:8" x14ac:dyDescent="0.2">
      <c r="C7442" s="548"/>
      <c r="H7442" s="164"/>
    </row>
    <row r="7443" spans="3:8" x14ac:dyDescent="0.2">
      <c r="C7443" s="548"/>
      <c r="H7443" s="164"/>
    </row>
    <row r="7444" spans="3:8" x14ac:dyDescent="0.2">
      <c r="C7444" s="548"/>
      <c r="H7444" s="164"/>
    </row>
    <row r="7445" spans="3:8" x14ac:dyDescent="0.2">
      <c r="C7445" s="548"/>
      <c r="H7445" s="164"/>
    </row>
    <row r="7446" spans="3:8" x14ac:dyDescent="0.2">
      <c r="C7446" s="548"/>
      <c r="H7446" s="164"/>
    </row>
    <row r="7447" spans="3:8" x14ac:dyDescent="0.2">
      <c r="C7447" s="548"/>
      <c r="H7447" s="164"/>
    </row>
    <row r="7448" spans="3:8" x14ac:dyDescent="0.2">
      <c r="C7448" s="548"/>
      <c r="H7448" s="164"/>
    </row>
    <row r="7449" spans="3:8" x14ac:dyDescent="0.2">
      <c r="C7449" s="548"/>
      <c r="H7449" s="164"/>
    </row>
    <row r="7450" spans="3:8" x14ac:dyDescent="0.2">
      <c r="C7450" s="548"/>
      <c r="H7450" s="164"/>
    </row>
    <row r="7451" spans="3:8" x14ac:dyDescent="0.2">
      <c r="C7451" s="548"/>
      <c r="H7451" s="164"/>
    </row>
    <row r="7452" spans="3:8" x14ac:dyDescent="0.2">
      <c r="C7452" s="548"/>
      <c r="H7452" s="164"/>
    </row>
    <row r="7453" spans="3:8" x14ac:dyDescent="0.2">
      <c r="C7453" s="548"/>
      <c r="H7453" s="164"/>
    </row>
    <row r="7454" spans="3:8" x14ac:dyDescent="0.2">
      <c r="C7454" s="548"/>
      <c r="H7454" s="164"/>
    </row>
    <row r="7455" spans="3:8" x14ac:dyDescent="0.2">
      <c r="C7455" s="548"/>
      <c r="H7455" s="164"/>
    </row>
    <row r="7456" spans="3:8" x14ac:dyDescent="0.2">
      <c r="C7456" s="548"/>
      <c r="H7456" s="164"/>
    </row>
    <row r="7457" spans="3:8" x14ac:dyDescent="0.2">
      <c r="C7457" s="548"/>
      <c r="H7457" s="164"/>
    </row>
    <row r="7458" spans="3:8" x14ac:dyDescent="0.2">
      <c r="C7458" s="548"/>
      <c r="H7458" s="164"/>
    </row>
    <row r="7459" spans="3:8" x14ac:dyDescent="0.2">
      <c r="C7459" s="548"/>
      <c r="H7459" s="164"/>
    </row>
    <row r="7460" spans="3:8" x14ac:dyDescent="0.2">
      <c r="C7460" s="548"/>
      <c r="H7460" s="164"/>
    </row>
    <row r="7461" spans="3:8" x14ac:dyDescent="0.2">
      <c r="C7461" s="548"/>
      <c r="H7461" s="164"/>
    </row>
    <row r="7462" spans="3:8" x14ac:dyDescent="0.2">
      <c r="C7462" s="548"/>
      <c r="H7462" s="164"/>
    </row>
    <row r="7463" spans="3:8" x14ac:dyDescent="0.2">
      <c r="C7463" s="548"/>
      <c r="H7463" s="164"/>
    </row>
    <row r="7464" spans="3:8" x14ac:dyDescent="0.2">
      <c r="C7464" s="548"/>
      <c r="H7464" s="164"/>
    </row>
    <row r="7465" spans="3:8" x14ac:dyDescent="0.2">
      <c r="C7465" s="548"/>
      <c r="H7465" s="164"/>
    </row>
    <row r="7466" spans="3:8" x14ac:dyDescent="0.2">
      <c r="C7466" s="548"/>
      <c r="H7466" s="164"/>
    </row>
    <row r="7467" spans="3:8" x14ac:dyDescent="0.2">
      <c r="C7467" s="548"/>
      <c r="H7467" s="164"/>
    </row>
    <row r="7468" spans="3:8" x14ac:dyDescent="0.2">
      <c r="C7468" s="548"/>
      <c r="H7468" s="164"/>
    </row>
    <row r="7469" spans="3:8" x14ac:dyDescent="0.2">
      <c r="C7469" s="548"/>
      <c r="H7469" s="164"/>
    </row>
    <row r="7470" spans="3:8" x14ac:dyDescent="0.2">
      <c r="C7470" s="548"/>
      <c r="H7470" s="164"/>
    </row>
    <row r="7471" spans="3:8" x14ac:dyDescent="0.2">
      <c r="C7471" s="548"/>
      <c r="H7471" s="164"/>
    </row>
    <row r="7472" spans="3:8" x14ac:dyDescent="0.2">
      <c r="C7472" s="548"/>
      <c r="H7472" s="164"/>
    </row>
    <row r="7473" spans="3:8" x14ac:dyDescent="0.2">
      <c r="C7473" s="548"/>
      <c r="H7473" s="164"/>
    </row>
    <row r="7474" spans="3:8" x14ac:dyDescent="0.2">
      <c r="C7474" s="548"/>
      <c r="H7474" s="164"/>
    </row>
    <row r="7475" spans="3:8" x14ac:dyDescent="0.2">
      <c r="C7475" s="548"/>
      <c r="H7475" s="164"/>
    </row>
    <row r="7476" spans="3:8" x14ac:dyDescent="0.2">
      <c r="C7476" s="548"/>
      <c r="H7476" s="164"/>
    </row>
    <row r="7477" spans="3:8" x14ac:dyDescent="0.2">
      <c r="C7477" s="548"/>
      <c r="H7477" s="164"/>
    </row>
    <row r="7478" spans="3:8" x14ac:dyDescent="0.2">
      <c r="C7478" s="548"/>
      <c r="H7478" s="164"/>
    </row>
    <row r="7479" spans="3:8" x14ac:dyDescent="0.2">
      <c r="C7479" s="548"/>
      <c r="H7479" s="164"/>
    </row>
    <row r="7480" spans="3:8" x14ac:dyDescent="0.2">
      <c r="C7480" s="548"/>
      <c r="H7480" s="164"/>
    </row>
    <row r="7481" spans="3:8" x14ac:dyDescent="0.2">
      <c r="C7481" s="548"/>
      <c r="H7481" s="164"/>
    </row>
    <row r="7482" spans="3:8" x14ac:dyDescent="0.2">
      <c r="C7482" s="548"/>
      <c r="H7482" s="164"/>
    </row>
    <row r="7483" spans="3:8" x14ac:dyDescent="0.2">
      <c r="C7483" s="548"/>
      <c r="H7483" s="164"/>
    </row>
    <row r="7484" spans="3:8" x14ac:dyDescent="0.2">
      <c r="C7484" s="548"/>
      <c r="H7484" s="164"/>
    </row>
    <row r="7485" spans="3:8" x14ac:dyDescent="0.2">
      <c r="C7485" s="548"/>
      <c r="H7485" s="164"/>
    </row>
    <row r="7486" spans="3:8" x14ac:dyDescent="0.2">
      <c r="C7486" s="548"/>
      <c r="H7486" s="164"/>
    </row>
    <row r="7487" spans="3:8" x14ac:dyDescent="0.2">
      <c r="C7487" s="548"/>
      <c r="H7487" s="164"/>
    </row>
    <row r="7488" spans="3:8" x14ac:dyDescent="0.2">
      <c r="C7488" s="548"/>
      <c r="H7488" s="164"/>
    </row>
    <row r="7489" spans="3:8" x14ac:dyDescent="0.2">
      <c r="C7489" s="548"/>
      <c r="H7489" s="164"/>
    </row>
    <row r="7490" spans="3:8" x14ac:dyDescent="0.2">
      <c r="C7490" s="548"/>
      <c r="H7490" s="164"/>
    </row>
    <row r="7491" spans="3:8" x14ac:dyDescent="0.2">
      <c r="C7491" s="548"/>
      <c r="H7491" s="164"/>
    </row>
    <row r="7492" spans="3:8" x14ac:dyDescent="0.2">
      <c r="C7492" s="548"/>
      <c r="H7492" s="164"/>
    </row>
    <row r="7493" spans="3:8" x14ac:dyDescent="0.2">
      <c r="C7493" s="548"/>
      <c r="H7493" s="164"/>
    </row>
    <row r="7494" spans="3:8" x14ac:dyDescent="0.2">
      <c r="C7494" s="548"/>
      <c r="H7494" s="164"/>
    </row>
    <row r="7495" spans="3:8" x14ac:dyDescent="0.2">
      <c r="C7495" s="548"/>
      <c r="H7495" s="164"/>
    </row>
    <row r="7496" spans="3:8" x14ac:dyDescent="0.2">
      <c r="C7496" s="548"/>
      <c r="H7496" s="164"/>
    </row>
    <row r="7497" spans="3:8" x14ac:dyDescent="0.2">
      <c r="C7497" s="548"/>
      <c r="H7497" s="164"/>
    </row>
    <row r="7498" spans="3:8" x14ac:dyDescent="0.2">
      <c r="C7498" s="548"/>
      <c r="H7498" s="164"/>
    </row>
    <row r="7499" spans="3:8" x14ac:dyDescent="0.2">
      <c r="C7499" s="548"/>
      <c r="H7499" s="164"/>
    </row>
    <row r="7500" spans="3:8" x14ac:dyDescent="0.2">
      <c r="C7500" s="548"/>
      <c r="H7500" s="164"/>
    </row>
    <row r="7501" spans="3:8" x14ac:dyDescent="0.2">
      <c r="C7501" s="548"/>
      <c r="H7501" s="164"/>
    </row>
    <row r="7502" spans="3:8" x14ac:dyDescent="0.2">
      <c r="C7502" s="548"/>
      <c r="H7502" s="164"/>
    </row>
    <row r="7503" spans="3:8" x14ac:dyDescent="0.2">
      <c r="C7503" s="548"/>
      <c r="H7503" s="164"/>
    </row>
    <row r="7504" spans="3:8" x14ac:dyDescent="0.2">
      <c r="C7504" s="548"/>
      <c r="H7504" s="164"/>
    </row>
    <row r="7505" spans="3:8" x14ac:dyDescent="0.2">
      <c r="C7505" s="548"/>
      <c r="H7505" s="164"/>
    </row>
    <row r="7506" spans="3:8" x14ac:dyDescent="0.2">
      <c r="C7506" s="548"/>
      <c r="H7506" s="164"/>
    </row>
    <row r="7507" spans="3:8" x14ac:dyDescent="0.2">
      <c r="C7507" s="548"/>
      <c r="H7507" s="164"/>
    </row>
    <row r="7508" spans="3:8" x14ac:dyDescent="0.2">
      <c r="C7508" s="548"/>
      <c r="H7508" s="164"/>
    </row>
    <row r="7509" spans="3:8" x14ac:dyDescent="0.2">
      <c r="C7509" s="548"/>
      <c r="H7509" s="164"/>
    </row>
    <row r="7510" spans="3:8" x14ac:dyDescent="0.2">
      <c r="C7510" s="548"/>
      <c r="H7510" s="164"/>
    </row>
    <row r="7511" spans="3:8" x14ac:dyDescent="0.2">
      <c r="C7511" s="548"/>
      <c r="H7511" s="164"/>
    </row>
    <row r="7512" spans="3:8" x14ac:dyDescent="0.2">
      <c r="C7512" s="548"/>
      <c r="H7512" s="164"/>
    </row>
    <row r="7513" spans="3:8" x14ac:dyDescent="0.2">
      <c r="C7513" s="548"/>
      <c r="H7513" s="164"/>
    </row>
    <row r="7514" spans="3:8" x14ac:dyDescent="0.2">
      <c r="C7514" s="548"/>
      <c r="H7514" s="164"/>
    </row>
    <row r="7515" spans="3:8" x14ac:dyDescent="0.2">
      <c r="C7515" s="548"/>
      <c r="H7515" s="164"/>
    </row>
    <row r="7516" spans="3:8" x14ac:dyDescent="0.2">
      <c r="C7516" s="548"/>
      <c r="H7516" s="164"/>
    </row>
    <row r="7517" spans="3:8" x14ac:dyDescent="0.2">
      <c r="C7517" s="548"/>
      <c r="H7517" s="164"/>
    </row>
    <row r="7518" spans="3:8" x14ac:dyDescent="0.2">
      <c r="C7518" s="548"/>
      <c r="H7518" s="164"/>
    </row>
    <row r="7519" spans="3:8" x14ac:dyDescent="0.2">
      <c r="C7519" s="548"/>
      <c r="H7519" s="164"/>
    </row>
    <row r="7520" spans="3:8" x14ac:dyDescent="0.2">
      <c r="C7520" s="548"/>
      <c r="H7520" s="164"/>
    </row>
    <row r="7521" spans="3:8" x14ac:dyDescent="0.2">
      <c r="C7521" s="548"/>
      <c r="H7521" s="164"/>
    </row>
    <row r="7522" spans="3:8" x14ac:dyDescent="0.2">
      <c r="C7522" s="548"/>
      <c r="H7522" s="164"/>
    </row>
    <row r="7523" spans="3:8" x14ac:dyDescent="0.2">
      <c r="C7523" s="548"/>
      <c r="H7523" s="164"/>
    </row>
    <row r="7524" spans="3:8" x14ac:dyDescent="0.2">
      <c r="C7524" s="548"/>
      <c r="H7524" s="164"/>
    </row>
    <row r="7525" spans="3:8" x14ac:dyDescent="0.2">
      <c r="C7525" s="548"/>
      <c r="H7525" s="164"/>
    </row>
    <row r="7526" spans="3:8" x14ac:dyDescent="0.2">
      <c r="C7526" s="548"/>
      <c r="H7526" s="164"/>
    </row>
    <row r="7527" spans="3:8" x14ac:dyDescent="0.2">
      <c r="C7527" s="548"/>
      <c r="H7527" s="164"/>
    </row>
    <row r="7528" spans="3:8" x14ac:dyDescent="0.2">
      <c r="C7528" s="548"/>
      <c r="H7528" s="164"/>
    </row>
    <row r="7529" spans="3:8" x14ac:dyDescent="0.2">
      <c r="C7529" s="548"/>
      <c r="H7529" s="164"/>
    </row>
    <row r="7530" spans="3:8" x14ac:dyDescent="0.2">
      <c r="C7530" s="548"/>
      <c r="H7530" s="164"/>
    </row>
    <row r="7531" spans="3:8" x14ac:dyDescent="0.2">
      <c r="C7531" s="548"/>
      <c r="H7531" s="164"/>
    </row>
    <row r="7532" spans="3:8" x14ac:dyDescent="0.2">
      <c r="C7532" s="548"/>
      <c r="H7532" s="164"/>
    </row>
    <row r="7533" spans="3:8" x14ac:dyDescent="0.2">
      <c r="C7533" s="548"/>
      <c r="H7533" s="164"/>
    </row>
    <row r="7534" spans="3:8" x14ac:dyDescent="0.2">
      <c r="C7534" s="548"/>
      <c r="H7534" s="164"/>
    </row>
    <row r="7535" spans="3:8" x14ac:dyDescent="0.2">
      <c r="C7535" s="548"/>
      <c r="H7535" s="164"/>
    </row>
    <row r="7536" spans="3:8" x14ac:dyDescent="0.2">
      <c r="C7536" s="548"/>
      <c r="H7536" s="164"/>
    </row>
    <row r="7537" spans="3:8" x14ac:dyDescent="0.2">
      <c r="C7537" s="548"/>
      <c r="H7537" s="164"/>
    </row>
    <row r="7538" spans="3:8" x14ac:dyDescent="0.2">
      <c r="C7538" s="548"/>
      <c r="H7538" s="164"/>
    </row>
    <row r="7539" spans="3:8" x14ac:dyDescent="0.2">
      <c r="C7539" s="548"/>
      <c r="H7539" s="164"/>
    </row>
    <row r="7540" spans="3:8" x14ac:dyDescent="0.2">
      <c r="C7540" s="548"/>
      <c r="H7540" s="164"/>
    </row>
    <row r="7541" spans="3:8" x14ac:dyDescent="0.2">
      <c r="C7541" s="548"/>
      <c r="H7541" s="164"/>
    </row>
    <row r="7542" spans="3:8" x14ac:dyDescent="0.2">
      <c r="C7542" s="548"/>
      <c r="H7542" s="164"/>
    </row>
    <row r="7543" spans="3:8" x14ac:dyDescent="0.2">
      <c r="C7543" s="548"/>
      <c r="H7543" s="164"/>
    </row>
    <row r="7544" spans="3:8" x14ac:dyDescent="0.2">
      <c r="C7544" s="548"/>
      <c r="H7544" s="164"/>
    </row>
    <row r="7545" spans="3:8" x14ac:dyDescent="0.2">
      <c r="C7545" s="548"/>
      <c r="H7545" s="164"/>
    </row>
    <row r="7546" spans="3:8" x14ac:dyDescent="0.2">
      <c r="C7546" s="548"/>
      <c r="H7546" s="164"/>
    </row>
    <row r="7547" spans="3:8" x14ac:dyDescent="0.2">
      <c r="C7547" s="548"/>
      <c r="H7547" s="164"/>
    </row>
    <row r="7548" spans="3:8" x14ac:dyDescent="0.2">
      <c r="C7548" s="548"/>
      <c r="H7548" s="164"/>
    </row>
    <row r="7549" spans="3:8" x14ac:dyDescent="0.2">
      <c r="C7549" s="548"/>
      <c r="H7549" s="164"/>
    </row>
    <row r="7550" spans="3:8" x14ac:dyDescent="0.2">
      <c r="C7550" s="548"/>
      <c r="H7550" s="164"/>
    </row>
    <row r="7551" spans="3:8" x14ac:dyDescent="0.2">
      <c r="C7551" s="548"/>
      <c r="H7551" s="164"/>
    </row>
    <row r="7552" spans="3:8" x14ac:dyDescent="0.2">
      <c r="C7552" s="548"/>
      <c r="H7552" s="164"/>
    </row>
    <row r="7553" spans="3:8" x14ac:dyDescent="0.2">
      <c r="C7553" s="548"/>
      <c r="H7553" s="164"/>
    </row>
    <row r="7554" spans="3:8" x14ac:dyDescent="0.2">
      <c r="C7554" s="548"/>
      <c r="H7554" s="164"/>
    </row>
    <row r="7555" spans="3:8" x14ac:dyDescent="0.2">
      <c r="C7555" s="548"/>
      <c r="H7555" s="164"/>
    </row>
    <row r="7556" spans="3:8" x14ac:dyDescent="0.2">
      <c r="C7556" s="548"/>
      <c r="H7556" s="164"/>
    </row>
    <row r="7557" spans="3:8" x14ac:dyDescent="0.2">
      <c r="C7557" s="548"/>
      <c r="H7557" s="164"/>
    </row>
    <row r="7558" spans="3:8" x14ac:dyDescent="0.2">
      <c r="C7558" s="548"/>
      <c r="H7558" s="164"/>
    </row>
    <row r="7559" spans="3:8" x14ac:dyDescent="0.2">
      <c r="C7559" s="548"/>
      <c r="H7559" s="164"/>
    </row>
    <row r="7560" spans="3:8" x14ac:dyDescent="0.2">
      <c r="C7560" s="548"/>
      <c r="H7560" s="164"/>
    </row>
    <row r="7561" spans="3:8" x14ac:dyDescent="0.2">
      <c r="C7561" s="548"/>
      <c r="H7561" s="164"/>
    </row>
    <row r="7562" spans="3:8" x14ac:dyDescent="0.2">
      <c r="C7562" s="548"/>
      <c r="H7562" s="164"/>
    </row>
    <row r="7563" spans="3:8" x14ac:dyDescent="0.2">
      <c r="C7563" s="548"/>
      <c r="H7563" s="164"/>
    </row>
    <row r="7564" spans="3:8" x14ac:dyDescent="0.2">
      <c r="C7564" s="548"/>
      <c r="H7564" s="164"/>
    </row>
    <row r="7565" spans="3:8" x14ac:dyDescent="0.2">
      <c r="C7565" s="548"/>
      <c r="H7565" s="164"/>
    </row>
    <row r="7566" spans="3:8" x14ac:dyDescent="0.2">
      <c r="C7566" s="548"/>
      <c r="H7566" s="164"/>
    </row>
    <row r="7567" spans="3:8" x14ac:dyDescent="0.2">
      <c r="C7567" s="548"/>
      <c r="H7567" s="164"/>
    </row>
    <row r="7568" spans="3:8" x14ac:dyDescent="0.2">
      <c r="C7568" s="548"/>
      <c r="H7568" s="164"/>
    </row>
    <row r="7569" spans="3:8" x14ac:dyDescent="0.2">
      <c r="C7569" s="548"/>
      <c r="H7569" s="164"/>
    </row>
    <row r="7570" spans="3:8" x14ac:dyDescent="0.2">
      <c r="C7570" s="548"/>
      <c r="H7570" s="164"/>
    </row>
    <row r="7571" spans="3:8" x14ac:dyDescent="0.2">
      <c r="C7571" s="548"/>
      <c r="H7571" s="164"/>
    </row>
    <row r="7572" spans="3:8" x14ac:dyDescent="0.2">
      <c r="C7572" s="548"/>
      <c r="H7572" s="164"/>
    </row>
    <row r="7573" spans="3:8" x14ac:dyDescent="0.2">
      <c r="C7573" s="548"/>
      <c r="H7573" s="164"/>
    </row>
    <row r="7574" spans="3:8" x14ac:dyDescent="0.2">
      <c r="C7574" s="548"/>
      <c r="H7574" s="164"/>
    </row>
    <row r="7575" spans="3:8" x14ac:dyDescent="0.2">
      <c r="C7575" s="548"/>
      <c r="H7575" s="164"/>
    </row>
    <row r="7576" spans="3:8" x14ac:dyDescent="0.2">
      <c r="C7576" s="548"/>
      <c r="H7576" s="164"/>
    </row>
    <row r="7577" spans="3:8" x14ac:dyDescent="0.2">
      <c r="C7577" s="548"/>
      <c r="H7577" s="164"/>
    </row>
    <row r="7578" spans="3:8" x14ac:dyDescent="0.2">
      <c r="C7578" s="548"/>
      <c r="H7578" s="164"/>
    </row>
    <row r="7579" spans="3:8" x14ac:dyDescent="0.2">
      <c r="C7579" s="548"/>
      <c r="H7579" s="164"/>
    </row>
    <row r="7580" spans="3:8" x14ac:dyDescent="0.2">
      <c r="C7580" s="548"/>
      <c r="H7580" s="164"/>
    </row>
    <row r="7581" spans="3:8" x14ac:dyDescent="0.2">
      <c r="C7581" s="548"/>
      <c r="H7581" s="164"/>
    </row>
    <row r="7582" spans="3:8" x14ac:dyDescent="0.2">
      <c r="C7582" s="548"/>
      <c r="H7582" s="164"/>
    </row>
    <row r="7583" spans="3:8" x14ac:dyDescent="0.2">
      <c r="C7583" s="548"/>
      <c r="H7583" s="164"/>
    </row>
    <row r="7584" spans="3:8" x14ac:dyDescent="0.2">
      <c r="C7584" s="548"/>
      <c r="H7584" s="164"/>
    </row>
    <row r="7585" spans="3:8" x14ac:dyDescent="0.2">
      <c r="C7585" s="548"/>
      <c r="H7585" s="164"/>
    </row>
    <row r="7586" spans="3:8" x14ac:dyDescent="0.2">
      <c r="C7586" s="548"/>
      <c r="H7586" s="164"/>
    </row>
    <row r="7587" spans="3:8" x14ac:dyDescent="0.2">
      <c r="C7587" s="548"/>
      <c r="H7587" s="164"/>
    </row>
    <row r="7588" spans="3:8" x14ac:dyDescent="0.2">
      <c r="C7588" s="548"/>
      <c r="H7588" s="164"/>
    </row>
    <row r="7589" spans="3:8" x14ac:dyDescent="0.2">
      <c r="C7589" s="548"/>
      <c r="H7589" s="164"/>
    </row>
    <row r="7590" spans="3:8" x14ac:dyDescent="0.2">
      <c r="C7590" s="548"/>
      <c r="H7590" s="164"/>
    </row>
    <row r="7591" spans="3:8" x14ac:dyDescent="0.2">
      <c r="C7591" s="548"/>
      <c r="H7591" s="164"/>
    </row>
    <row r="7592" spans="3:8" x14ac:dyDescent="0.2">
      <c r="C7592" s="548"/>
      <c r="H7592" s="164"/>
    </row>
    <row r="7593" spans="3:8" x14ac:dyDescent="0.2">
      <c r="C7593" s="548"/>
      <c r="H7593" s="164"/>
    </row>
    <row r="7594" spans="3:8" x14ac:dyDescent="0.2">
      <c r="C7594" s="548"/>
      <c r="H7594" s="164"/>
    </row>
    <row r="7595" spans="3:8" x14ac:dyDescent="0.2">
      <c r="C7595" s="548"/>
      <c r="H7595" s="164"/>
    </row>
    <row r="7596" spans="3:8" x14ac:dyDescent="0.2">
      <c r="C7596" s="548"/>
      <c r="H7596" s="164"/>
    </row>
    <row r="7597" spans="3:8" x14ac:dyDescent="0.2">
      <c r="C7597" s="548"/>
      <c r="H7597" s="164"/>
    </row>
    <row r="7598" spans="3:8" x14ac:dyDescent="0.2">
      <c r="C7598" s="548"/>
      <c r="H7598" s="164"/>
    </row>
    <row r="7599" spans="3:8" x14ac:dyDescent="0.2">
      <c r="C7599" s="548"/>
      <c r="H7599" s="164"/>
    </row>
    <row r="7600" spans="3:8" x14ac:dyDescent="0.2">
      <c r="C7600" s="548"/>
      <c r="H7600" s="164"/>
    </row>
    <row r="7601" spans="3:8" x14ac:dyDescent="0.2">
      <c r="C7601" s="548"/>
      <c r="H7601" s="164"/>
    </row>
    <row r="7602" spans="3:8" x14ac:dyDescent="0.2">
      <c r="C7602" s="548"/>
      <c r="H7602" s="164"/>
    </row>
    <row r="7603" spans="3:8" x14ac:dyDescent="0.2">
      <c r="C7603" s="548"/>
      <c r="H7603" s="164"/>
    </row>
    <row r="7604" spans="3:8" x14ac:dyDescent="0.2">
      <c r="C7604" s="548"/>
      <c r="H7604" s="164"/>
    </row>
    <row r="7605" spans="3:8" x14ac:dyDescent="0.2">
      <c r="C7605" s="548"/>
      <c r="H7605" s="164"/>
    </row>
    <row r="7606" spans="3:8" x14ac:dyDescent="0.2">
      <c r="C7606" s="548"/>
      <c r="H7606" s="164"/>
    </row>
    <row r="7607" spans="3:8" x14ac:dyDescent="0.2">
      <c r="C7607" s="548"/>
      <c r="H7607" s="164"/>
    </row>
    <row r="7608" spans="3:8" x14ac:dyDescent="0.2">
      <c r="C7608" s="548"/>
      <c r="H7608" s="164"/>
    </row>
    <row r="7609" spans="3:8" x14ac:dyDescent="0.2">
      <c r="C7609" s="548"/>
      <c r="H7609" s="164"/>
    </row>
    <row r="7610" spans="3:8" x14ac:dyDescent="0.2">
      <c r="C7610" s="548"/>
      <c r="H7610" s="164"/>
    </row>
    <row r="7611" spans="3:8" x14ac:dyDescent="0.2">
      <c r="C7611" s="548"/>
      <c r="H7611" s="164"/>
    </row>
    <row r="7612" spans="3:8" x14ac:dyDescent="0.2">
      <c r="C7612" s="548"/>
      <c r="H7612" s="164"/>
    </row>
    <row r="7613" spans="3:8" x14ac:dyDescent="0.2">
      <c r="C7613" s="548"/>
      <c r="H7613" s="164"/>
    </row>
    <row r="7614" spans="3:8" x14ac:dyDescent="0.2">
      <c r="C7614" s="548"/>
      <c r="H7614" s="164"/>
    </row>
    <row r="7615" spans="3:8" x14ac:dyDescent="0.2">
      <c r="C7615" s="548"/>
      <c r="H7615" s="164"/>
    </row>
    <row r="7616" spans="3:8" x14ac:dyDescent="0.2">
      <c r="C7616" s="548"/>
      <c r="H7616" s="164"/>
    </row>
    <row r="7617" spans="3:8" x14ac:dyDescent="0.2">
      <c r="C7617" s="548"/>
      <c r="H7617" s="164"/>
    </row>
    <row r="7618" spans="3:8" x14ac:dyDescent="0.2">
      <c r="C7618" s="548"/>
      <c r="H7618" s="164"/>
    </row>
    <row r="7619" spans="3:8" x14ac:dyDescent="0.2">
      <c r="C7619" s="548"/>
      <c r="H7619" s="164"/>
    </row>
    <row r="7620" spans="3:8" x14ac:dyDescent="0.2">
      <c r="C7620" s="548"/>
      <c r="H7620" s="164"/>
    </row>
    <row r="7621" spans="3:8" x14ac:dyDescent="0.2">
      <c r="C7621" s="548"/>
      <c r="H7621" s="164"/>
    </row>
    <row r="7622" spans="3:8" x14ac:dyDescent="0.2">
      <c r="C7622" s="548"/>
      <c r="H7622" s="164"/>
    </row>
    <row r="7623" spans="3:8" x14ac:dyDescent="0.2">
      <c r="C7623" s="548"/>
      <c r="H7623" s="164"/>
    </row>
    <row r="7624" spans="3:8" x14ac:dyDescent="0.2">
      <c r="C7624" s="548"/>
      <c r="H7624" s="164"/>
    </row>
    <row r="7625" spans="3:8" x14ac:dyDescent="0.2">
      <c r="C7625" s="548"/>
      <c r="H7625" s="164"/>
    </row>
    <row r="7626" spans="3:8" x14ac:dyDescent="0.2">
      <c r="C7626" s="548"/>
      <c r="H7626" s="164"/>
    </row>
    <row r="7627" spans="3:8" x14ac:dyDescent="0.2">
      <c r="C7627" s="548"/>
      <c r="H7627" s="164"/>
    </row>
    <row r="7628" spans="3:8" x14ac:dyDescent="0.2">
      <c r="C7628" s="548"/>
      <c r="H7628" s="164"/>
    </row>
    <row r="7629" spans="3:8" x14ac:dyDescent="0.2">
      <c r="C7629" s="548"/>
      <c r="H7629" s="164"/>
    </row>
    <row r="7630" spans="3:8" x14ac:dyDescent="0.2">
      <c r="C7630" s="548"/>
      <c r="H7630" s="164"/>
    </row>
    <row r="7631" spans="3:8" x14ac:dyDescent="0.2">
      <c r="C7631" s="548"/>
      <c r="H7631" s="164"/>
    </row>
    <row r="7632" spans="3:8" x14ac:dyDescent="0.2">
      <c r="C7632" s="548"/>
      <c r="H7632" s="164"/>
    </row>
    <row r="7633" spans="3:8" x14ac:dyDescent="0.2">
      <c r="C7633" s="548"/>
      <c r="H7633" s="164"/>
    </row>
    <row r="7634" spans="3:8" x14ac:dyDescent="0.2">
      <c r="C7634" s="548"/>
      <c r="H7634" s="164"/>
    </row>
    <row r="7635" spans="3:8" x14ac:dyDescent="0.2">
      <c r="C7635" s="548"/>
      <c r="H7635" s="164"/>
    </row>
    <row r="7636" spans="3:8" x14ac:dyDescent="0.2">
      <c r="C7636" s="548"/>
      <c r="H7636" s="164"/>
    </row>
    <row r="7637" spans="3:8" x14ac:dyDescent="0.2">
      <c r="C7637" s="548"/>
      <c r="H7637" s="164"/>
    </row>
    <row r="7638" spans="3:8" x14ac:dyDescent="0.2">
      <c r="C7638" s="548"/>
      <c r="H7638" s="164"/>
    </row>
    <row r="7639" spans="3:8" x14ac:dyDescent="0.2">
      <c r="C7639" s="548"/>
      <c r="H7639" s="164"/>
    </row>
    <row r="7640" spans="3:8" x14ac:dyDescent="0.2">
      <c r="C7640" s="548"/>
      <c r="H7640" s="164"/>
    </row>
    <row r="7641" spans="3:8" x14ac:dyDescent="0.2">
      <c r="C7641" s="548"/>
      <c r="H7641" s="164"/>
    </row>
    <row r="7642" spans="3:8" x14ac:dyDescent="0.2">
      <c r="C7642" s="548"/>
      <c r="H7642" s="164"/>
    </row>
    <row r="7643" spans="3:8" x14ac:dyDescent="0.2">
      <c r="C7643" s="548"/>
      <c r="H7643" s="164"/>
    </row>
    <row r="7644" spans="3:8" x14ac:dyDescent="0.2">
      <c r="C7644" s="548"/>
      <c r="H7644" s="164"/>
    </row>
    <row r="7645" spans="3:8" x14ac:dyDescent="0.2">
      <c r="C7645" s="548"/>
      <c r="H7645" s="164"/>
    </row>
    <row r="7646" spans="3:8" x14ac:dyDescent="0.2">
      <c r="C7646" s="548"/>
      <c r="H7646" s="164"/>
    </row>
    <row r="7647" spans="3:8" x14ac:dyDescent="0.2">
      <c r="C7647" s="548"/>
      <c r="H7647" s="164"/>
    </row>
    <row r="7648" spans="3:8" x14ac:dyDescent="0.2">
      <c r="C7648" s="548"/>
      <c r="H7648" s="164"/>
    </row>
    <row r="7649" spans="3:8" x14ac:dyDescent="0.2">
      <c r="C7649" s="548"/>
      <c r="H7649" s="164"/>
    </row>
    <row r="7650" spans="3:8" x14ac:dyDescent="0.2">
      <c r="C7650" s="548"/>
      <c r="H7650" s="164"/>
    </row>
    <row r="7651" spans="3:8" x14ac:dyDescent="0.2">
      <c r="C7651" s="548"/>
      <c r="H7651" s="164"/>
    </row>
    <row r="7652" spans="3:8" x14ac:dyDescent="0.2">
      <c r="C7652" s="548"/>
      <c r="H7652" s="164"/>
    </row>
    <row r="7653" spans="3:8" x14ac:dyDescent="0.2">
      <c r="C7653" s="548"/>
      <c r="H7653" s="164"/>
    </row>
    <row r="7654" spans="3:8" x14ac:dyDescent="0.2">
      <c r="C7654" s="548"/>
      <c r="H7654" s="164"/>
    </row>
    <row r="7655" spans="3:8" x14ac:dyDescent="0.2">
      <c r="C7655" s="548"/>
      <c r="H7655" s="164"/>
    </row>
    <row r="7656" spans="3:8" x14ac:dyDescent="0.2">
      <c r="C7656" s="548"/>
      <c r="H7656" s="164"/>
    </row>
    <row r="7657" spans="3:8" x14ac:dyDescent="0.2">
      <c r="C7657" s="548"/>
      <c r="H7657" s="164"/>
    </row>
    <row r="7658" spans="3:8" x14ac:dyDescent="0.2">
      <c r="C7658" s="548"/>
      <c r="H7658" s="164"/>
    </row>
    <row r="7659" spans="3:8" x14ac:dyDescent="0.2">
      <c r="C7659" s="548"/>
      <c r="H7659" s="164"/>
    </row>
    <row r="7660" spans="3:8" x14ac:dyDescent="0.2">
      <c r="C7660" s="548"/>
      <c r="H7660" s="164"/>
    </row>
    <row r="7661" spans="3:8" x14ac:dyDescent="0.2">
      <c r="C7661" s="548"/>
      <c r="H7661" s="164"/>
    </row>
    <row r="7662" spans="3:8" x14ac:dyDescent="0.2">
      <c r="C7662" s="548"/>
      <c r="H7662" s="164"/>
    </row>
    <row r="7663" spans="3:8" x14ac:dyDescent="0.2">
      <c r="C7663" s="548"/>
      <c r="H7663" s="164"/>
    </row>
    <row r="7664" spans="3:8" x14ac:dyDescent="0.2">
      <c r="C7664" s="548"/>
      <c r="H7664" s="164"/>
    </row>
    <row r="7665" spans="3:8" x14ac:dyDescent="0.2">
      <c r="C7665" s="548"/>
      <c r="H7665" s="164"/>
    </row>
    <row r="7666" spans="3:8" x14ac:dyDescent="0.2">
      <c r="C7666" s="548"/>
      <c r="H7666" s="164"/>
    </row>
    <row r="7667" spans="3:8" x14ac:dyDescent="0.2">
      <c r="C7667" s="548"/>
      <c r="H7667" s="164"/>
    </row>
    <row r="7668" spans="3:8" x14ac:dyDescent="0.2">
      <c r="C7668" s="548"/>
      <c r="H7668" s="164"/>
    </row>
    <row r="7669" spans="3:8" x14ac:dyDescent="0.2">
      <c r="C7669" s="548"/>
      <c r="H7669" s="164"/>
    </row>
    <row r="7670" spans="3:8" x14ac:dyDescent="0.2">
      <c r="C7670" s="548"/>
      <c r="H7670" s="164"/>
    </row>
    <row r="7671" spans="3:8" x14ac:dyDescent="0.2">
      <c r="C7671" s="548"/>
      <c r="H7671" s="164"/>
    </row>
    <row r="7672" spans="3:8" x14ac:dyDescent="0.2">
      <c r="C7672" s="548"/>
      <c r="H7672" s="164"/>
    </row>
    <row r="7673" spans="3:8" x14ac:dyDescent="0.2">
      <c r="C7673" s="548"/>
      <c r="H7673" s="164"/>
    </row>
    <row r="7674" spans="3:8" x14ac:dyDescent="0.2">
      <c r="C7674" s="548"/>
      <c r="H7674" s="164"/>
    </row>
    <row r="7675" spans="3:8" x14ac:dyDescent="0.2">
      <c r="C7675" s="548"/>
      <c r="H7675" s="164"/>
    </row>
    <row r="7676" spans="3:8" x14ac:dyDescent="0.2">
      <c r="C7676" s="548"/>
      <c r="H7676" s="164"/>
    </row>
    <row r="7677" spans="3:8" x14ac:dyDescent="0.2">
      <c r="C7677" s="548"/>
      <c r="H7677" s="164"/>
    </row>
    <row r="7678" spans="3:8" x14ac:dyDescent="0.2">
      <c r="C7678" s="548"/>
      <c r="H7678" s="164"/>
    </row>
    <row r="7679" spans="3:8" x14ac:dyDescent="0.2">
      <c r="C7679" s="548"/>
      <c r="H7679" s="164"/>
    </row>
    <row r="7680" spans="3:8" x14ac:dyDescent="0.2">
      <c r="C7680" s="548"/>
      <c r="H7680" s="164"/>
    </row>
    <row r="7681" spans="3:9" x14ac:dyDescent="0.2">
      <c r="C7681" s="548"/>
      <c r="H7681" s="164"/>
    </row>
    <row r="7682" spans="3:9" x14ac:dyDescent="0.2">
      <c r="C7682" s="548"/>
      <c r="H7682" s="164"/>
    </row>
    <row r="7683" spans="3:9" x14ac:dyDescent="0.2">
      <c r="C7683" s="548"/>
      <c r="H7683" s="164"/>
    </row>
    <row r="7684" spans="3:9" x14ac:dyDescent="0.2">
      <c r="C7684" s="548"/>
      <c r="H7684" s="164"/>
    </row>
    <row r="7685" spans="3:9" x14ac:dyDescent="0.2">
      <c r="C7685" s="548"/>
      <c r="H7685" s="164"/>
    </row>
    <row r="7686" spans="3:9" x14ac:dyDescent="0.2">
      <c r="C7686" s="548"/>
      <c r="H7686" s="164"/>
    </row>
    <row r="7687" spans="3:9" x14ac:dyDescent="0.2">
      <c r="C7687" s="548"/>
      <c r="H7687" s="164"/>
    </row>
    <row r="7688" spans="3:9" x14ac:dyDescent="0.2">
      <c r="C7688" s="548"/>
      <c r="H7688" s="164"/>
    </row>
    <row r="7689" spans="3:9" x14ac:dyDescent="0.2">
      <c r="H7689" s="164"/>
      <c r="I7689"/>
    </row>
    <row r="7690" spans="3:9" x14ac:dyDescent="0.2">
      <c r="H7690" s="164"/>
      <c r="I7690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workbookViewId="0" xr3:uid="{F9CF3CF3-643B-5BE6-8B46-32C596A47465}"/>
  </sheetViews>
  <sheetFormatPr defaultRowHeight="15" x14ac:dyDescent="0.2"/>
  <cols>
    <col min="1" max="1" width="8.609375" bestFit="1" customWidth="1"/>
    <col min="2" max="2" width="9.81640625" bestFit="1" customWidth="1"/>
    <col min="3" max="3" width="30.8046875" bestFit="1" customWidth="1"/>
    <col min="4" max="4" width="11.56640625" bestFit="1" customWidth="1"/>
    <col min="5" max="5" width="12.64453125" bestFit="1" customWidth="1"/>
  </cols>
  <sheetData>
    <row r="1" spans="1:5" x14ac:dyDescent="0.2">
      <c r="A1" s="549" t="s">
        <v>199</v>
      </c>
      <c r="B1" s="549" t="s">
        <v>207</v>
      </c>
      <c r="C1" s="549" t="s">
        <v>216</v>
      </c>
      <c r="D1" s="549" t="s">
        <v>217</v>
      </c>
      <c r="E1" s="549" t="s">
        <v>218</v>
      </c>
    </row>
    <row r="2" spans="1:5" x14ac:dyDescent="0.2">
      <c r="A2" s="549" t="s">
        <v>215</v>
      </c>
      <c r="B2" s="549">
        <v>4</v>
      </c>
      <c r="C2" s="549" t="s">
        <v>219</v>
      </c>
      <c r="D2" s="549" t="s">
        <v>220</v>
      </c>
      <c r="E2" s="549" t="s">
        <v>221</v>
      </c>
    </row>
    <row r="3" spans="1:5" x14ac:dyDescent="0.2">
      <c r="A3" s="549" t="s">
        <v>222</v>
      </c>
      <c r="B3" s="549">
        <v>5</v>
      </c>
      <c r="C3" s="549" t="s">
        <v>223</v>
      </c>
      <c r="D3" s="549" t="s">
        <v>220</v>
      </c>
      <c r="E3" s="549" t="s">
        <v>224</v>
      </c>
    </row>
    <row r="4" spans="1:5" x14ac:dyDescent="0.2">
      <c r="A4" s="549" t="s">
        <v>225</v>
      </c>
      <c r="B4" s="549">
        <v>6</v>
      </c>
      <c r="C4" s="549" t="s">
        <v>226</v>
      </c>
      <c r="D4" s="549" t="s">
        <v>227</v>
      </c>
      <c r="E4" s="549" t="s">
        <v>228</v>
      </c>
    </row>
    <row r="5" spans="1:5" x14ac:dyDescent="0.2">
      <c r="A5" s="549" t="s">
        <v>229</v>
      </c>
      <c r="B5" s="549">
        <v>7</v>
      </c>
      <c r="C5" s="549" t="s">
        <v>230</v>
      </c>
      <c r="D5" s="549" t="s">
        <v>220</v>
      </c>
      <c r="E5" s="549" t="s">
        <v>231</v>
      </c>
    </row>
    <row r="6" spans="1:5" x14ac:dyDescent="0.2">
      <c r="A6" s="549" t="s">
        <v>232</v>
      </c>
      <c r="B6" s="549">
        <v>8</v>
      </c>
      <c r="C6" s="549" t="s">
        <v>233</v>
      </c>
      <c r="D6" s="549" t="s">
        <v>227</v>
      </c>
      <c r="E6" s="549" t="s">
        <v>234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 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 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C713C40A26324EB487EAE19FD1C165" ma:contentTypeVersion="3" ma:contentTypeDescription="Create a new document." ma:contentTypeScope="" ma:versionID="720758d76df48b0e6c4b8634795a0b33">
  <xsd:schema xmlns:xsd="http://www.w3.org/2001/XMLSchema" xmlns:xs="http://www.w3.org/2001/XMLSchema" xmlns:p="http://schemas.microsoft.com/office/2006/metadata/properties" xmlns:ns2="3976b096-cedf-4984-af3e-5a80d56c639d" targetNamespace="http://schemas.microsoft.com/office/2006/metadata/properties" ma:root="true" ma:fieldsID="ff661c4162c281062d862c66a1a33d17" ns2:_="">
    <xsd:import namespace="3976b096-cedf-4984-af3e-5a80d56c639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76b096-cedf-4984-af3e-5a80d56c63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6F37D6-8E37-41A5-A284-0BC05102557E}">
  <ds:schemaRefs>
    <ds:schemaRef ds:uri="http://schemas.microsoft.com/office/2006/metadata/properties"/>
    <ds:schemaRef ds:uri="http://www.w3.org/2000/xmlns/"/>
  </ds:schemaRefs>
</ds:datastoreItem>
</file>

<file path=customXml/itemProps2.xml><?xml version="1.0" encoding="utf-8"?>
<ds:datastoreItem xmlns:ds="http://schemas.openxmlformats.org/officeDocument/2006/customXml" ds:itemID="{9D68A0C2-AD2C-49CF-95D1-FA1B68FD8FD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8980C4-F113-4CAF-84EE-27273E6F75F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A1B79CF-01B7-4926-87C5-7930E7F3F5EB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976b096-cedf-4984-af3e-5a80d56c6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Adjusted</vt:lpstr>
      <vt:lpstr>Reported</vt:lpstr>
      <vt:lpstr>Price History</vt:lpstr>
      <vt:lpstr>StockList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Pranavp@live.ca</dc:creator>
  <cp:lastModifiedBy>Pranav Patel</cp:lastModifiedBy>
  <cp:lastPrinted>2017-03-17T12:46:59Z</cp:lastPrinted>
  <dcterms:created xsi:type="dcterms:W3CDTF">2013-03-28T17:57:17Z</dcterms:created>
  <dcterms:modified xsi:type="dcterms:W3CDTF">2017-07-22T03:08:56Z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0x01010059C713C40A26324EB487EAE19FD1C165</vt:lpwstr>
  </property>
  <property fmtid="{D5CDD505-2E9C-101B-9397-08002B2CF9AE}" pid="3" name="WorkbookGuid">
    <vt:lpwstr>3a13a874-b2ca-4c9f-b279-e972e88fad00</vt:lpwstr>
  </property>
</Properties>
</file>